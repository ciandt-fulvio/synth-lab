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ecanismos" sheetId="2" state="visible" r:id="rId2"/>
    <sheet name="Simul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1" fontId="0" fillId="4" borderId="0" pivotButton="0" quotePrefix="0" xfId="0"/>
    <xf numFmtId="2" fontId="0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Nota</t>
        </is>
      </c>
    </row>
    <row r="2">
      <c r="A2" t="inlineStr">
        <is>
          <t>intercept</t>
        </is>
      </c>
      <c r="B2" s="2" t="n">
        <v>-0.2</v>
      </c>
      <c r="C2" s="3" t="inlineStr">
        <is>
          <t>Bias do sigmoid (z = intercept + aw*appeals - bw*barriers)</t>
        </is>
      </c>
    </row>
    <row r="3">
      <c r="A3" t="inlineStr">
        <is>
          <t>barrier_weight</t>
        </is>
      </c>
      <c r="B3" s="2" t="n">
        <v>1.1</v>
      </c>
      <c r="C3" s="3" t="inlineStr">
        <is>
          <t>Peso multiplicador das barreiras no sigmoid</t>
        </is>
      </c>
    </row>
    <row r="4">
      <c r="A4" t="inlineStr">
        <is>
          <t>appeal_weight</t>
        </is>
      </c>
      <c r="B4" s="2" t="n">
        <v>1.4</v>
      </c>
      <c r="C4" s="3" t="inlineStr">
        <is>
          <t>Peso multiplicador dos apelos no sigmoid</t>
        </is>
      </c>
    </row>
    <row r="5">
      <c r="A5" t="inlineStr"/>
    </row>
    <row r="6">
      <c r="A6" t="inlineStr">
        <is>
          <t>trust_gate_active</t>
        </is>
      </c>
      <c r="B6" s="4" t="n">
        <v>1</v>
      </c>
      <c r="C6" s="3" t="inlineStr">
        <is>
          <t>1=ativo para ['financial', 'identity', 'security']</t>
        </is>
      </c>
    </row>
    <row r="7">
      <c r="A7" t="inlineStr">
        <is>
          <t>risk_gate_active</t>
        </is>
      </c>
      <c r="B7" s="4" t="n">
        <v>1</v>
      </c>
      <c r="C7" s="3" t="inlineStr">
        <is>
          <t>1=ativo para ['financial', 'identity']</t>
        </is>
      </c>
    </row>
    <row r="8">
      <c r="A8" t="inlineStr">
        <is>
          <t>value_gate_active</t>
        </is>
      </c>
      <c r="B8" s="4" t="n">
        <v>1</v>
      </c>
      <c r="C8" s="3" t="inlineStr">
        <is>
          <t>1=ativo para ['aesthetic', 'flow']</t>
        </is>
      </c>
    </row>
    <row r="9">
      <c r="A9" t="inlineStr"/>
    </row>
    <row r="10">
      <c r="A10" s="3" t="inlineStr">
        <is>
          <t>experiment_id</t>
        </is>
      </c>
      <c r="B10" s="3" t="inlineStr">
        <is>
          <t>exp_375a3cc3</t>
        </is>
      </c>
    </row>
    <row r="11">
      <c r="A11" s="3" t="inlineStr">
        <is>
          <t>experiment_name</t>
        </is>
      </c>
      <c r="B11" s="3" t="inlineStr">
        <is>
          <t>delivery com entrega - nova form1</t>
        </is>
      </c>
    </row>
    <row r="12">
      <c r="A12" s="3" t="inlineStr">
        <is>
          <t>hypothesis</t>
        </is>
      </c>
      <c r="B12" s="3" t="inlineStr">
        <is>
          <t>A hipótese “App de delivery com entrega agendada” assume que permitir ao usuário escolher antecipadamente o dia e o horário da entrega aumenta a sensação de controle e conveniência. Ao reduzir incertezas e conflitos de agenda, a entrega agendada melhora a experiência do cliente, estimula pedidos recorrentes e também facilita o planejamento operacional de restaurantes e entregadores.</t>
        </is>
      </c>
    </row>
    <row r="13">
      <c r="A13" s="3" t="inlineStr">
        <is>
          <t>feature_types</t>
        </is>
      </c>
      <c r="B13" s="3" t="inlineStr">
        <is>
          <t>flow, financial, social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mecanismo</t>
        </is>
      </c>
      <c r="B1" s="1" t="inlineStr">
        <is>
          <t>valor</t>
        </is>
      </c>
    </row>
    <row r="2">
      <c r="A2" t="inlineStr">
        <is>
          <t>irreversibility</t>
        </is>
      </c>
      <c r="B2" s="5" t="n">
        <v>0.5</v>
      </c>
    </row>
    <row r="3">
      <c r="A3" t="inlineStr">
        <is>
          <t>network_effect</t>
        </is>
      </c>
      <c r="B3" s="5" t="n">
        <v>0.5</v>
      </c>
    </row>
    <row r="4">
      <c r="A4" t="inlineStr">
        <is>
          <t>institutional_trust</t>
        </is>
      </c>
      <c r="B4" s="5" t="n">
        <v>0.25</v>
      </c>
    </row>
    <row r="5">
      <c r="A5" t="inlineStr">
        <is>
          <t>habit_displacement</t>
        </is>
      </c>
      <c r="B5" s="5" t="n">
        <v>0.5</v>
      </c>
    </row>
    <row r="6">
      <c r="A6" t="inlineStr">
        <is>
          <t>learning_curve</t>
        </is>
      </c>
      <c r="B6" s="5" t="n">
        <v>0.5</v>
      </c>
    </row>
    <row r="7">
      <c r="A7" t="inlineStr">
        <is>
          <t>social_visibility</t>
        </is>
      </c>
      <c r="B7" s="5" t="n">
        <v>0.5</v>
      </c>
    </row>
    <row r="8">
      <c r="A8" t="inlineStr">
        <is>
          <t>intrinsic_value</t>
        </is>
      </c>
      <c r="B8" s="5" t="n">
        <v>0.5</v>
      </c>
    </row>
    <row r="9">
      <c r="A9" t="inlineStr">
        <is>
          <t>operational_friction</t>
        </is>
      </c>
      <c r="B9" s="5" t="n">
        <v>0</v>
      </c>
    </row>
    <row r="10">
      <c r="A10" t="inlineStr">
        <is>
          <t>frequency_of_use</t>
        </is>
      </c>
      <c r="B10" s="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synth_id</t>
        </is>
      </c>
      <c r="B1" s="1" t="inlineStr">
        <is>
          <t>nome</t>
        </is>
      </c>
      <c r="C1" s="1" t="inlineStr">
        <is>
          <t>risk_aversion</t>
        </is>
      </c>
      <c r="D1" s="1" t="inlineStr">
        <is>
          <t>social_dependency</t>
        </is>
      </c>
      <c r="E1" s="1" t="inlineStr">
        <is>
          <t>institutional_trust_level</t>
        </is>
      </c>
      <c r="F1" s="1" t="inlineStr">
        <is>
          <t>habit_plasticity</t>
        </is>
      </c>
      <c r="G1" s="1" t="inlineStr">
        <is>
          <t>friction_tolerance</t>
        </is>
      </c>
      <c r="H1" s="1" t="inlineStr">
        <is>
          <t>pragmatism</t>
        </is>
      </c>
      <c r="I1" s="1" t="inlineStr">
        <is>
          <t>digital_capability</t>
        </is>
      </c>
      <c r="J1" s="1" t="inlineStr">
        <is>
          <t>motor_ability</t>
        </is>
      </c>
      <c r="K1" s="1" t="inlineStr">
        <is>
          <t>subject_domain</t>
        </is>
      </c>
      <c r="L1" s="6" t="inlineStr">
        <is>
          <t>perceived_risk</t>
        </is>
      </c>
      <c r="M1" s="6" t="inlineStr">
        <is>
          <t>social_pressure</t>
        </is>
      </c>
      <c r="N1" s="6" t="inlineStr">
        <is>
          <t>trust_barrier</t>
        </is>
      </c>
      <c r="O1" s="6" t="inlineStr">
        <is>
          <t>habit_resistance</t>
        </is>
      </c>
      <c r="P1" s="6" t="inlineStr">
        <is>
          <t>learning_frustration</t>
        </is>
      </c>
      <c r="Q1" s="6" t="inlineStr">
        <is>
          <t>friction_burden</t>
        </is>
      </c>
      <c r="R1" s="6" t="inlineStr">
        <is>
          <t>motor_barrier</t>
        </is>
      </c>
      <c r="S1" s="6" t="inlineStr">
        <is>
          <t>intrinsic_appeal</t>
        </is>
      </c>
      <c r="T1" s="6" t="inlineStr">
        <is>
          <t>frequency_value</t>
        </is>
      </c>
      <c r="U1" s="6" t="inlineStr">
        <is>
          <t>domain_advantage</t>
        </is>
      </c>
      <c r="V1" s="6" t="inlineStr">
        <is>
          <t>network_bonus</t>
        </is>
      </c>
      <c r="W1" s="6" t="inlineStr">
        <is>
          <t>z_score</t>
        </is>
      </c>
      <c r="X1" s="6" t="inlineStr">
        <is>
          <t>P_base</t>
        </is>
      </c>
      <c r="Y1" s="7" t="inlineStr">
        <is>
          <t>trust_gate</t>
        </is>
      </c>
      <c r="Z1" s="7" t="inlineStr">
        <is>
          <t>risk_gate</t>
        </is>
      </c>
      <c r="AA1" s="7" t="inlineStr">
        <is>
          <t>value_gate</t>
        </is>
      </c>
      <c r="AB1" s="6" t="inlineStr">
        <is>
          <t>P(adopted)</t>
        </is>
      </c>
    </row>
    <row r="2">
      <c r="A2" t="inlineStr">
        <is>
          <t>4w0b2a</t>
        </is>
      </c>
      <c r="B2" t="inlineStr">
        <is>
          <t>Agatha Abreu</t>
        </is>
      </c>
      <c r="C2" s="8" t="n">
        <v>0.5004999999999999</v>
      </c>
      <c r="D2" s="8" t="n">
        <v>0.4953</v>
      </c>
      <c r="E2" s="8" t="n">
        <v>0.4069</v>
      </c>
      <c r="F2" s="8" t="n">
        <v>0.5954</v>
      </c>
      <c r="G2" s="8" t="n">
        <v>0.6342</v>
      </c>
      <c r="H2" s="8" t="n">
        <v>0.4178</v>
      </c>
      <c r="I2" s="8" t="n">
        <v>0.5272</v>
      </c>
      <c r="J2" s="8" t="n">
        <v>0.8946</v>
      </c>
      <c r="K2" s="8" t="n">
        <v>0.3151</v>
      </c>
      <c r="L2" s="9">
        <f>1-(1-Mecanismos!B2)*(1-C2)</f>
        <v/>
      </c>
      <c r="M2" s="9">
        <f>Mecanismos!B7*D2</f>
        <v/>
      </c>
      <c r="N2" s="9">
        <f>Mecanismos!B4*(1-E2)</f>
        <v/>
      </c>
      <c r="O2" s="9">
        <f>Mecanismos!B5*(1-F2)</f>
        <v/>
      </c>
      <c r="P2" s="9">
        <f>Mecanismos!B6*(1-I2)</f>
        <v/>
      </c>
      <c r="Q2" s="9">
        <f>Mecanismos!B9*(1-G2)</f>
        <v/>
      </c>
      <c r="R2" s="9">
        <f>Mecanismos!B9*(1-J2)</f>
        <v/>
      </c>
      <c r="S2" s="9">
        <f>Mecanismos!B8*H2</f>
        <v/>
      </c>
      <c r="T2" s="9">
        <f>Mecanismos!B10*H2</f>
        <v/>
      </c>
      <c r="U2" s="9">
        <f>Mecanismos!B8*K2</f>
        <v/>
      </c>
      <c r="V2" s="9">
        <f>Mecanismos!B3*D2</f>
        <v/>
      </c>
      <c r="W2" s="9">
        <f>Parametros!B2+Parametros!B4*(S2+T2+U2+V2)-Parametros!B3*(L2+M2+N2+O2+P2+Q2+R2)</f>
        <v/>
      </c>
      <c r="X2" s="10">
        <f>1/(1+EXP(-W2))</f>
        <v/>
      </c>
      <c r="Y2" s="11">
        <f>IF(Parametros!B6=1,0.15+0.85*(1/(1+EXP(-8*((1-N2)-0.45)))),1)</f>
        <v/>
      </c>
      <c r="Z2" s="11">
        <f>IF(Parametros!B7=1,MAX(0.05,1-L2^1.6),1)</f>
        <v/>
      </c>
      <c r="AA2" s="11">
        <f>IF(Parametros!B8=1,0.2+0.8*(1/(1+EXP(-9*(S2-0.25)))),1)</f>
        <v/>
      </c>
      <c r="AB2" s="10">
        <f>X2*Y2*Z2*AA2</f>
        <v/>
      </c>
    </row>
    <row r="3">
      <c r="A3" t="inlineStr">
        <is>
          <t>ycuw8b</t>
        </is>
      </c>
      <c r="B3" t="inlineStr">
        <is>
          <t>Agatha Guerra</t>
        </is>
      </c>
      <c r="C3" s="8" t="n">
        <v>0.672</v>
      </c>
      <c r="D3" s="8" t="n">
        <v>0.3535</v>
      </c>
      <c r="E3" s="8" t="n">
        <v>0.6503</v>
      </c>
      <c r="F3" s="8" t="n">
        <v>0.4687</v>
      </c>
      <c r="G3" s="8" t="n">
        <v>0.1713</v>
      </c>
      <c r="H3" s="8" t="n">
        <v>0.391</v>
      </c>
      <c r="I3" s="8" t="n">
        <v>0.293</v>
      </c>
      <c r="J3" s="8" t="n">
        <v>0.7038</v>
      </c>
      <c r="K3" s="8" t="n">
        <v>0.417</v>
      </c>
      <c r="L3" s="9">
        <f>1-(1-Mecanismos!B2)*(1-C3)</f>
        <v/>
      </c>
      <c r="M3" s="9">
        <f>Mecanismos!B7*D3</f>
        <v/>
      </c>
      <c r="N3" s="9">
        <f>Mecanismos!B4*(1-E3)</f>
        <v/>
      </c>
      <c r="O3" s="9">
        <f>Mecanismos!B5*(1-F3)</f>
        <v/>
      </c>
      <c r="P3" s="9">
        <f>Mecanismos!B6*(1-I3)</f>
        <v/>
      </c>
      <c r="Q3" s="9">
        <f>Mecanismos!B9*(1-G3)</f>
        <v/>
      </c>
      <c r="R3" s="9">
        <f>Mecanismos!B9*(1-J3)</f>
        <v/>
      </c>
      <c r="S3" s="9">
        <f>Mecanismos!B8*H3</f>
        <v/>
      </c>
      <c r="T3" s="9">
        <f>Mecanismos!B10*H3</f>
        <v/>
      </c>
      <c r="U3" s="9">
        <f>Mecanismos!B8*K3</f>
        <v/>
      </c>
      <c r="V3" s="9">
        <f>Mecanismos!B3*D3</f>
        <v/>
      </c>
      <c r="W3" s="9">
        <f>Parametros!B2+Parametros!B4*(S3+T3+U3+V3)-Parametros!B3*(L3+M3+N3+O3+P3+Q3+R3)</f>
        <v/>
      </c>
      <c r="X3" s="10">
        <f>1/(1+EXP(-W3))</f>
        <v/>
      </c>
      <c r="Y3" s="11">
        <f>IF(Parametros!B6=1,0.15+0.85*(1/(1+EXP(-8*((1-N3)-0.45)))),1)</f>
        <v/>
      </c>
      <c r="Z3" s="11">
        <f>IF(Parametros!B7=1,MAX(0.05,1-L3^1.6),1)</f>
        <v/>
      </c>
      <c r="AA3" s="11">
        <f>IF(Parametros!B8=1,0.2+0.8*(1/(1+EXP(-9*(S3-0.25)))),1)</f>
        <v/>
      </c>
      <c r="AB3" s="10">
        <f>X3*Y3*Z3*AA3</f>
        <v/>
      </c>
    </row>
    <row r="4">
      <c r="A4" t="inlineStr">
        <is>
          <t>mja8fy</t>
        </is>
      </c>
      <c r="B4" t="inlineStr">
        <is>
          <t>Agatha da Luz</t>
        </is>
      </c>
      <c r="C4" s="8" t="n">
        <v>0.667</v>
      </c>
      <c r="D4" s="8" t="n">
        <v>0.5021</v>
      </c>
      <c r="E4" s="8" t="n">
        <v>0.4128</v>
      </c>
      <c r="F4" s="8" t="n">
        <v>0.3794</v>
      </c>
      <c r="G4" s="8" t="n">
        <v>0.7026</v>
      </c>
      <c r="H4" s="8" t="n">
        <v>0.5784</v>
      </c>
      <c r="I4" s="8" t="n">
        <v>0.6464</v>
      </c>
      <c r="J4" s="8" t="n">
        <v>0.8411</v>
      </c>
      <c r="K4" s="8" t="n">
        <v>0.3977</v>
      </c>
      <c r="L4" s="9">
        <f>1-(1-Mecanismos!B2)*(1-C4)</f>
        <v/>
      </c>
      <c r="M4" s="9">
        <f>Mecanismos!B7*D4</f>
        <v/>
      </c>
      <c r="N4" s="9">
        <f>Mecanismos!B4*(1-E4)</f>
        <v/>
      </c>
      <c r="O4" s="9">
        <f>Mecanismos!B5*(1-F4)</f>
        <v/>
      </c>
      <c r="P4" s="9">
        <f>Mecanismos!B6*(1-I4)</f>
        <v/>
      </c>
      <c r="Q4" s="9">
        <f>Mecanismos!B9*(1-G4)</f>
        <v/>
      </c>
      <c r="R4" s="9">
        <f>Mecanismos!B9*(1-J4)</f>
        <v/>
      </c>
      <c r="S4" s="9">
        <f>Mecanismos!B8*H4</f>
        <v/>
      </c>
      <c r="T4" s="9">
        <f>Mecanismos!B10*H4</f>
        <v/>
      </c>
      <c r="U4" s="9">
        <f>Mecanismos!B8*K4</f>
        <v/>
      </c>
      <c r="V4" s="9">
        <f>Mecanismos!B3*D4</f>
        <v/>
      </c>
      <c r="W4" s="9">
        <f>Parametros!B2+Parametros!B4*(S4+T4+U4+V4)-Parametros!B3*(L4+M4+N4+O4+P4+Q4+R4)</f>
        <v/>
      </c>
      <c r="X4" s="10">
        <f>1/(1+EXP(-W4))</f>
        <v/>
      </c>
      <c r="Y4" s="11">
        <f>IF(Parametros!B6=1,0.15+0.85*(1/(1+EXP(-8*((1-N4)-0.45)))),1)</f>
        <v/>
      </c>
      <c r="Z4" s="11">
        <f>IF(Parametros!B7=1,MAX(0.05,1-L4^1.6),1)</f>
        <v/>
      </c>
      <c r="AA4" s="11">
        <f>IF(Parametros!B8=1,0.2+0.8*(1/(1+EXP(-9*(S4-0.25)))),1)</f>
        <v/>
      </c>
      <c r="AB4" s="10">
        <f>X4*Y4*Z4*AA4</f>
        <v/>
      </c>
    </row>
    <row r="5">
      <c r="A5" t="inlineStr">
        <is>
          <t>2vwwqi</t>
        </is>
      </c>
      <c r="B5" t="inlineStr">
        <is>
          <t>Alana Melo</t>
        </is>
      </c>
      <c r="C5" s="8" t="n">
        <v>0.3713</v>
      </c>
      <c r="D5" s="8" t="n">
        <v>0.5632</v>
      </c>
      <c r="E5" s="8" t="n">
        <v>0.3653</v>
      </c>
      <c r="F5" s="8" t="n">
        <v>0.6151</v>
      </c>
      <c r="G5" s="8" t="n">
        <v>0.5162</v>
      </c>
      <c r="H5" s="8" t="n">
        <v>0.6516</v>
      </c>
      <c r="I5" s="8" t="n">
        <v>0.6868</v>
      </c>
      <c r="J5" s="8" t="n">
        <v>0.849</v>
      </c>
      <c r="K5" s="8" t="n">
        <v>0.5913</v>
      </c>
      <c r="L5" s="9">
        <f>1-(1-Mecanismos!B2)*(1-C5)</f>
        <v/>
      </c>
      <c r="M5" s="9">
        <f>Mecanismos!B7*D5</f>
        <v/>
      </c>
      <c r="N5" s="9">
        <f>Mecanismos!B4*(1-E5)</f>
        <v/>
      </c>
      <c r="O5" s="9">
        <f>Mecanismos!B5*(1-F5)</f>
        <v/>
      </c>
      <c r="P5" s="9">
        <f>Mecanismos!B6*(1-I5)</f>
        <v/>
      </c>
      <c r="Q5" s="9">
        <f>Mecanismos!B9*(1-G5)</f>
        <v/>
      </c>
      <c r="R5" s="9">
        <f>Mecanismos!B9*(1-J5)</f>
        <v/>
      </c>
      <c r="S5" s="9">
        <f>Mecanismos!B8*H5</f>
        <v/>
      </c>
      <c r="T5" s="9">
        <f>Mecanismos!B10*H5</f>
        <v/>
      </c>
      <c r="U5" s="9">
        <f>Mecanismos!B8*K5</f>
        <v/>
      </c>
      <c r="V5" s="9">
        <f>Mecanismos!B3*D5</f>
        <v/>
      </c>
      <c r="W5" s="9">
        <f>Parametros!B2+Parametros!B4*(S5+T5+U5+V5)-Parametros!B3*(L5+M5+N5+O5+P5+Q5+R5)</f>
        <v/>
      </c>
      <c r="X5" s="10">
        <f>1/(1+EXP(-W5))</f>
        <v/>
      </c>
      <c r="Y5" s="11">
        <f>IF(Parametros!B6=1,0.15+0.85*(1/(1+EXP(-8*((1-N5)-0.45)))),1)</f>
        <v/>
      </c>
      <c r="Z5" s="11">
        <f>IF(Parametros!B7=1,MAX(0.05,1-L5^1.6),1)</f>
        <v/>
      </c>
      <c r="AA5" s="11">
        <f>IF(Parametros!B8=1,0.2+0.8*(1/(1+EXP(-9*(S5-0.25)))),1)</f>
        <v/>
      </c>
      <c r="AB5" s="10">
        <f>X5*Y5*Z5*AA5</f>
        <v/>
      </c>
    </row>
    <row r="6">
      <c r="A6" t="inlineStr">
        <is>
          <t>hiefbg</t>
        </is>
      </c>
      <c r="B6" t="inlineStr">
        <is>
          <t>Alana Mendes</t>
        </is>
      </c>
      <c r="C6" s="8" t="n">
        <v>0.7579</v>
      </c>
      <c r="D6" s="8" t="n">
        <v>0.364</v>
      </c>
      <c r="E6" s="8" t="n">
        <v>0.494</v>
      </c>
      <c r="F6" s="8" t="n">
        <v>0.654</v>
      </c>
      <c r="G6" s="8" t="n">
        <v>0.5417999999999999</v>
      </c>
      <c r="H6" s="8" t="n">
        <v>0.5337</v>
      </c>
      <c r="I6" s="8" t="n">
        <v>0.4388</v>
      </c>
      <c r="J6" s="8" t="n">
        <v>0.7873</v>
      </c>
      <c r="K6" s="8" t="n">
        <v>0.5696</v>
      </c>
      <c r="L6" s="9">
        <f>1-(1-Mecanismos!B2)*(1-C6)</f>
        <v/>
      </c>
      <c r="M6" s="9">
        <f>Mecanismos!B7*D6</f>
        <v/>
      </c>
      <c r="N6" s="9">
        <f>Mecanismos!B4*(1-E6)</f>
        <v/>
      </c>
      <c r="O6" s="9">
        <f>Mecanismos!B5*(1-F6)</f>
        <v/>
      </c>
      <c r="P6" s="9">
        <f>Mecanismos!B6*(1-I6)</f>
        <v/>
      </c>
      <c r="Q6" s="9">
        <f>Mecanismos!B9*(1-G6)</f>
        <v/>
      </c>
      <c r="R6" s="9">
        <f>Mecanismos!B9*(1-J6)</f>
        <v/>
      </c>
      <c r="S6" s="9">
        <f>Mecanismos!B8*H6</f>
        <v/>
      </c>
      <c r="T6" s="9">
        <f>Mecanismos!B10*H6</f>
        <v/>
      </c>
      <c r="U6" s="9">
        <f>Mecanismos!B8*K6</f>
        <v/>
      </c>
      <c r="V6" s="9">
        <f>Mecanismos!B3*D6</f>
        <v/>
      </c>
      <c r="W6" s="9">
        <f>Parametros!B2+Parametros!B4*(S6+T6+U6+V6)-Parametros!B3*(L6+M6+N6+O6+P6+Q6+R6)</f>
        <v/>
      </c>
      <c r="X6" s="10">
        <f>1/(1+EXP(-W6))</f>
        <v/>
      </c>
      <c r="Y6" s="11">
        <f>IF(Parametros!B6=1,0.15+0.85*(1/(1+EXP(-8*((1-N6)-0.45)))),1)</f>
        <v/>
      </c>
      <c r="Z6" s="11">
        <f>IF(Parametros!B7=1,MAX(0.05,1-L6^1.6),1)</f>
        <v/>
      </c>
      <c r="AA6" s="11">
        <f>IF(Parametros!B8=1,0.2+0.8*(1/(1+EXP(-9*(S6-0.25)))),1)</f>
        <v/>
      </c>
      <c r="AB6" s="10">
        <f>X6*Y6*Z6*AA6</f>
        <v/>
      </c>
    </row>
    <row r="7">
      <c r="A7" t="inlineStr">
        <is>
          <t>kjbp9x</t>
        </is>
      </c>
      <c r="B7" t="inlineStr">
        <is>
          <t>Alana Sampaio</t>
        </is>
      </c>
      <c r="C7" s="8" t="n">
        <v>0.6633</v>
      </c>
      <c r="D7" s="8" t="n">
        <v>0.6004</v>
      </c>
      <c r="E7" s="8" t="n">
        <v>0.8205</v>
      </c>
      <c r="F7" s="8" t="n">
        <v>0.7936</v>
      </c>
      <c r="G7" s="8" t="n">
        <v>0.4981</v>
      </c>
      <c r="H7" s="8" t="n">
        <v>0.4378</v>
      </c>
      <c r="I7" s="8" t="n">
        <v>0.8625</v>
      </c>
      <c r="J7" s="8" t="n">
        <v>0.9478</v>
      </c>
      <c r="K7" s="8" t="n">
        <v>0.8110000000000001</v>
      </c>
      <c r="L7" s="9">
        <f>1-(1-Mecanismos!B2)*(1-C7)</f>
        <v/>
      </c>
      <c r="M7" s="9">
        <f>Mecanismos!B7*D7</f>
        <v/>
      </c>
      <c r="N7" s="9">
        <f>Mecanismos!B4*(1-E7)</f>
        <v/>
      </c>
      <c r="O7" s="9">
        <f>Mecanismos!B5*(1-F7)</f>
        <v/>
      </c>
      <c r="P7" s="9">
        <f>Mecanismos!B6*(1-I7)</f>
        <v/>
      </c>
      <c r="Q7" s="9">
        <f>Mecanismos!B9*(1-G7)</f>
        <v/>
      </c>
      <c r="R7" s="9">
        <f>Mecanismos!B9*(1-J7)</f>
        <v/>
      </c>
      <c r="S7" s="9">
        <f>Mecanismos!B8*H7</f>
        <v/>
      </c>
      <c r="T7" s="9">
        <f>Mecanismos!B10*H7</f>
        <v/>
      </c>
      <c r="U7" s="9">
        <f>Mecanismos!B8*K7</f>
        <v/>
      </c>
      <c r="V7" s="9">
        <f>Mecanismos!B3*D7</f>
        <v/>
      </c>
      <c r="W7" s="9">
        <f>Parametros!B2+Parametros!B4*(S7+T7+U7+V7)-Parametros!B3*(L7+M7+N7+O7+P7+Q7+R7)</f>
        <v/>
      </c>
      <c r="X7" s="10">
        <f>1/(1+EXP(-W7))</f>
        <v/>
      </c>
      <c r="Y7" s="11">
        <f>IF(Parametros!B6=1,0.15+0.85*(1/(1+EXP(-8*((1-N7)-0.45)))),1)</f>
        <v/>
      </c>
      <c r="Z7" s="11">
        <f>IF(Parametros!B7=1,MAX(0.05,1-L7^1.6),1)</f>
        <v/>
      </c>
      <c r="AA7" s="11">
        <f>IF(Parametros!B8=1,0.2+0.8*(1/(1+EXP(-9*(S7-0.25)))),1)</f>
        <v/>
      </c>
      <c r="AB7" s="10">
        <f>X7*Y7*Z7*AA7</f>
        <v/>
      </c>
    </row>
    <row r="8">
      <c r="A8" t="inlineStr">
        <is>
          <t>1n4il4</t>
        </is>
      </c>
      <c r="B8" t="inlineStr">
        <is>
          <t>Alexandre Teixeira</t>
        </is>
      </c>
      <c r="C8" s="8" t="n">
        <v>0.3554</v>
      </c>
      <c r="D8" s="8" t="n">
        <v>0.3904</v>
      </c>
      <c r="E8" s="8" t="n">
        <v>0.36</v>
      </c>
      <c r="F8" s="8" t="n">
        <v>0.5608</v>
      </c>
      <c r="G8" s="8" t="n">
        <v>0.5613</v>
      </c>
      <c r="H8" s="8" t="n">
        <v>0.7287</v>
      </c>
      <c r="I8" s="8" t="n">
        <v>0.4539</v>
      </c>
      <c r="J8" s="8" t="n">
        <v>0.8381</v>
      </c>
      <c r="K8" s="8" t="n">
        <v>0.5836</v>
      </c>
      <c r="L8" s="9">
        <f>1-(1-Mecanismos!B2)*(1-C8)</f>
        <v/>
      </c>
      <c r="M8" s="9">
        <f>Mecanismos!B7*D8</f>
        <v/>
      </c>
      <c r="N8" s="9">
        <f>Mecanismos!B4*(1-E8)</f>
        <v/>
      </c>
      <c r="O8" s="9">
        <f>Mecanismos!B5*(1-F8)</f>
        <v/>
      </c>
      <c r="P8" s="9">
        <f>Mecanismos!B6*(1-I8)</f>
        <v/>
      </c>
      <c r="Q8" s="9">
        <f>Mecanismos!B9*(1-G8)</f>
        <v/>
      </c>
      <c r="R8" s="9">
        <f>Mecanismos!B9*(1-J8)</f>
        <v/>
      </c>
      <c r="S8" s="9">
        <f>Mecanismos!B8*H8</f>
        <v/>
      </c>
      <c r="T8" s="9">
        <f>Mecanismos!B10*H8</f>
        <v/>
      </c>
      <c r="U8" s="9">
        <f>Mecanismos!B8*K8</f>
        <v/>
      </c>
      <c r="V8" s="9">
        <f>Mecanismos!B3*D8</f>
        <v/>
      </c>
      <c r="W8" s="9">
        <f>Parametros!B2+Parametros!B4*(S8+T8+U8+V8)-Parametros!B3*(L8+M8+N8+O8+P8+Q8+R8)</f>
        <v/>
      </c>
      <c r="X8" s="10">
        <f>1/(1+EXP(-W8))</f>
        <v/>
      </c>
      <c r="Y8" s="11">
        <f>IF(Parametros!B6=1,0.15+0.85*(1/(1+EXP(-8*((1-N8)-0.45)))),1)</f>
        <v/>
      </c>
      <c r="Z8" s="11">
        <f>IF(Parametros!B7=1,MAX(0.05,1-L8^1.6),1)</f>
        <v/>
      </c>
      <c r="AA8" s="11">
        <f>IF(Parametros!B8=1,0.2+0.8*(1/(1+EXP(-9*(S8-0.25)))),1)</f>
        <v/>
      </c>
      <c r="AB8" s="10">
        <f>X8*Y8*Z8*AA8</f>
        <v/>
      </c>
    </row>
    <row r="9">
      <c r="A9" t="inlineStr">
        <is>
          <t>e0yieb</t>
        </is>
      </c>
      <c r="B9" t="inlineStr">
        <is>
          <t>Alexia Andrade</t>
        </is>
      </c>
      <c r="C9" s="8" t="n">
        <v>0.6242</v>
      </c>
      <c r="D9" s="8" t="n">
        <v>0.6683</v>
      </c>
      <c r="E9" s="8" t="n">
        <v>0.745</v>
      </c>
      <c r="F9" s="8" t="n">
        <v>0.4704</v>
      </c>
      <c r="G9" s="8" t="n">
        <v>0.4094</v>
      </c>
      <c r="H9" s="8" t="n">
        <v>0.6267</v>
      </c>
      <c r="I9" s="8" t="n">
        <v>0.5469000000000001</v>
      </c>
      <c r="J9" s="8" t="n">
        <v>0.7495000000000001</v>
      </c>
      <c r="K9" s="8" t="n">
        <v>0.2266</v>
      </c>
      <c r="L9" s="9">
        <f>1-(1-Mecanismos!B2)*(1-C9)</f>
        <v/>
      </c>
      <c r="M9" s="9">
        <f>Mecanismos!B7*D9</f>
        <v/>
      </c>
      <c r="N9" s="9">
        <f>Mecanismos!B4*(1-E9)</f>
        <v/>
      </c>
      <c r="O9" s="9">
        <f>Mecanismos!B5*(1-F9)</f>
        <v/>
      </c>
      <c r="P9" s="9">
        <f>Mecanismos!B6*(1-I9)</f>
        <v/>
      </c>
      <c r="Q9" s="9">
        <f>Mecanismos!B9*(1-G9)</f>
        <v/>
      </c>
      <c r="R9" s="9">
        <f>Mecanismos!B9*(1-J9)</f>
        <v/>
      </c>
      <c r="S9" s="9">
        <f>Mecanismos!B8*H9</f>
        <v/>
      </c>
      <c r="T9" s="9">
        <f>Mecanismos!B10*H9</f>
        <v/>
      </c>
      <c r="U9" s="9">
        <f>Mecanismos!B8*K9</f>
        <v/>
      </c>
      <c r="V9" s="9">
        <f>Mecanismos!B3*D9</f>
        <v/>
      </c>
      <c r="W9" s="9">
        <f>Parametros!B2+Parametros!B4*(S9+T9+U9+V9)-Parametros!B3*(L9+M9+N9+O9+P9+Q9+R9)</f>
        <v/>
      </c>
      <c r="X9" s="10">
        <f>1/(1+EXP(-W9))</f>
        <v/>
      </c>
      <c r="Y9" s="11">
        <f>IF(Parametros!B6=1,0.15+0.85*(1/(1+EXP(-8*((1-N9)-0.45)))),1)</f>
        <v/>
      </c>
      <c r="Z9" s="11">
        <f>IF(Parametros!B7=1,MAX(0.05,1-L9^1.6),1)</f>
        <v/>
      </c>
      <c r="AA9" s="11">
        <f>IF(Parametros!B8=1,0.2+0.8*(1/(1+EXP(-9*(S9-0.25)))),1)</f>
        <v/>
      </c>
      <c r="AB9" s="10">
        <f>X9*Y9*Z9*AA9</f>
        <v/>
      </c>
    </row>
    <row r="10">
      <c r="A10" t="inlineStr">
        <is>
          <t>4sq5jx</t>
        </is>
      </c>
      <c r="B10" t="inlineStr">
        <is>
          <t>Alexia Leão</t>
        </is>
      </c>
      <c r="C10" s="8" t="n">
        <v>0.8264</v>
      </c>
      <c r="D10" s="8" t="n">
        <v>0.1673</v>
      </c>
      <c r="E10" s="8" t="n">
        <v>0.7268</v>
      </c>
      <c r="F10" s="8" t="n">
        <v>0.6361</v>
      </c>
      <c r="G10" s="8" t="n">
        <v>0.4829</v>
      </c>
      <c r="H10" s="8" t="n">
        <v>0.615</v>
      </c>
      <c r="I10" s="8" t="n">
        <v>0.2892</v>
      </c>
      <c r="J10" s="8" t="n">
        <v>0.5758</v>
      </c>
      <c r="K10" s="8" t="n">
        <v>0.5314</v>
      </c>
      <c r="L10" s="9">
        <f>1-(1-Mecanismos!B2)*(1-C10)</f>
        <v/>
      </c>
      <c r="M10" s="9">
        <f>Mecanismos!B7*D10</f>
        <v/>
      </c>
      <c r="N10" s="9">
        <f>Mecanismos!B4*(1-E10)</f>
        <v/>
      </c>
      <c r="O10" s="9">
        <f>Mecanismos!B5*(1-F10)</f>
        <v/>
      </c>
      <c r="P10" s="9">
        <f>Mecanismos!B6*(1-I10)</f>
        <v/>
      </c>
      <c r="Q10" s="9">
        <f>Mecanismos!B9*(1-G10)</f>
        <v/>
      </c>
      <c r="R10" s="9">
        <f>Mecanismos!B9*(1-J10)</f>
        <v/>
      </c>
      <c r="S10" s="9">
        <f>Mecanismos!B8*H10</f>
        <v/>
      </c>
      <c r="T10" s="9">
        <f>Mecanismos!B10*H10</f>
        <v/>
      </c>
      <c r="U10" s="9">
        <f>Mecanismos!B8*K10</f>
        <v/>
      </c>
      <c r="V10" s="9">
        <f>Mecanismos!B3*D10</f>
        <v/>
      </c>
      <c r="W10" s="9">
        <f>Parametros!B2+Parametros!B4*(S10+T10+U10+V10)-Parametros!B3*(L10+M10+N10+O10+P10+Q10+R10)</f>
        <v/>
      </c>
      <c r="X10" s="10">
        <f>1/(1+EXP(-W10))</f>
        <v/>
      </c>
      <c r="Y10" s="11">
        <f>IF(Parametros!B6=1,0.15+0.85*(1/(1+EXP(-8*((1-N10)-0.45)))),1)</f>
        <v/>
      </c>
      <c r="Z10" s="11">
        <f>IF(Parametros!B7=1,MAX(0.05,1-L10^1.6),1)</f>
        <v/>
      </c>
      <c r="AA10" s="11">
        <f>IF(Parametros!B8=1,0.2+0.8*(1/(1+EXP(-9*(S10-0.25)))),1)</f>
        <v/>
      </c>
      <c r="AB10" s="10">
        <f>X10*Y10*Z10*AA10</f>
        <v/>
      </c>
    </row>
    <row r="11">
      <c r="A11" t="inlineStr">
        <is>
          <t>jmrdzk</t>
        </is>
      </c>
      <c r="B11" t="inlineStr">
        <is>
          <t>Alice Viana</t>
        </is>
      </c>
      <c r="C11" s="8" t="n">
        <v>0.6551</v>
      </c>
      <c r="D11" s="8" t="n">
        <v>0.494</v>
      </c>
      <c r="E11" s="8" t="n">
        <v>0.5437</v>
      </c>
      <c r="F11" s="8" t="n">
        <v>0.5328000000000001</v>
      </c>
      <c r="G11" s="8" t="n">
        <v>0.4685</v>
      </c>
      <c r="H11" s="8" t="n">
        <v>0.4087</v>
      </c>
      <c r="I11" s="8" t="n">
        <v>0.4094</v>
      </c>
      <c r="J11" s="8" t="n">
        <v>0.4493</v>
      </c>
      <c r="K11" s="8" t="n">
        <v>0.5552</v>
      </c>
      <c r="L11" s="9">
        <f>1-(1-Mecanismos!B2)*(1-C11)</f>
        <v/>
      </c>
      <c r="M11" s="9">
        <f>Mecanismos!B7*D11</f>
        <v/>
      </c>
      <c r="N11" s="9">
        <f>Mecanismos!B4*(1-E11)</f>
        <v/>
      </c>
      <c r="O11" s="9">
        <f>Mecanismos!B5*(1-F11)</f>
        <v/>
      </c>
      <c r="P11" s="9">
        <f>Mecanismos!B6*(1-I11)</f>
        <v/>
      </c>
      <c r="Q11" s="9">
        <f>Mecanismos!B9*(1-G11)</f>
        <v/>
      </c>
      <c r="R11" s="9">
        <f>Mecanismos!B9*(1-J11)</f>
        <v/>
      </c>
      <c r="S11" s="9">
        <f>Mecanismos!B8*H11</f>
        <v/>
      </c>
      <c r="T11" s="9">
        <f>Mecanismos!B10*H11</f>
        <v/>
      </c>
      <c r="U11" s="9">
        <f>Mecanismos!B8*K11</f>
        <v/>
      </c>
      <c r="V11" s="9">
        <f>Mecanismos!B3*D11</f>
        <v/>
      </c>
      <c r="W11" s="9">
        <f>Parametros!B2+Parametros!B4*(S11+T11+U11+V11)-Parametros!B3*(L11+M11+N11+O11+P11+Q11+R11)</f>
        <v/>
      </c>
      <c r="X11" s="10">
        <f>1/(1+EXP(-W11))</f>
        <v/>
      </c>
      <c r="Y11" s="11">
        <f>IF(Parametros!B6=1,0.15+0.85*(1/(1+EXP(-8*((1-N11)-0.45)))),1)</f>
        <v/>
      </c>
      <c r="Z11" s="11">
        <f>IF(Parametros!B7=1,MAX(0.05,1-L11^1.6),1)</f>
        <v/>
      </c>
      <c r="AA11" s="11">
        <f>IF(Parametros!B8=1,0.2+0.8*(1/(1+EXP(-9*(S11-0.25)))),1)</f>
        <v/>
      </c>
      <c r="AB11" s="10">
        <f>X11*Y11*Z11*AA11</f>
        <v/>
      </c>
    </row>
    <row r="12">
      <c r="A12" t="inlineStr">
        <is>
          <t>7f8fws</t>
        </is>
      </c>
      <c r="B12" t="inlineStr">
        <is>
          <t>Alice da Mata</t>
        </is>
      </c>
      <c r="C12" s="8" t="n">
        <v>0.5141</v>
      </c>
      <c r="D12" s="8" t="n">
        <v>0.6296</v>
      </c>
      <c r="E12" s="8" t="n">
        <v>0.4268</v>
      </c>
      <c r="F12" s="8" t="n">
        <v>0.3476</v>
      </c>
      <c r="G12" s="8" t="n">
        <v>0.374</v>
      </c>
      <c r="H12" s="8" t="n">
        <v>0.6985</v>
      </c>
      <c r="I12" s="8" t="n">
        <v>0.4863</v>
      </c>
      <c r="J12" s="8" t="n">
        <v>0.5631</v>
      </c>
      <c r="K12" s="8" t="n">
        <v>0.6764</v>
      </c>
      <c r="L12" s="9">
        <f>1-(1-Mecanismos!B2)*(1-C12)</f>
        <v/>
      </c>
      <c r="M12" s="9">
        <f>Mecanismos!B7*D12</f>
        <v/>
      </c>
      <c r="N12" s="9">
        <f>Mecanismos!B4*(1-E12)</f>
        <v/>
      </c>
      <c r="O12" s="9">
        <f>Mecanismos!B5*(1-F12)</f>
        <v/>
      </c>
      <c r="P12" s="9">
        <f>Mecanismos!B6*(1-I12)</f>
        <v/>
      </c>
      <c r="Q12" s="9">
        <f>Mecanismos!B9*(1-G12)</f>
        <v/>
      </c>
      <c r="R12" s="9">
        <f>Mecanismos!B9*(1-J12)</f>
        <v/>
      </c>
      <c r="S12" s="9">
        <f>Mecanismos!B8*H12</f>
        <v/>
      </c>
      <c r="T12" s="9">
        <f>Mecanismos!B10*H12</f>
        <v/>
      </c>
      <c r="U12" s="9">
        <f>Mecanismos!B8*K12</f>
        <v/>
      </c>
      <c r="V12" s="9">
        <f>Mecanismos!B3*D12</f>
        <v/>
      </c>
      <c r="W12" s="9">
        <f>Parametros!B2+Parametros!B4*(S12+T12+U12+V12)-Parametros!B3*(L12+M12+N12+O12+P12+Q12+R12)</f>
        <v/>
      </c>
      <c r="X12" s="10">
        <f>1/(1+EXP(-W12))</f>
        <v/>
      </c>
      <c r="Y12" s="11">
        <f>IF(Parametros!B6=1,0.15+0.85*(1/(1+EXP(-8*((1-N12)-0.45)))),1)</f>
        <v/>
      </c>
      <c r="Z12" s="11">
        <f>IF(Parametros!B7=1,MAX(0.05,1-L12^1.6),1)</f>
        <v/>
      </c>
      <c r="AA12" s="11">
        <f>IF(Parametros!B8=1,0.2+0.8*(1/(1+EXP(-9*(S12-0.25)))),1)</f>
        <v/>
      </c>
      <c r="AB12" s="10">
        <f>X12*Y12*Z12*AA12</f>
        <v/>
      </c>
    </row>
    <row r="13">
      <c r="A13" t="inlineStr">
        <is>
          <t>rowjhd</t>
        </is>
      </c>
      <c r="B13" t="inlineStr">
        <is>
          <t>Amanda Borges</t>
        </is>
      </c>
      <c r="C13" s="8" t="n">
        <v>0.4831</v>
      </c>
      <c r="D13" s="8" t="n">
        <v>0.7473</v>
      </c>
      <c r="E13" s="8" t="n">
        <v>0.7506</v>
      </c>
      <c r="F13" s="8" t="n">
        <v>0.5026</v>
      </c>
      <c r="G13" s="8" t="n">
        <v>0.4954</v>
      </c>
      <c r="H13" s="8" t="n">
        <v>0.1903</v>
      </c>
      <c r="I13" s="8" t="n">
        <v>0.3792</v>
      </c>
      <c r="J13" s="8" t="n">
        <v>0.8038999999999999</v>
      </c>
      <c r="K13" s="8" t="n">
        <v>0.6823</v>
      </c>
      <c r="L13" s="9">
        <f>1-(1-Mecanismos!B2)*(1-C13)</f>
        <v/>
      </c>
      <c r="M13" s="9">
        <f>Mecanismos!B7*D13</f>
        <v/>
      </c>
      <c r="N13" s="9">
        <f>Mecanismos!B4*(1-E13)</f>
        <v/>
      </c>
      <c r="O13" s="9">
        <f>Mecanismos!B5*(1-F13)</f>
        <v/>
      </c>
      <c r="P13" s="9">
        <f>Mecanismos!B6*(1-I13)</f>
        <v/>
      </c>
      <c r="Q13" s="9">
        <f>Mecanismos!B9*(1-G13)</f>
        <v/>
      </c>
      <c r="R13" s="9">
        <f>Mecanismos!B9*(1-J13)</f>
        <v/>
      </c>
      <c r="S13" s="9">
        <f>Mecanismos!B8*H13</f>
        <v/>
      </c>
      <c r="T13" s="9">
        <f>Mecanismos!B10*H13</f>
        <v/>
      </c>
      <c r="U13" s="9">
        <f>Mecanismos!B8*K13</f>
        <v/>
      </c>
      <c r="V13" s="9">
        <f>Mecanismos!B3*D13</f>
        <v/>
      </c>
      <c r="W13" s="9">
        <f>Parametros!B2+Parametros!B4*(S13+T13+U13+V13)-Parametros!B3*(L13+M13+N13+O13+P13+Q13+R13)</f>
        <v/>
      </c>
      <c r="X13" s="10">
        <f>1/(1+EXP(-W13))</f>
        <v/>
      </c>
      <c r="Y13" s="11">
        <f>IF(Parametros!B6=1,0.15+0.85*(1/(1+EXP(-8*((1-N13)-0.45)))),1)</f>
        <v/>
      </c>
      <c r="Z13" s="11">
        <f>IF(Parametros!B7=1,MAX(0.05,1-L13^1.6),1)</f>
        <v/>
      </c>
      <c r="AA13" s="11">
        <f>IF(Parametros!B8=1,0.2+0.8*(1/(1+EXP(-9*(S13-0.25)))),1)</f>
        <v/>
      </c>
      <c r="AB13" s="10">
        <f>X13*Y13*Z13*AA13</f>
        <v/>
      </c>
    </row>
    <row r="14">
      <c r="A14" t="inlineStr">
        <is>
          <t>1y2uu5</t>
        </is>
      </c>
      <c r="B14" t="inlineStr">
        <is>
          <t>Amanda Macedo</t>
        </is>
      </c>
      <c r="C14" s="8" t="n">
        <v>0.5779</v>
      </c>
      <c r="D14" s="8" t="n">
        <v>0.639</v>
      </c>
      <c r="E14" s="8" t="n">
        <v>0.4479</v>
      </c>
      <c r="F14" s="8" t="n">
        <v>0.487</v>
      </c>
      <c r="G14" s="8" t="n">
        <v>0.5453</v>
      </c>
      <c r="H14" s="8" t="n">
        <v>0.8054</v>
      </c>
      <c r="I14" s="8" t="n">
        <v>0.2896</v>
      </c>
      <c r="J14" s="8" t="n">
        <v>0.7511</v>
      </c>
      <c r="K14" s="8" t="n">
        <v>0.3963</v>
      </c>
      <c r="L14" s="9">
        <f>1-(1-Mecanismos!B2)*(1-C14)</f>
        <v/>
      </c>
      <c r="M14" s="9">
        <f>Mecanismos!B7*D14</f>
        <v/>
      </c>
      <c r="N14" s="9">
        <f>Mecanismos!B4*(1-E14)</f>
        <v/>
      </c>
      <c r="O14" s="9">
        <f>Mecanismos!B5*(1-F14)</f>
        <v/>
      </c>
      <c r="P14" s="9">
        <f>Mecanismos!B6*(1-I14)</f>
        <v/>
      </c>
      <c r="Q14" s="9">
        <f>Mecanismos!B9*(1-G14)</f>
        <v/>
      </c>
      <c r="R14" s="9">
        <f>Mecanismos!B9*(1-J14)</f>
        <v/>
      </c>
      <c r="S14" s="9">
        <f>Mecanismos!B8*H14</f>
        <v/>
      </c>
      <c r="T14" s="9">
        <f>Mecanismos!B10*H14</f>
        <v/>
      </c>
      <c r="U14" s="9">
        <f>Mecanismos!B8*K14</f>
        <v/>
      </c>
      <c r="V14" s="9">
        <f>Mecanismos!B3*D14</f>
        <v/>
      </c>
      <c r="W14" s="9">
        <f>Parametros!B2+Parametros!B4*(S14+T14+U14+V14)-Parametros!B3*(L14+M14+N14+O14+P14+Q14+R14)</f>
        <v/>
      </c>
      <c r="X14" s="10">
        <f>1/(1+EXP(-W14))</f>
        <v/>
      </c>
      <c r="Y14" s="11">
        <f>IF(Parametros!B6=1,0.15+0.85*(1/(1+EXP(-8*((1-N14)-0.45)))),1)</f>
        <v/>
      </c>
      <c r="Z14" s="11">
        <f>IF(Parametros!B7=1,MAX(0.05,1-L14^1.6),1)</f>
        <v/>
      </c>
      <c r="AA14" s="11">
        <f>IF(Parametros!B8=1,0.2+0.8*(1/(1+EXP(-9*(S14-0.25)))),1)</f>
        <v/>
      </c>
      <c r="AB14" s="10">
        <f>X14*Y14*Z14*AA14</f>
        <v/>
      </c>
    </row>
    <row r="15">
      <c r="A15" t="inlineStr">
        <is>
          <t>yvzwll</t>
        </is>
      </c>
      <c r="B15" t="inlineStr">
        <is>
          <t>Amanda Peixoto</t>
        </is>
      </c>
      <c r="C15" s="8" t="n">
        <v>0.4727</v>
      </c>
      <c r="D15" s="8" t="n">
        <v>0.7343</v>
      </c>
      <c r="E15" s="8" t="n">
        <v>0.3431</v>
      </c>
      <c r="F15" s="8" t="n">
        <v>0.5958</v>
      </c>
      <c r="G15" s="8" t="n">
        <v>0.5342</v>
      </c>
      <c r="H15" s="8" t="n">
        <v>0.3446</v>
      </c>
      <c r="I15" s="8" t="n">
        <v>0.4876</v>
      </c>
      <c r="J15" s="8" t="n">
        <v>0.8244</v>
      </c>
      <c r="K15" s="8" t="n">
        <v>0.4287</v>
      </c>
      <c r="L15" s="9">
        <f>1-(1-Mecanismos!B2)*(1-C15)</f>
        <v/>
      </c>
      <c r="M15" s="9">
        <f>Mecanismos!B7*D15</f>
        <v/>
      </c>
      <c r="N15" s="9">
        <f>Mecanismos!B4*(1-E15)</f>
        <v/>
      </c>
      <c r="O15" s="9">
        <f>Mecanismos!B5*(1-F15)</f>
        <v/>
      </c>
      <c r="P15" s="9">
        <f>Mecanismos!B6*(1-I15)</f>
        <v/>
      </c>
      <c r="Q15" s="9">
        <f>Mecanismos!B9*(1-G15)</f>
        <v/>
      </c>
      <c r="R15" s="9">
        <f>Mecanismos!B9*(1-J15)</f>
        <v/>
      </c>
      <c r="S15" s="9">
        <f>Mecanismos!B8*H15</f>
        <v/>
      </c>
      <c r="T15" s="9">
        <f>Mecanismos!B10*H15</f>
        <v/>
      </c>
      <c r="U15" s="9">
        <f>Mecanismos!B8*K15</f>
        <v/>
      </c>
      <c r="V15" s="9">
        <f>Mecanismos!B3*D15</f>
        <v/>
      </c>
      <c r="W15" s="9">
        <f>Parametros!B2+Parametros!B4*(S15+T15+U15+V15)-Parametros!B3*(L15+M15+N15+O15+P15+Q15+R15)</f>
        <v/>
      </c>
      <c r="X15" s="10">
        <f>1/(1+EXP(-W15))</f>
        <v/>
      </c>
      <c r="Y15" s="11">
        <f>IF(Parametros!B6=1,0.15+0.85*(1/(1+EXP(-8*((1-N15)-0.45)))),1)</f>
        <v/>
      </c>
      <c r="Z15" s="11">
        <f>IF(Parametros!B7=1,MAX(0.05,1-L15^1.6),1)</f>
        <v/>
      </c>
      <c r="AA15" s="11">
        <f>IF(Parametros!B8=1,0.2+0.8*(1/(1+EXP(-9*(S15-0.25)))),1)</f>
        <v/>
      </c>
      <c r="AB15" s="10">
        <f>X15*Y15*Z15*AA15</f>
        <v/>
      </c>
    </row>
    <row r="16">
      <c r="A16" t="inlineStr">
        <is>
          <t>fpdnn9</t>
        </is>
      </c>
      <c r="B16" t="inlineStr">
        <is>
          <t>Ana Barbosa</t>
        </is>
      </c>
      <c r="C16" s="8" t="n">
        <v>0.6177</v>
      </c>
      <c r="D16" s="8" t="n">
        <v>0.4707</v>
      </c>
      <c r="E16" s="8" t="n">
        <v>0.6524</v>
      </c>
      <c r="F16" s="8" t="n">
        <v>0.3185</v>
      </c>
      <c r="G16" s="8" t="n">
        <v>0.1936</v>
      </c>
      <c r="H16" s="8" t="n">
        <v>0.7026</v>
      </c>
      <c r="I16" s="8" t="n">
        <v>0.4452</v>
      </c>
      <c r="J16" s="8" t="n">
        <v>0.2627</v>
      </c>
      <c r="K16" s="8" t="n">
        <v>0.6608000000000001</v>
      </c>
      <c r="L16" s="9">
        <f>1-(1-Mecanismos!B2)*(1-C16)</f>
        <v/>
      </c>
      <c r="M16" s="9">
        <f>Mecanismos!B7*D16</f>
        <v/>
      </c>
      <c r="N16" s="9">
        <f>Mecanismos!B4*(1-E16)</f>
        <v/>
      </c>
      <c r="O16" s="9">
        <f>Mecanismos!B5*(1-F16)</f>
        <v/>
      </c>
      <c r="P16" s="9">
        <f>Mecanismos!B6*(1-I16)</f>
        <v/>
      </c>
      <c r="Q16" s="9">
        <f>Mecanismos!B9*(1-G16)</f>
        <v/>
      </c>
      <c r="R16" s="9">
        <f>Mecanismos!B9*(1-J16)</f>
        <v/>
      </c>
      <c r="S16" s="9">
        <f>Mecanismos!B8*H16</f>
        <v/>
      </c>
      <c r="T16" s="9">
        <f>Mecanismos!B10*H16</f>
        <v/>
      </c>
      <c r="U16" s="9">
        <f>Mecanismos!B8*K16</f>
        <v/>
      </c>
      <c r="V16" s="9">
        <f>Mecanismos!B3*D16</f>
        <v/>
      </c>
      <c r="W16" s="9">
        <f>Parametros!B2+Parametros!B4*(S16+T16+U16+V16)-Parametros!B3*(L16+M16+N16+O16+P16+Q16+R16)</f>
        <v/>
      </c>
      <c r="X16" s="10">
        <f>1/(1+EXP(-W16))</f>
        <v/>
      </c>
      <c r="Y16" s="11">
        <f>IF(Parametros!B6=1,0.15+0.85*(1/(1+EXP(-8*((1-N16)-0.45)))),1)</f>
        <v/>
      </c>
      <c r="Z16" s="11">
        <f>IF(Parametros!B7=1,MAX(0.05,1-L16^1.6),1)</f>
        <v/>
      </c>
      <c r="AA16" s="11">
        <f>IF(Parametros!B8=1,0.2+0.8*(1/(1+EXP(-9*(S16-0.25)))),1)</f>
        <v/>
      </c>
      <c r="AB16" s="10">
        <f>X16*Y16*Z16*AA16</f>
        <v/>
      </c>
    </row>
    <row r="17">
      <c r="A17" t="inlineStr">
        <is>
          <t>u054is</t>
        </is>
      </c>
      <c r="B17" t="inlineStr">
        <is>
          <t>Ana Clara Cassiano</t>
        </is>
      </c>
      <c r="C17" s="8" t="n">
        <v>0.482</v>
      </c>
      <c r="D17" s="8" t="n">
        <v>0.3428</v>
      </c>
      <c r="E17" s="8" t="n">
        <v>0.4249</v>
      </c>
      <c r="F17" s="8" t="n">
        <v>0.6884</v>
      </c>
      <c r="G17" s="8" t="n">
        <v>0.3907</v>
      </c>
      <c r="H17" s="8" t="n">
        <v>0.554</v>
      </c>
      <c r="I17" s="8" t="n">
        <v>0.377</v>
      </c>
      <c r="J17" s="8" t="n">
        <v>0.834</v>
      </c>
      <c r="K17" s="8" t="n">
        <v>0.2637</v>
      </c>
      <c r="L17" s="9">
        <f>1-(1-Mecanismos!B2)*(1-C17)</f>
        <v/>
      </c>
      <c r="M17" s="9">
        <f>Mecanismos!B7*D17</f>
        <v/>
      </c>
      <c r="N17" s="9">
        <f>Mecanismos!B4*(1-E17)</f>
        <v/>
      </c>
      <c r="O17" s="9">
        <f>Mecanismos!B5*(1-F17)</f>
        <v/>
      </c>
      <c r="P17" s="9">
        <f>Mecanismos!B6*(1-I17)</f>
        <v/>
      </c>
      <c r="Q17" s="9">
        <f>Mecanismos!B9*(1-G17)</f>
        <v/>
      </c>
      <c r="R17" s="9">
        <f>Mecanismos!B9*(1-J17)</f>
        <v/>
      </c>
      <c r="S17" s="9">
        <f>Mecanismos!B8*H17</f>
        <v/>
      </c>
      <c r="T17" s="9">
        <f>Mecanismos!B10*H17</f>
        <v/>
      </c>
      <c r="U17" s="9">
        <f>Mecanismos!B8*K17</f>
        <v/>
      </c>
      <c r="V17" s="9">
        <f>Mecanismos!B3*D17</f>
        <v/>
      </c>
      <c r="W17" s="9">
        <f>Parametros!B2+Parametros!B4*(S17+T17+U17+V17)-Parametros!B3*(L17+M17+N17+O17+P17+Q17+R17)</f>
        <v/>
      </c>
      <c r="X17" s="10">
        <f>1/(1+EXP(-W17))</f>
        <v/>
      </c>
      <c r="Y17" s="11">
        <f>IF(Parametros!B6=1,0.15+0.85*(1/(1+EXP(-8*((1-N17)-0.45)))),1)</f>
        <v/>
      </c>
      <c r="Z17" s="11">
        <f>IF(Parametros!B7=1,MAX(0.05,1-L17^1.6),1)</f>
        <v/>
      </c>
      <c r="AA17" s="11">
        <f>IF(Parametros!B8=1,0.2+0.8*(1/(1+EXP(-9*(S17-0.25)))),1)</f>
        <v/>
      </c>
      <c r="AB17" s="10">
        <f>X17*Y17*Z17*AA17</f>
        <v/>
      </c>
    </row>
    <row r="18">
      <c r="A18" t="inlineStr">
        <is>
          <t>xgsu67</t>
        </is>
      </c>
      <c r="B18" t="inlineStr">
        <is>
          <t>Ana Clara Rios</t>
        </is>
      </c>
      <c r="C18" s="8" t="n">
        <v>0.6802</v>
      </c>
      <c r="D18" s="8" t="n">
        <v>0.6899</v>
      </c>
      <c r="E18" s="8" t="n">
        <v>0.6476</v>
      </c>
      <c r="F18" s="8" t="n">
        <v>0.5962</v>
      </c>
      <c r="G18" s="8" t="n">
        <v>0.7459</v>
      </c>
      <c r="H18" s="8" t="n">
        <v>0.3991</v>
      </c>
      <c r="I18" s="8" t="n">
        <v>0.4314</v>
      </c>
      <c r="J18" s="8" t="n">
        <v>0.8275</v>
      </c>
      <c r="K18" s="8" t="n">
        <v>0.3217</v>
      </c>
      <c r="L18" s="9">
        <f>1-(1-Mecanismos!B2)*(1-C18)</f>
        <v/>
      </c>
      <c r="M18" s="9">
        <f>Mecanismos!B7*D18</f>
        <v/>
      </c>
      <c r="N18" s="9">
        <f>Mecanismos!B4*(1-E18)</f>
        <v/>
      </c>
      <c r="O18" s="9">
        <f>Mecanismos!B5*(1-F18)</f>
        <v/>
      </c>
      <c r="P18" s="9">
        <f>Mecanismos!B6*(1-I18)</f>
        <v/>
      </c>
      <c r="Q18" s="9">
        <f>Mecanismos!B9*(1-G18)</f>
        <v/>
      </c>
      <c r="R18" s="9">
        <f>Mecanismos!B9*(1-J18)</f>
        <v/>
      </c>
      <c r="S18" s="9">
        <f>Mecanismos!B8*H18</f>
        <v/>
      </c>
      <c r="T18" s="9">
        <f>Mecanismos!B10*H18</f>
        <v/>
      </c>
      <c r="U18" s="9">
        <f>Mecanismos!B8*K18</f>
        <v/>
      </c>
      <c r="V18" s="9">
        <f>Mecanismos!B3*D18</f>
        <v/>
      </c>
      <c r="W18" s="9">
        <f>Parametros!B2+Parametros!B4*(S18+T18+U18+V18)-Parametros!B3*(L18+M18+N18+O18+P18+Q18+R18)</f>
        <v/>
      </c>
      <c r="X18" s="10">
        <f>1/(1+EXP(-W18))</f>
        <v/>
      </c>
      <c r="Y18" s="11">
        <f>IF(Parametros!B6=1,0.15+0.85*(1/(1+EXP(-8*((1-N18)-0.45)))),1)</f>
        <v/>
      </c>
      <c r="Z18" s="11">
        <f>IF(Parametros!B7=1,MAX(0.05,1-L18^1.6),1)</f>
        <v/>
      </c>
      <c r="AA18" s="11">
        <f>IF(Parametros!B8=1,0.2+0.8*(1/(1+EXP(-9*(S18-0.25)))),1)</f>
        <v/>
      </c>
      <c r="AB18" s="10">
        <f>X18*Y18*Z18*AA18</f>
        <v/>
      </c>
    </row>
    <row r="19">
      <c r="A19" t="inlineStr">
        <is>
          <t>y8qk5p</t>
        </is>
      </c>
      <c r="B19" t="inlineStr">
        <is>
          <t>Ana Clara Sousa</t>
        </is>
      </c>
      <c r="C19" s="8" t="n">
        <v>0.7096</v>
      </c>
      <c r="D19" s="8" t="n">
        <v>0.5046</v>
      </c>
      <c r="E19" s="8" t="n">
        <v>0.4867</v>
      </c>
      <c r="F19" s="8" t="n">
        <v>0.4112</v>
      </c>
      <c r="G19" s="8" t="n">
        <v>0.4019</v>
      </c>
      <c r="H19" s="8" t="n">
        <v>0.5574</v>
      </c>
      <c r="I19" s="8" t="n">
        <v>0.4573</v>
      </c>
      <c r="J19" s="8" t="n">
        <v>0.6935</v>
      </c>
      <c r="K19" s="8" t="n">
        <v>0.6738</v>
      </c>
      <c r="L19" s="9">
        <f>1-(1-Mecanismos!B2)*(1-C19)</f>
        <v/>
      </c>
      <c r="M19" s="9">
        <f>Mecanismos!B7*D19</f>
        <v/>
      </c>
      <c r="N19" s="9">
        <f>Mecanismos!B4*(1-E19)</f>
        <v/>
      </c>
      <c r="O19" s="9">
        <f>Mecanismos!B5*(1-F19)</f>
        <v/>
      </c>
      <c r="P19" s="9">
        <f>Mecanismos!B6*(1-I19)</f>
        <v/>
      </c>
      <c r="Q19" s="9">
        <f>Mecanismos!B9*(1-G19)</f>
        <v/>
      </c>
      <c r="R19" s="9">
        <f>Mecanismos!B9*(1-J19)</f>
        <v/>
      </c>
      <c r="S19" s="9">
        <f>Mecanismos!B8*H19</f>
        <v/>
      </c>
      <c r="T19" s="9">
        <f>Mecanismos!B10*H19</f>
        <v/>
      </c>
      <c r="U19" s="9">
        <f>Mecanismos!B8*K19</f>
        <v/>
      </c>
      <c r="V19" s="9">
        <f>Mecanismos!B3*D19</f>
        <v/>
      </c>
      <c r="W19" s="9">
        <f>Parametros!B2+Parametros!B4*(S19+T19+U19+V19)-Parametros!B3*(L19+M19+N19+O19+P19+Q19+R19)</f>
        <v/>
      </c>
      <c r="X19" s="10">
        <f>1/(1+EXP(-W19))</f>
        <v/>
      </c>
      <c r="Y19" s="11">
        <f>IF(Parametros!B6=1,0.15+0.85*(1/(1+EXP(-8*((1-N19)-0.45)))),1)</f>
        <v/>
      </c>
      <c r="Z19" s="11">
        <f>IF(Parametros!B7=1,MAX(0.05,1-L19^1.6),1)</f>
        <v/>
      </c>
      <c r="AA19" s="11">
        <f>IF(Parametros!B8=1,0.2+0.8*(1/(1+EXP(-9*(S19-0.25)))),1)</f>
        <v/>
      </c>
      <c r="AB19" s="10">
        <f>X19*Y19*Z19*AA19</f>
        <v/>
      </c>
    </row>
    <row r="20">
      <c r="A20" t="inlineStr">
        <is>
          <t>fzr0b1</t>
        </is>
      </c>
      <c r="B20" t="inlineStr">
        <is>
          <t>Ana Julia Fogaça</t>
        </is>
      </c>
      <c r="C20" s="8" t="n">
        <v>0.5371</v>
      </c>
      <c r="D20" s="8" t="n">
        <v>0.2871</v>
      </c>
      <c r="E20" s="8" t="n">
        <v>0.5211</v>
      </c>
      <c r="F20" s="8" t="n">
        <v>0.9073</v>
      </c>
      <c r="G20" s="8" t="n">
        <v>0.4671</v>
      </c>
      <c r="H20" s="8" t="n">
        <v>0.2976</v>
      </c>
      <c r="I20" s="8" t="n">
        <v>0.9482</v>
      </c>
      <c r="J20" s="8" t="n">
        <v>0.847</v>
      </c>
      <c r="K20" s="8" t="n">
        <v>0.7314000000000001</v>
      </c>
      <c r="L20" s="9">
        <f>1-(1-Mecanismos!B2)*(1-C20)</f>
        <v/>
      </c>
      <c r="M20" s="9">
        <f>Mecanismos!B7*D20</f>
        <v/>
      </c>
      <c r="N20" s="9">
        <f>Mecanismos!B4*(1-E20)</f>
        <v/>
      </c>
      <c r="O20" s="9">
        <f>Mecanismos!B5*(1-F20)</f>
        <v/>
      </c>
      <c r="P20" s="9">
        <f>Mecanismos!B6*(1-I20)</f>
        <v/>
      </c>
      <c r="Q20" s="9">
        <f>Mecanismos!B9*(1-G20)</f>
        <v/>
      </c>
      <c r="R20" s="9">
        <f>Mecanismos!B9*(1-J20)</f>
        <v/>
      </c>
      <c r="S20" s="9">
        <f>Mecanismos!B8*H20</f>
        <v/>
      </c>
      <c r="T20" s="9">
        <f>Mecanismos!B10*H20</f>
        <v/>
      </c>
      <c r="U20" s="9">
        <f>Mecanismos!B8*K20</f>
        <v/>
      </c>
      <c r="V20" s="9">
        <f>Mecanismos!B3*D20</f>
        <v/>
      </c>
      <c r="W20" s="9">
        <f>Parametros!B2+Parametros!B4*(S20+T20+U20+V20)-Parametros!B3*(L20+M20+N20+O20+P20+Q20+R20)</f>
        <v/>
      </c>
      <c r="X20" s="10">
        <f>1/(1+EXP(-W20))</f>
        <v/>
      </c>
      <c r="Y20" s="11">
        <f>IF(Parametros!B6=1,0.15+0.85*(1/(1+EXP(-8*((1-N20)-0.45)))),1)</f>
        <v/>
      </c>
      <c r="Z20" s="11">
        <f>IF(Parametros!B7=1,MAX(0.05,1-L20^1.6),1)</f>
        <v/>
      </c>
      <c r="AA20" s="11">
        <f>IF(Parametros!B8=1,0.2+0.8*(1/(1+EXP(-9*(S20-0.25)))),1)</f>
        <v/>
      </c>
      <c r="AB20" s="10">
        <f>X20*Y20*Z20*AA20</f>
        <v/>
      </c>
    </row>
    <row r="21">
      <c r="A21" t="inlineStr">
        <is>
          <t>qzmdtd</t>
        </is>
      </c>
      <c r="B21" t="inlineStr">
        <is>
          <t>Ana Laura Teixeira</t>
        </is>
      </c>
      <c r="C21" s="8" t="n">
        <v>0.6281</v>
      </c>
      <c r="D21" s="8" t="n">
        <v>0.4908</v>
      </c>
      <c r="E21" s="8" t="n">
        <v>0.5673</v>
      </c>
      <c r="F21" s="8" t="n">
        <v>0.4507</v>
      </c>
      <c r="G21" s="8" t="n">
        <v>0.3665</v>
      </c>
      <c r="H21" s="8" t="n">
        <v>0.6074000000000001</v>
      </c>
      <c r="I21" s="8" t="n">
        <v>0.7429</v>
      </c>
      <c r="J21" s="8" t="n">
        <v>0.8381999999999999</v>
      </c>
      <c r="K21" s="8" t="n">
        <v>0.3408</v>
      </c>
      <c r="L21" s="9">
        <f>1-(1-Mecanismos!B2)*(1-C21)</f>
        <v/>
      </c>
      <c r="M21" s="9">
        <f>Mecanismos!B7*D21</f>
        <v/>
      </c>
      <c r="N21" s="9">
        <f>Mecanismos!B4*(1-E21)</f>
        <v/>
      </c>
      <c r="O21" s="9">
        <f>Mecanismos!B5*(1-F21)</f>
        <v/>
      </c>
      <c r="P21" s="9">
        <f>Mecanismos!B6*(1-I21)</f>
        <v/>
      </c>
      <c r="Q21" s="9">
        <f>Mecanismos!B9*(1-G21)</f>
        <v/>
      </c>
      <c r="R21" s="9">
        <f>Mecanismos!B9*(1-J21)</f>
        <v/>
      </c>
      <c r="S21" s="9">
        <f>Mecanismos!B8*H21</f>
        <v/>
      </c>
      <c r="T21" s="9">
        <f>Mecanismos!B10*H21</f>
        <v/>
      </c>
      <c r="U21" s="9">
        <f>Mecanismos!B8*K21</f>
        <v/>
      </c>
      <c r="V21" s="9">
        <f>Mecanismos!B3*D21</f>
        <v/>
      </c>
      <c r="W21" s="9">
        <f>Parametros!B2+Parametros!B4*(S21+T21+U21+V21)-Parametros!B3*(L21+M21+N21+O21+P21+Q21+R21)</f>
        <v/>
      </c>
      <c r="X21" s="10">
        <f>1/(1+EXP(-W21))</f>
        <v/>
      </c>
      <c r="Y21" s="11">
        <f>IF(Parametros!B6=1,0.15+0.85*(1/(1+EXP(-8*((1-N21)-0.45)))),1)</f>
        <v/>
      </c>
      <c r="Z21" s="11">
        <f>IF(Parametros!B7=1,MAX(0.05,1-L21^1.6),1)</f>
        <v/>
      </c>
      <c r="AA21" s="11">
        <f>IF(Parametros!B8=1,0.2+0.8*(1/(1+EXP(-9*(S21-0.25)))),1)</f>
        <v/>
      </c>
      <c r="AB21" s="10">
        <f>X21*Y21*Z21*AA21</f>
        <v/>
      </c>
    </row>
    <row r="22">
      <c r="A22" t="inlineStr">
        <is>
          <t>bnq4g8</t>
        </is>
      </c>
      <c r="B22" t="inlineStr">
        <is>
          <t>Ana Laura Vasconcelos</t>
        </is>
      </c>
      <c r="C22" s="8" t="n">
        <v>0.5275</v>
      </c>
      <c r="D22" s="8" t="n">
        <v>0.2379</v>
      </c>
      <c r="E22" s="8" t="n">
        <v>0.2763</v>
      </c>
      <c r="F22" s="8" t="n">
        <v>0.543</v>
      </c>
      <c r="G22" s="8" t="n">
        <v>0.5091</v>
      </c>
      <c r="H22" s="8" t="n">
        <v>0.6506</v>
      </c>
      <c r="I22" s="8" t="n">
        <v>0.6223</v>
      </c>
      <c r="J22" s="8" t="n">
        <v>0.8881</v>
      </c>
      <c r="K22" s="8" t="n">
        <v>0.7897</v>
      </c>
      <c r="L22" s="9">
        <f>1-(1-Mecanismos!B2)*(1-C22)</f>
        <v/>
      </c>
      <c r="M22" s="9">
        <f>Mecanismos!B7*D22</f>
        <v/>
      </c>
      <c r="N22" s="9">
        <f>Mecanismos!B4*(1-E22)</f>
        <v/>
      </c>
      <c r="O22" s="9">
        <f>Mecanismos!B5*(1-F22)</f>
        <v/>
      </c>
      <c r="P22" s="9">
        <f>Mecanismos!B6*(1-I22)</f>
        <v/>
      </c>
      <c r="Q22" s="9">
        <f>Mecanismos!B9*(1-G22)</f>
        <v/>
      </c>
      <c r="R22" s="9">
        <f>Mecanismos!B9*(1-J22)</f>
        <v/>
      </c>
      <c r="S22" s="9">
        <f>Mecanismos!B8*H22</f>
        <v/>
      </c>
      <c r="T22" s="9">
        <f>Mecanismos!B10*H22</f>
        <v/>
      </c>
      <c r="U22" s="9">
        <f>Mecanismos!B8*K22</f>
        <v/>
      </c>
      <c r="V22" s="9">
        <f>Mecanismos!B3*D22</f>
        <v/>
      </c>
      <c r="W22" s="9">
        <f>Parametros!B2+Parametros!B4*(S22+T22+U22+V22)-Parametros!B3*(L22+M22+N22+O22+P22+Q22+R22)</f>
        <v/>
      </c>
      <c r="X22" s="10">
        <f>1/(1+EXP(-W22))</f>
        <v/>
      </c>
      <c r="Y22" s="11">
        <f>IF(Parametros!B6=1,0.15+0.85*(1/(1+EXP(-8*((1-N22)-0.45)))),1)</f>
        <v/>
      </c>
      <c r="Z22" s="11">
        <f>IF(Parametros!B7=1,MAX(0.05,1-L22^1.6),1)</f>
        <v/>
      </c>
      <c r="AA22" s="11">
        <f>IF(Parametros!B8=1,0.2+0.8*(1/(1+EXP(-9*(S22-0.25)))),1)</f>
        <v/>
      </c>
      <c r="AB22" s="10">
        <f>X22*Y22*Z22*AA22</f>
        <v/>
      </c>
    </row>
    <row r="23">
      <c r="A23" t="inlineStr">
        <is>
          <t>3slswy</t>
        </is>
      </c>
      <c r="B23" t="inlineStr">
        <is>
          <t>Ana Laura da Rosa</t>
        </is>
      </c>
      <c r="C23" s="8" t="n">
        <v>0.7673</v>
      </c>
      <c r="D23" s="8" t="n">
        <v>0.291</v>
      </c>
      <c r="E23" s="8" t="n">
        <v>0.6108</v>
      </c>
      <c r="F23" s="8" t="n">
        <v>0.4839</v>
      </c>
      <c r="G23" s="8" t="n">
        <v>0.518</v>
      </c>
      <c r="H23" s="8" t="n">
        <v>0.5109</v>
      </c>
      <c r="I23" s="8" t="n">
        <v>0.4589</v>
      </c>
      <c r="J23" s="8" t="n">
        <v>0.7554999999999999</v>
      </c>
      <c r="K23" s="8" t="n">
        <v>0.744</v>
      </c>
      <c r="L23" s="9">
        <f>1-(1-Mecanismos!B2)*(1-C23)</f>
        <v/>
      </c>
      <c r="M23" s="9">
        <f>Mecanismos!B7*D23</f>
        <v/>
      </c>
      <c r="N23" s="9">
        <f>Mecanismos!B4*(1-E23)</f>
        <v/>
      </c>
      <c r="O23" s="9">
        <f>Mecanismos!B5*(1-F23)</f>
        <v/>
      </c>
      <c r="P23" s="9">
        <f>Mecanismos!B6*(1-I23)</f>
        <v/>
      </c>
      <c r="Q23" s="9">
        <f>Mecanismos!B9*(1-G23)</f>
        <v/>
      </c>
      <c r="R23" s="9">
        <f>Mecanismos!B9*(1-J23)</f>
        <v/>
      </c>
      <c r="S23" s="9">
        <f>Mecanismos!B8*H23</f>
        <v/>
      </c>
      <c r="T23" s="9">
        <f>Mecanismos!B10*H23</f>
        <v/>
      </c>
      <c r="U23" s="9">
        <f>Mecanismos!B8*K23</f>
        <v/>
      </c>
      <c r="V23" s="9">
        <f>Mecanismos!B3*D23</f>
        <v/>
      </c>
      <c r="W23" s="9">
        <f>Parametros!B2+Parametros!B4*(S23+T23+U23+V23)-Parametros!B3*(L23+M23+N23+O23+P23+Q23+R23)</f>
        <v/>
      </c>
      <c r="X23" s="10">
        <f>1/(1+EXP(-W23))</f>
        <v/>
      </c>
      <c r="Y23" s="11">
        <f>IF(Parametros!B6=1,0.15+0.85*(1/(1+EXP(-8*((1-N23)-0.45)))),1)</f>
        <v/>
      </c>
      <c r="Z23" s="11">
        <f>IF(Parametros!B7=1,MAX(0.05,1-L23^1.6),1)</f>
        <v/>
      </c>
      <c r="AA23" s="11">
        <f>IF(Parametros!B8=1,0.2+0.8*(1/(1+EXP(-9*(S23-0.25)))),1)</f>
        <v/>
      </c>
      <c r="AB23" s="10">
        <f>X23*Y23*Z23*AA23</f>
        <v/>
      </c>
    </row>
    <row r="24">
      <c r="A24" t="inlineStr">
        <is>
          <t>sjao07</t>
        </is>
      </c>
      <c r="B24" t="inlineStr">
        <is>
          <t>Ana Liz Borges</t>
        </is>
      </c>
      <c r="C24" s="8" t="n">
        <v>0.4846</v>
      </c>
      <c r="D24" s="8" t="n">
        <v>0.0926</v>
      </c>
      <c r="E24" s="8" t="n">
        <v>0.5595</v>
      </c>
      <c r="F24" s="8" t="n">
        <v>0.3968</v>
      </c>
      <c r="G24" s="8" t="n">
        <v>0.4163</v>
      </c>
      <c r="H24" s="8" t="n">
        <v>0.5266</v>
      </c>
      <c r="I24" s="8" t="n">
        <v>0.5485</v>
      </c>
      <c r="J24" s="8" t="n">
        <v>0.9257</v>
      </c>
      <c r="K24" s="8" t="n">
        <v>0.4696</v>
      </c>
      <c r="L24" s="9">
        <f>1-(1-Mecanismos!B2)*(1-C24)</f>
        <v/>
      </c>
      <c r="M24" s="9">
        <f>Mecanismos!B7*D24</f>
        <v/>
      </c>
      <c r="N24" s="9">
        <f>Mecanismos!B4*(1-E24)</f>
        <v/>
      </c>
      <c r="O24" s="9">
        <f>Mecanismos!B5*(1-F24)</f>
        <v/>
      </c>
      <c r="P24" s="9">
        <f>Mecanismos!B6*(1-I24)</f>
        <v/>
      </c>
      <c r="Q24" s="9">
        <f>Mecanismos!B9*(1-G24)</f>
        <v/>
      </c>
      <c r="R24" s="9">
        <f>Mecanismos!B9*(1-J24)</f>
        <v/>
      </c>
      <c r="S24" s="9">
        <f>Mecanismos!B8*H24</f>
        <v/>
      </c>
      <c r="T24" s="9">
        <f>Mecanismos!B10*H24</f>
        <v/>
      </c>
      <c r="U24" s="9">
        <f>Mecanismos!B8*K24</f>
        <v/>
      </c>
      <c r="V24" s="9">
        <f>Mecanismos!B3*D24</f>
        <v/>
      </c>
      <c r="W24" s="9">
        <f>Parametros!B2+Parametros!B4*(S24+T24+U24+V24)-Parametros!B3*(L24+M24+N24+O24+P24+Q24+R24)</f>
        <v/>
      </c>
      <c r="X24" s="10">
        <f>1/(1+EXP(-W24))</f>
        <v/>
      </c>
      <c r="Y24" s="11">
        <f>IF(Parametros!B6=1,0.15+0.85*(1/(1+EXP(-8*((1-N24)-0.45)))),1)</f>
        <v/>
      </c>
      <c r="Z24" s="11">
        <f>IF(Parametros!B7=1,MAX(0.05,1-L24^1.6),1)</f>
        <v/>
      </c>
      <c r="AA24" s="11">
        <f>IF(Parametros!B8=1,0.2+0.8*(1/(1+EXP(-9*(S24-0.25)))),1)</f>
        <v/>
      </c>
      <c r="AB24" s="10">
        <f>X24*Y24*Z24*AA24</f>
        <v/>
      </c>
    </row>
    <row r="25">
      <c r="A25" t="inlineStr">
        <is>
          <t>ubeq1i</t>
        </is>
      </c>
      <c r="B25" t="inlineStr">
        <is>
          <t>Ana Lívia Martins</t>
        </is>
      </c>
      <c r="C25" s="8" t="n">
        <v>0.4008</v>
      </c>
      <c r="D25" s="8" t="n">
        <v>0.4217</v>
      </c>
      <c r="E25" s="8" t="n">
        <v>0.6392</v>
      </c>
      <c r="F25" s="8" t="n">
        <v>0.4039</v>
      </c>
      <c r="G25" s="8" t="n">
        <v>0.3616</v>
      </c>
      <c r="H25" s="8" t="n">
        <v>0.5483</v>
      </c>
      <c r="I25" s="8" t="n">
        <v>0.6078</v>
      </c>
      <c r="J25" s="8" t="n">
        <v>0.7788</v>
      </c>
      <c r="K25" s="8" t="n">
        <v>0.8832</v>
      </c>
      <c r="L25" s="9">
        <f>1-(1-Mecanismos!B2)*(1-C25)</f>
        <v/>
      </c>
      <c r="M25" s="9">
        <f>Mecanismos!B7*D25</f>
        <v/>
      </c>
      <c r="N25" s="9">
        <f>Mecanismos!B4*(1-E25)</f>
        <v/>
      </c>
      <c r="O25" s="9">
        <f>Mecanismos!B5*(1-F25)</f>
        <v/>
      </c>
      <c r="P25" s="9">
        <f>Mecanismos!B6*(1-I25)</f>
        <v/>
      </c>
      <c r="Q25" s="9">
        <f>Mecanismos!B9*(1-G25)</f>
        <v/>
      </c>
      <c r="R25" s="9">
        <f>Mecanismos!B9*(1-J25)</f>
        <v/>
      </c>
      <c r="S25" s="9">
        <f>Mecanismos!B8*H25</f>
        <v/>
      </c>
      <c r="T25" s="9">
        <f>Mecanismos!B10*H25</f>
        <v/>
      </c>
      <c r="U25" s="9">
        <f>Mecanismos!B8*K25</f>
        <v/>
      </c>
      <c r="V25" s="9">
        <f>Mecanismos!B3*D25</f>
        <v/>
      </c>
      <c r="W25" s="9">
        <f>Parametros!B2+Parametros!B4*(S25+T25+U25+V25)-Parametros!B3*(L25+M25+N25+O25+P25+Q25+R25)</f>
        <v/>
      </c>
      <c r="X25" s="10">
        <f>1/(1+EXP(-W25))</f>
        <v/>
      </c>
      <c r="Y25" s="11">
        <f>IF(Parametros!B6=1,0.15+0.85*(1/(1+EXP(-8*((1-N25)-0.45)))),1)</f>
        <v/>
      </c>
      <c r="Z25" s="11">
        <f>IF(Parametros!B7=1,MAX(0.05,1-L25^1.6),1)</f>
        <v/>
      </c>
      <c r="AA25" s="11">
        <f>IF(Parametros!B8=1,0.2+0.8*(1/(1+EXP(-9*(S25-0.25)))),1)</f>
        <v/>
      </c>
      <c r="AB25" s="10">
        <f>X25*Y25*Z25*AA25</f>
        <v/>
      </c>
    </row>
    <row r="26">
      <c r="A26" t="inlineStr">
        <is>
          <t>gco66u</t>
        </is>
      </c>
      <c r="B26" t="inlineStr">
        <is>
          <t>Ana Lívia Nogueira</t>
        </is>
      </c>
      <c r="C26" s="8" t="n">
        <v>0.6831</v>
      </c>
      <c r="D26" s="8" t="n">
        <v>0.5648</v>
      </c>
      <c r="E26" s="8" t="n">
        <v>0.4168</v>
      </c>
      <c r="F26" s="8" t="n">
        <v>0.3449</v>
      </c>
      <c r="G26" s="8" t="n">
        <v>0.4306</v>
      </c>
      <c r="H26" s="8" t="n">
        <v>0.3484</v>
      </c>
      <c r="I26" s="8" t="n">
        <v>0.6591</v>
      </c>
      <c r="J26" s="8" t="n">
        <v>0.828</v>
      </c>
      <c r="K26" s="8" t="n">
        <v>0.6324</v>
      </c>
      <c r="L26" s="9">
        <f>1-(1-Mecanismos!B2)*(1-C26)</f>
        <v/>
      </c>
      <c r="M26" s="9">
        <f>Mecanismos!B7*D26</f>
        <v/>
      </c>
      <c r="N26" s="9">
        <f>Mecanismos!B4*(1-E26)</f>
        <v/>
      </c>
      <c r="O26" s="9">
        <f>Mecanismos!B5*(1-F26)</f>
        <v/>
      </c>
      <c r="P26" s="9">
        <f>Mecanismos!B6*(1-I26)</f>
        <v/>
      </c>
      <c r="Q26" s="9">
        <f>Mecanismos!B9*(1-G26)</f>
        <v/>
      </c>
      <c r="R26" s="9">
        <f>Mecanismos!B9*(1-J26)</f>
        <v/>
      </c>
      <c r="S26" s="9">
        <f>Mecanismos!B8*H26</f>
        <v/>
      </c>
      <c r="T26" s="9">
        <f>Mecanismos!B10*H26</f>
        <v/>
      </c>
      <c r="U26" s="9">
        <f>Mecanismos!B8*K26</f>
        <v/>
      </c>
      <c r="V26" s="9">
        <f>Mecanismos!B3*D26</f>
        <v/>
      </c>
      <c r="W26" s="9">
        <f>Parametros!B2+Parametros!B4*(S26+T26+U26+V26)-Parametros!B3*(L26+M26+N26+O26+P26+Q26+R26)</f>
        <v/>
      </c>
      <c r="X26" s="10">
        <f>1/(1+EXP(-W26))</f>
        <v/>
      </c>
      <c r="Y26" s="11">
        <f>IF(Parametros!B6=1,0.15+0.85*(1/(1+EXP(-8*((1-N26)-0.45)))),1)</f>
        <v/>
      </c>
      <c r="Z26" s="11">
        <f>IF(Parametros!B7=1,MAX(0.05,1-L26^1.6),1)</f>
        <v/>
      </c>
      <c r="AA26" s="11">
        <f>IF(Parametros!B8=1,0.2+0.8*(1/(1+EXP(-9*(S26-0.25)))),1)</f>
        <v/>
      </c>
      <c r="AB26" s="10">
        <f>X26*Y26*Z26*AA26</f>
        <v/>
      </c>
    </row>
    <row r="27">
      <c r="A27" t="inlineStr">
        <is>
          <t>vnl0qe</t>
        </is>
      </c>
      <c r="B27" t="inlineStr">
        <is>
          <t>Ana Rodrigues</t>
        </is>
      </c>
      <c r="C27" s="8" t="n">
        <v>0.5674</v>
      </c>
      <c r="D27" s="8" t="n">
        <v>0.3866</v>
      </c>
      <c r="E27" s="8" t="n">
        <v>0.6072</v>
      </c>
      <c r="F27" s="8" t="n">
        <v>0.4133</v>
      </c>
      <c r="G27" s="8" t="n">
        <v>0.5369</v>
      </c>
      <c r="H27" s="8" t="n">
        <v>0.8358</v>
      </c>
      <c r="I27" s="8" t="n">
        <v>0.3012</v>
      </c>
      <c r="J27" s="8" t="n">
        <v>0.4514</v>
      </c>
      <c r="K27" s="8" t="n">
        <v>0.728</v>
      </c>
      <c r="L27" s="9">
        <f>1-(1-Mecanismos!B2)*(1-C27)</f>
        <v/>
      </c>
      <c r="M27" s="9">
        <f>Mecanismos!B7*D27</f>
        <v/>
      </c>
      <c r="N27" s="9">
        <f>Mecanismos!B4*(1-E27)</f>
        <v/>
      </c>
      <c r="O27" s="9">
        <f>Mecanismos!B5*(1-F27)</f>
        <v/>
      </c>
      <c r="P27" s="9">
        <f>Mecanismos!B6*(1-I27)</f>
        <v/>
      </c>
      <c r="Q27" s="9">
        <f>Mecanismos!B9*(1-G27)</f>
        <v/>
      </c>
      <c r="R27" s="9">
        <f>Mecanismos!B9*(1-J27)</f>
        <v/>
      </c>
      <c r="S27" s="9">
        <f>Mecanismos!B8*H27</f>
        <v/>
      </c>
      <c r="T27" s="9">
        <f>Mecanismos!B10*H27</f>
        <v/>
      </c>
      <c r="U27" s="9">
        <f>Mecanismos!B8*K27</f>
        <v/>
      </c>
      <c r="V27" s="9">
        <f>Mecanismos!B3*D27</f>
        <v/>
      </c>
      <c r="W27" s="9">
        <f>Parametros!B2+Parametros!B4*(S27+T27+U27+V27)-Parametros!B3*(L27+M27+N27+O27+P27+Q27+R27)</f>
        <v/>
      </c>
      <c r="X27" s="10">
        <f>1/(1+EXP(-W27))</f>
        <v/>
      </c>
      <c r="Y27" s="11">
        <f>IF(Parametros!B6=1,0.15+0.85*(1/(1+EXP(-8*((1-N27)-0.45)))),1)</f>
        <v/>
      </c>
      <c r="Z27" s="11">
        <f>IF(Parametros!B7=1,MAX(0.05,1-L27^1.6),1)</f>
        <v/>
      </c>
      <c r="AA27" s="11">
        <f>IF(Parametros!B8=1,0.2+0.8*(1/(1+EXP(-9*(S27-0.25)))),1)</f>
        <v/>
      </c>
      <c r="AB27" s="10">
        <f>X27*Y27*Z27*AA27</f>
        <v/>
      </c>
    </row>
    <row r="28">
      <c r="A28" t="inlineStr">
        <is>
          <t>n9nc23</t>
        </is>
      </c>
      <c r="B28" t="inlineStr">
        <is>
          <t>Ana Silva</t>
        </is>
      </c>
      <c r="C28" s="8" t="n">
        <v>0.7249</v>
      </c>
      <c r="D28" s="8" t="n">
        <v>0.5329</v>
      </c>
      <c r="E28" s="8" t="n">
        <v>0.5652</v>
      </c>
      <c r="F28" s="8" t="n">
        <v>0.7298</v>
      </c>
      <c r="G28" s="8" t="n">
        <v>0.4544</v>
      </c>
      <c r="H28" s="8" t="n">
        <v>0.3764</v>
      </c>
      <c r="I28" s="8" t="n">
        <v>0.6075</v>
      </c>
      <c r="J28" s="8" t="n">
        <v>0.704</v>
      </c>
      <c r="K28" s="8" t="n">
        <v>0.2905</v>
      </c>
      <c r="L28" s="9">
        <f>1-(1-Mecanismos!B2)*(1-C28)</f>
        <v/>
      </c>
      <c r="M28" s="9">
        <f>Mecanismos!B7*D28</f>
        <v/>
      </c>
      <c r="N28" s="9">
        <f>Mecanismos!B4*(1-E28)</f>
        <v/>
      </c>
      <c r="O28" s="9">
        <f>Mecanismos!B5*(1-F28)</f>
        <v/>
      </c>
      <c r="P28" s="9">
        <f>Mecanismos!B6*(1-I28)</f>
        <v/>
      </c>
      <c r="Q28" s="9">
        <f>Mecanismos!B9*(1-G28)</f>
        <v/>
      </c>
      <c r="R28" s="9">
        <f>Mecanismos!B9*(1-J28)</f>
        <v/>
      </c>
      <c r="S28" s="9">
        <f>Mecanismos!B8*H28</f>
        <v/>
      </c>
      <c r="T28" s="9">
        <f>Mecanismos!B10*H28</f>
        <v/>
      </c>
      <c r="U28" s="9">
        <f>Mecanismos!B8*K28</f>
        <v/>
      </c>
      <c r="V28" s="9">
        <f>Mecanismos!B3*D28</f>
        <v/>
      </c>
      <c r="W28" s="9">
        <f>Parametros!B2+Parametros!B4*(S28+T28+U28+V28)-Parametros!B3*(L28+M28+N28+O28+P28+Q28+R28)</f>
        <v/>
      </c>
      <c r="X28" s="10">
        <f>1/(1+EXP(-W28))</f>
        <v/>
      </c>
      <c r="Y28" s="11">
        <f>IF(Parametros!B6=1,0.15+0.85*(1/(1+EXP(-8*((1-N28)-0.45)))),1)</f>
        <v/>
      </c>
      <c r="Z28" s="11">
        <f>IF(Parametros!B7=1,MAX(0.05,1-L28^1.6),1)</f>
        <v/>
      </c>
      <c r="AA28" s="11">
        <f>IF(Parametros!B8=1,0.2+0.8*(1/(1+EXP(-9*(S28-0.25)))),1)</f>
        <v/>
      </c>
      <c r="AB28" s="10">
        <f>X28*Y28*Z28*AA28</f>
        <v/>
      </c>
    </row>
    <row r="29">
      <c r="A29" t="inlineStr">
        <is>
          <t>55u0d2</t>
        </is>
      </c>
      <c r="B29" t="inlineStr">
        <is>
          <t>Ana Sophia Nascimento</t>
        </is>
      </c>
      <c r="C29" s="8" t="n">
        <v>0.3826</v>
      </c>
      <c r="D29" s="8" t="n">
        <v>0.5293</v>
      </c>
      <c r="E29" s="8" t="n">
        <v>0.5101</v>
      </c>
      <c r="F29" s="8" t="n">
        <v>0.4367</v>
      </c>
      <c r="G29" s="8" t="n">
        <v>0.7156</v>
      </c>
      <c r="H29" s="8" t="n">
        <v>0.7393999999999999</v>
      </c>
      <c r="I29" s="8" t="n">
        <v>0.6999</v>
      </c>
      <c r="J29" s="8" t="n">
        <v>0.8958</v>
      </c>
      <c r="K29" s="8" t="n">
        <v>0.6657</v>
      </c>
      <c r="L29" s="9">
        <f>1-(1-Mecanismos!B2)*(1-C29)</f>
        <v/>
      </c>
      <c r="M29" s="9">
        <f>Mecanismos!B7*D29</f>
        <v/>
      </c>
      <c r="N29" s="9">
        <f>Mecanismos!B4*(1-E29)</f>
        <v/>
      </c>
      <c r="O29" s="9">
        <f>Mecanismos!B5*(1-F29)</f>
        <v/>
      </c>
      <c r="P29" s="9">
        <f>Mecanismos!B6*(1-I29)</f>
        <v/>
      </c>
      <c r="Q29" s="9">
        <f>Mecanismos!B9*(1-G29)</f>
        <v/>
      </c>
      <c r="R29" s="9">
        <f>Mecanismos!B9*(1-J29)</f>
        <v/>
      </c>
      <c r="S29" s="9">
        <f>Mecanismos!B8*H29</f>
        <v/>
      </c>
      <c r="T29" s="9">
        <f>Mecanismos!B10*H29</f>
        <v/>
      </c>
      <c r="U29" s="9">
        <f>Mecanismos!B8*K29</f>
        <v/>
      </c>
      <c r="V29" s="9">
        <f>Mecanismos!B3*D29</f>
        <v/>
      </c>
      <c r="W29" s="9">
        <f>Parametros!B2+Parametros!B4*(S29+T29+U29+V29)-Parametros!B3*(L29+M29+N29+O29+P29+Q29+R29)</f>
        <v/>
      </c>
      <c r="X29" s="10">
        <f>1/(1+EXP(-W29))</f>
        <v/>
      </c>
      <c r="Y29" s="11">
        <f>IF(Parametros!B6=1,0.15+0.85*(1/(1+EXP(-8*((1-N29)-0.45)))),1)</f>
        <v/>
      </c>
      <c r="Z29" s="11">
        <f>IF(Parametros!B7=1,MAX(0.05,1-L29^1.6),1)</f>
        <v/>
      </c>
      <c r="AA29" s="11">
        <f>IF(Parametros!B8=1,0.2+0.8*(1/(1+EXP(-9*(S29-0.25)))),1)</f>
        <v/>
      </c>
      <c r="AB29" s="10">
        <f>X29*Y29*Z29*AA29</f>
        <v/>
      </c>
    </row>
    <row r="30">
      <c r="A30" t="inlineStr">
        <is>
          <t>tkas9o</t>
        </is>
      </c>
      <c r="B30" t="inlineStr">
        <is>
          <t>Ana Sophia Rocha</t>
        </is>
      </c>
      <c r="C30" s="8" t="n">
        <v>0.5473</v>
      </c>
      <c r="D30" s="8" t="n">
        <v>0.2928</v>
      </c>
      <c r="E30" s="8" t="n">
        <v>0.6952</v>
      </c>
      <c r="F30" s="8" t="n">
        <v>0.4635</v>
      </c>
      <c r="G30" s="8" t="n">
        <v>0.4481</v>
      </c>
      <c r="H30" s="8" t="n">
        <v>0.5276</v>
      </c>
      <c r="I30" s="8" t="n">
        <v>0.6712</v>
      </c>
      <c r="J30" s="8" t="n">
        <v>0.8159</v>
      </c>
      <c r="K30" s="8" t="n">
        <v>0.4069</v>
      </c>
      <c r="L30" s="9">
        <f>1-(1-Mecanismos!B2)*(1-C30)</f>
        <v/>
      </c>
      <c r="M30" s="9">
        <f>Mecanismos!B7*D30</f>
        <v/>
      </c>
      <c r="N30" s="9">
        <f>Mecanismos!B4*(1-E30)</f>
        <v/>
      </c>
      <c r="O30" s="9">
        <f>Mecanismos!B5*(1-F30)</f>
        <v/>
      </c>
      <c r="P30" s="9">
        <f>Mecanismos!B6*(1-I30)</f>
        <v/>
      </c>
      <c r="Q30" s="9">
        <f>Mecanismos!B9*(1-G30)</f>
        <v/>
      </c>
      <c r="R30" s="9">
        <f>Mecanismos!B9*(1-J30)</f>
        <v/>
      </c>
      <c r="S30" s="9">
        <f>Mecanismos!B8*H30</f>
        <v/>
      </c>
      <c r="T30" s="9">
        <f>Mecanismos!B10*H30</f>
        <v/>
      </c>
      <c r="U30" s="9">
        <f>Mecanismos!B8*K30</f>
        <v/>
      </c>
      <c r="V30" s="9">
        <f>Mecanismos!B3*D30</f>
        <v/>
      </c>
      <c r="W30" s="9">
        <f>Parametros!B2+Parametros!B4*(S30+T30+U30+V30)-Parametros!B3*(L30+M30+N30+O30+P30+Q30+R30)</f>
        <v/>
      </c>
      <c r="X30" s="10">
        <f>1/(1+EXP(-W30))</f>
        <v/>
      </c>
      <c r="Y30" s="11">
        <f>IF(Parametros!B6=1,0.15+0.85*(1/(1+EXP(-8*((1-N30)-0.45)))),1)</f>
        <v/>
      </c>
      <c r="Z30" s="11">
        <f>IF(Parametros!B7=1,MAX(0.05,1-L30^1.6),1)</f>
        <v/>
      </c>
      <c r="AA30" s="11">
        <f>IF(Parametros!B8=1,0.2+0.8*(1/(1+EXP(-9*(S30-0.25)))),1)</f>
        <v/>
      </c>
      <c r="AB30" s="10">
        <f>X30*Y30*Z30*AA30</f>
        <v/>
      </c>
    </row>
    <row r="31">
      <c r="A31" t="inlineStr">
        <is>
          <t>lnskvf</t>
        </is>
      </c>
      <c r="B31" t="inlineStr">
        <is>
          <t>Ana Sophia Silva</t>
        </is>
      </c>
      <c r="C31" s="8" t="n">
        <v>0.6032999999999999</v>
      </c>
      <c r="D31" s="8" t="n">
        <v>0.5706</v>
      </c>
      <c r="E31" s="8" t="n">
        <v>0.5738</v>
      </c>
      <c r="F31" s="8" t="n">
        <v>0.6856</v>
      </c>
      <c r="G31" s="8" t="n">
        <v>0.625</v>
      </c>
      <c r="H31" s="8" t="n">
        <v>0.6358</v>
      </c>
      <c r="I31" s="8" t="n">
        <v>0.737</v>
      </c>
      <c r="J31" s="8" t="n">
        <v>0.8136</v>
      </c>
      <c r="K31" s="8" t="n">
        <v>0.9127</v>
      </c>
      <c r="L31" s="9">
        <f>1-(1-Mecanismos!B2)*(1-C31)</f>
        <v/>
      </c>
      <c r="M31" s="9">
        <f>Mecanismos!B7*D31</f>
        <v/>
      </c>
      <c r="N31" s="9">
        <f>Mecanismos!B4*(1-E31)</f>
        <v/>
      </c>
      <c r="O31" s="9">
        <f>Mecanismos!B5*(1-F31)</f>
        <v/>
      </c>
      <c r="P31" s="9">
        <f>Mecanismos!B6*(1-I31)</f>
        <v/>
      </c>
      <c r="Q31" s="9">
        <f>Mecanismos!B9*(1-G31)</f>
        <v/>
      </c>
      <c r="R31" s="9">
        <f>Mecanismos!B9*(1-J31)</f>
        <v/>
      </c>
      <c r="S31" s="9">
        <f>Mecanismos!B8*H31</f>
        <v/>
      </c>
      <c r="T31" s="9">
        <f>Mecanismos!B10*H31</f>
        <v/>
      </c>
      <c r="U31" s="9">
        <f>Mecanismos!B8*K31</f>
        <v/>
      </c>
      <c r="V31" s="9">
        <f>Mecanismos!B3*D31</f>
        <v/>
      </c>
      <c r="W31" s="9">
        <f>Parametros!B2+Parametros!B4*(S31+T31+U31+V31)-Parametros!B3*(L31+M31+N31+O31+P31+Q31+R31)</f>
        <v/>
      </c>
      <c r="X31" s="10">
        <f>1/(1+EXP(-W31))</f>
        <v/>
      </c>
      <c r="Y31" s="11">
        <f>IF(Parametros!B6=1,0.15+0.85*(1/(1+EXP(-8*((1-N31)-0.45)))),1)</f>
        <v/>
      </c>
      <c r="Z31" s="11">
        <f>IF(Parametros!B7=1,MAX(0.05,1-L31^1.6),1)</f>
        <v/>
      </c>
      <c r="AA31" s="11">
        <f>IF(Parametros!B8=1,0.2+0.8*(1/(1+EXP(-9*(S31-0.25)))),1)</f>
        <v/>
      </c>
      <c r="AB31" s="10">
        <f>X31*Y31*Z31*AA31</f>
        <v/>
      </c>
    </row>
    <row r="32">
      <c r="A32" t="inlineStr">
        <is>
          <t>bycjlg</t>
        </is>
      </c>
      <c r="B32" t="inlineStr">
        <is>
          <t>Ana Vitória Leão</t>
        </is>
      </c>
      <c r="C32" s="8" t="n">
        <v>0.3706</v>
      </c>
      <c r="D32" s="8" t="n">
        <v>0.7252999999999999</v>
      </c>
      <c r="E32" s="8" t="n">
        <v>0.2394</v>
      </c>
      <c r="F32" s="8" t="n">
        <v>0.653</v>
      </c>
      <c r="G32" s="8" t="n">
        <v>0.6151</v>
      </c>
      <c r="H32" s="8" t="n">
        <v>0.5171</v>
      </c>
      <c r="I32" s="8" t="n">
        <v>0.8532999999999999</v>
      </c>
      <c r="J32" s="8" t="n">
        <v>0.8808</v>
      </c>
      <c r="K32" s="8" t="n">
        <v>0.8521</v>
      </c>
      <c r="L32" s="9">
        <f>1-(1-Mecanismos!B2)*(1-C32)</f>
        <v/>
      </c>
      <c r="M32" s="9">
        <f>Mecanismos!B7*D32</f>
        <v/>
      </c>
      <c r="N32" s="9">
        <f>Mecanismos!B4*(1-E32)</f>
        <v/>
      </c>
      <c r="O32" s="9">
        <f>Mecanismos!B5*(1-F32)</f>
        <v/>
      </c>
      <c r="P32" s="9">
        <f>Mecanismos!B6*(1-I32)</f>
        <v/>
      </c>
      <c r="Q32" s="9">
        <f>Mecanismos!B9*(1-G32)</f>
        <v/>
      </c>
      <c r="R32" s="9">
        <f>Mecanismos!B9*(1-J32)</f>
        <v/>
      </c>
      <c r="S32" s="9">
        <f>Mecanismos!B8*H32</f>
        <v/>
      </c>
      <c r="T32" s="9">
        <f>Mecanismos!B10*H32</f>
        <v/>
      </c>
      <c r="U32" s="9">
        <f>Mecanismos!B8*K32</f>
        <v/>
      </c>
      <c r="V32" s="9">
        <f>Mecanismos!B3*D32</f>
        <v/>
      </c>
      <c r="W32" s="9">
        <f>Parametros!B2+Parametros!B4*(S32+T32+U32+V32)-Parametros!B3*(L32+M32+N32+O32+P32+Q32+R32)</f>
        <v/>
      </c>
      <c r="X32" s="10">
        <f>1/(1+EXP(-W32))</f>
        <v/>
      </c>
      <c r="Y32" s="11">
        <f>IF(Parametros!B6=1,0.15+0.85*(1/(1+EXP(-8*((1-N32)-0.45)))),1)</f>
        <v/>
      </c>
      <c r="Z32" s="11">
        <f>IF(Parametros!B7=1,MAX(0.05,1-L32^1.6),1)</f>
        <v/>
      </c>
      <c r="AA32" s="11">
        <f>IF(Parametros!B8=1,0.2+0.8*(1/(1+EXP(-9*(S32-0.25)))),1)</f>
        <v/>
      </c>
      <c r="AB32" s="10">
        <f>X32*Y32*Z32*AA32</f>
        <v/>
      </c>
    </row>
    <row r="33">
      <c r="A33" t="inlineStr">
        <is>
          <t>tlv0r3</t>
        </is>
      </c>
      <c r="B33" t="inlineStr">
        <is>
          <t>Ana Vitória Novais</t>
        </is>
      </c>
      <c r="C33" s="8" t="n">
        <v>0.792</v>
      </c>
      <c r="D33" s="8" t="n">
        <v>0.6549</v>
      </c>
      <c r="E33" s="8" t="n">
        <v>0.5235</v>
      </c>
      <c r="F33" s="8" t="n">
        <v>0.7449</v>
      </c>
      <c r="G33" s="8" t="n">
        <v>0.5798</v>
      </c>
      <c r="H33" s="8" t="n">
        <v>0.4968</v>
      </c>
      <c r="I33" s="8" t="n">
        <v>0.717</v>
      </c>
      <c r="J33" s="8" t="n">
        <v>0.8845</v>
      </c>
      <c r="K33" s="8" t="n">
        <v>0.7549</v>
      </c>
      <c r="L33" s="9">
        <f>1-(1-Mecanismos!B2)*(1-C33)</f>
        <v/>
      </c>
      <c r="M33" s="9">
        <f>Mecanismos!B7*D33</f>
        <v/>
      </c>
      <c r="N33" s="9">
        <f>Mecanismos!B4*(1-E33)</f>
        <v/>
      </c>
      <c r="O33" s="9">
        <f>Mecanismos!B5*(1-F33)</f>
        <v/>
      </c>
      <c r="P33" s="9">
        <f>Mecanismos!B6*(1-I33)</f>
        <v/>
      </c>
      <c r="Q33" s="9">
        <f>Mecanismos!B9*(1-G33)</f>
        <v/>
      </c>
      <c r="R33" s="9">
        <f>Mecanismos!B9*(1-J33)</f>
        <v/>
      </c>
      <c r="S33" s="9">
        <f>Mecanismos!B8*H33</f>
        <v/>
      </c>
      <c r="T33" s="9">
        <f>Mecanismos!B10*H33</f>
        <v/>
      </c>
      <c r="U33" s="9">
        <f>Mecanismos!B8*K33</f>
        <v/>
      </c>
      <c r="V33" s="9">
        <f>Mecanismos!B3*D33</f>
        <v/>
      </c>
      <c r="W33" s="9">
        <f>Parametros!B2+Parametros!B4*(S33+T33+U33+V33)-Parametros!B3*(L33+M33+N33+O33+P33+Q33+R33)</f>
        <v/>
      </c>
      <c r="X33" s="10">
        <f>1/(1+EXP(-W33))</f>
        <v/>
      </c>
      <c r="Y33" s="11">
        <f>IF(Parametros!B6=1,0.15+0.85*(1/(1+EXP(-8*((1-N33)-0.45)))),1)</f>
        <v/>
      </c>
      <c r="Z33" s="11">
        <f>IF(Parametros!B7=1,MAX(0.05,1-L33^1.6),1)</f>
        <v/>
      </c>
      <c r="AA33" s="11">
        <f>IF(Parametros!B8=1,0.2+0.8*(1/(1+EXP(-9*(S33-0.25)))),1)</f>
        <v/>
      </c>
      <c r="AB33" s="10">
        <f>X33*Y33*Z33*AA33</f>
        <v/>
      </c>
    </row>
    <row r="34">
      <c r="A34" t="inlineStr">
        <is>
          <t>cefy7g</t>
        </is>
      </c>
      <c r="B34" t="inlineStr">
        <is>
          <t>Anna Liz Cirino</t>
        </is>
      </c>
      <c r="C34" s="8" t="n">
        <v>0.6093</v>
      </c>
      <c r="D34" s="8" t="n">
        <v>0.4317</v>
      </c>
      <c r="E34" s="8" t="n">
        <v>0.3123</v>
      </c>
      <c r="F34" s="8" t="n">
        <v>0.4777</v>
      </c>
      <c r="G34" s="8" t="n">
        <v>0.4084</v>
      </c>
      <c r="H34" s="8" t="n">
        <v>0.7045</v>
      </c>
      <c r="I34" s="8" t="n">
        <v>0.8122</v>
      </c>
      <c r="J34" s="8" t="n">
        <v>0.7806</v>
      </c>
      <c r="K34" s="8" t="n">
        <v>0.5385</v>
      </c>
      <c r="L34" s="9">
        <f>1-(1-Mecanismos!B2)*(1-C34)</f>
        <v/>
      </c>
      <c r="M34" s="9">
        <f>Mecanismos!B7*D34</f>
        <v/>
      </c>
      <c r="N34" s="9">
        <f>Mecanismos!B4*(1-E34)</f>
        <v/>
      </c>
      <c r="O34" s="9">
        <f>Mecanismos!B5*(1-F34)</f>
        <v/>
      </c>
      <c r="P34" s="9">
        <f>Mecanismos!B6*(1-I34)</f>
        <v/>
      </c>
      <c r="Q34" s="9">
        <f>Mecanismos!B9*(1-G34)</f>
        <v/>
      </c>
      <c r="R34" s="9">
        <f>Mecanismos!B9*(1-J34)</f>
        <v/>
      </c>
      <c r="S34" s="9">
        <f>Mecanismos!B8*H34</f>
        <v/>
      </c>
      <c r="T34" s="9">
        <f>Mecanismos!B10*H34</f>
        <v/>
      </c>
      <c r="U34" s="9">
        <f>Mecanismos!B8*K34</f>
        <v/>
      </c>
      <c r="V34" s="9">
        <f>Mecanismos!B3*D34</f>
        <v/>
      </c>
      <c r="W34" s="9">
        <f>Parametros!B2+Parametros!B4*(S34+T34+U34+V34)-Parametros!B3*(L34+M34+N34+O34+P34+Q34+R34)</f>
        <v/>
      </c>
      <c r="X34" s="10">
        <f>1/(1+EXP(-W34))</f>
        <v/>
      </c>
      <c r="Y34" s="11">
        <f>IF(Parametros!B6=1,0.15+0.85*(1/(1+EXP(-8*((1-N34)-0.45)))),1)</f>
        <v/>
      </c>
      <c r="Z34" s="11">
        <f>IF(Parametros!B7=1,MAX(0.05,1-L34^1.6),1)</f>
        <v/>
      </c>
      <c r="AA34" s="11">
        <f>IF(Parametros!B8=1,0.2+0.8*(1/(1+EXP(-9*(S34-0.25)))),1)</f>
        <v/>
      </c>
      <c r="AB34" s="10">
        <f>X34*Y34*Z34*AA34</f>
        <v/>
      </c>
    </row>
    <row r="35">
      <c r="A35" t="inlineStr">
        <is>
          <t>046c56</t>
        </is>
      </c>
      <c r="B35" t="inlineStr">
        <is>
          <t>Anna Liz Machado</t>
        </is>
      </c>
      <c r="C35" s="8" t="n">
        <v>0.428</v>
      </c>
      <c r="D35" s="8" t="n">
        <v>0.6072</v>
      </c>
      <c r="E35" s="8" t="n">
        <v>0.5755</v>
      </c>
      <c r="F35" s="8" t="n">
        <v>0.6143999999999999</v>
      </c>
      <c r="G35" s="8" t="n">
        <v>0.4749</v>
      </c>
      <c r="H35" s="8" t="n">
        <v>0.7059</v>
      </c>
      <c r="I35" s="8" t="n">
        <v>0.8791</v>
      </c>
      <c r="J35" s="8" t="n">
        <v>0.8352000000000001</v>
      </c>
      <c r="K35" s="8" t="n">
        <v>0.5581</v>
      </c>
      <c r="L35" s="9">
        <f>1-(1-Mecanismos!B2)*(1-C35)</f>
        <v/>
      </c>
      <c r="M35" s="9">
        <f>Mecanismos!B7*D35</f>
        <v/>
      </c>
      <c r="N35" s="9">
        <f>Mecanismos!B4*(1-E35)</f>
        <v/>
      </c>
      <c r="O35" s="9">
        <f>Mecanismos!B5*(1-F35)</f>
        <v/>
      </c>
      <c r="P35" s="9">
        <f>Mecanismos!B6*(1-I35)</f>
        <v/>
      </c>
      <c r="Q35" s="9">
        <f>Mecanismos!B9*(1-G35)</f>
        <v/>
      </c>
      <c r="R35" s="9">
        <f>Mecanismos!B9*(1-J35)</f>
        <v/>
      </c>
      <c r="S35" s="9">
        <f>Mecanismos!B8*H35</f>
        <v/>
      </c>
      <c r="T35" s="9">
        <f>Mecanismos!B10*H35</f>
        <v/>
      </c>
      <c r="U35" s="9">
        <f>Mecanismos!B8*K35</f>
        <v/>
      </c>
      <c r="V35" s="9">
        <f>Mecanismos!B3*D35</f>
        <v/>
      </c>
      <c r="W35" s="9">
        <f>Parametros!B2+Parametros!B4*(S35+T35+U35+V35)-Parametros!B3*(L35+M35+N35+O35+P35+Q35+R35)</f>
        <v/>
      </c>
      <c r="X35" s="10">
        <f>1/(1+EXP(-W35))</f>
        <v/>
      </c>
      <c r="Y35" s="11">
        <f>IF(Parametros!B6=1,0.15+0.85*(1/(1+EXP(-8*((1-N35)-0.45)))),1)</f>
        <v/>
      </c>
      <c r="Z35" s="11">
        <f>IF(Parametros!B7=1,MAX(0.05,1-L35^1.6),1)</f>
        <v/>
      </c>
      <c r="AA35" s="11">
        <f>IF(Parametros!B8=1,0.2+0.8*(1/(1+EXP(-9*(S35-0.25)))),1)</f>
        <v/>
      </c>
      <c r="AB35" s="10">
        <f>X35*Y35*Z35*AA35</f>
        <v/>
      </c>
    </row>
    <row r="36">
      <c r="A36" t="inlineStr">
        <is>
          <t>7k0knj</t>
        </is>
      </c>
      <c r="B36" t="inlineStr">
        <is>
          <t>Anthony Abreu</t>
        </is>
      </c>
      <c r="C36" s="8" t="n">
        <v>0.5636</v>
      </c>
      <c r="D36" s="8" t="n">
        <v>0.7009</v>
      </c>
      <c r="E36" s="8" t="n">
        <v>0.664</v>
      </c>
      <c r="F36" s="8" t="n">
        <v>0.7736</v>
      </c>
      <c r="G36" s="8" t="n">
        <v>0.5988</v>
      </c>
      <c r="H36" s="8" t="n">
        <v>0.8451</v>
      </c>
      <c r="I36" s="8" t="n">
        <v>0.4493</v>
      </c>
      <c r="J36" s="8" t="n">
        <v>0.8821</v>
      </c>
      <c r="K36" s="8" t="n">
        <v>0.4559</v>
      </c>
      <c r="L36" s="9">
        <f>1-(1-Mecanismos!B2)*(1-C36)</f>
        <v/>
      </c>
      <c r="M36" s="9">
        <f>Mecanismos!B7*D36</f>
        <v/>
      </c>
      <c r="N36" s="9">
        <f>Mecanismos!B4*(1-E36)</f>
        <v/>
      </c>
      <c r="O36" s="9">
        <f>Mecanismos!B5*(1-F36)</f>
        <v/>
      </c>
      <c r="P36" s="9">
        <f>Mecanismos!B6*(1-I36)</f>
        <v/>
      </c>
      <c r="Q36" s="9">
        <f>Mecanismos!B9*(1-G36)</f>
        <v/>
      </c>
      <c r="R36" s="9">
        <f>Mecanismos!B9*(1-J36)</f>
        <v/>
      </c>
      <c r="S36" s="9">
        <f>Mecanismos!B8*H36</f>
        <v/>
      </c>
      <c r="T36" s="9">
        <f>Mecanismos!B10*H36</f>
        <v/>
      </c>
      <c r="U36" s="9">
        <f>Mecanismos!B8*K36</f>
        <v/>
      </c>
      <c r="V36" s="9">
        <f>Mecanismos!B3*D36</f>
        <v/>
      </c>
      <c r="W36" s="9">
        <f>Parametros!B2+Parametros!B4*(S36+T36+U36+V36)-Parametros!B3*(L36+M36+N36+O36+P36+Q36+R36)</f>
        <v/>
      </c>
      <c r="X36" s="10">
        <f>1/(1+EXP(-W36))</f>
        <v/>
      </c>
      <c r="Y36" s="11">
        <f>IF(Parametros!B6=1,0.15+0.85*(1/(1+EXP(-8*((1-N36)-0.45)))),1)</f>
        <v/>
      </c>
      <c r="Z36" s="11">
        <f>IF(Parametros!B7=1,MAX(0.05,1-L36^1.6),1)</f>
        <v/>
      </c>
      <c r="AA36" s="11">
        <f>IF(Parametros!B8=1,0.2+0.8*(1/(1+EXP(-9*(S36-0.25)))),1)</f>
        <v/>
      </c>
      <c r="AB36" s="10">
        <f>X36*Y36*Z36*AA36</f>
        <v/>
      </c>
    </row>
    <row r="37">
      <c r="A37" t="inlineStr">
        <is>
          <t>3xpc10</t>
        </is>
      </c>
      <c r="B37" t="inlineStr">
        <is>
          <t>Anthony Gabriel Pimenta</t>
        </is>
      </c>
      <c r="C37" s="8" t="n">
        <v>0.8889</v>
      </c>
      <c r="D37" s="8" t="n">
        <v>0.5508</v>
      </c>
      <c r="E37" s="8" t="n">
        <v>0.6847</v>
      </c>
      <c r="F37" s="8" t="n">
        <v>0.4937</v>
      </c>
      <c r="G37" s="8" t="n">
        <v>0.2592</v>
      </c>
      <c r="H37" s="8" t="n">
        <v>0.5793</v>
      </c>
      <c r="I37" s="8" t="n">
        <v>0.3691</v>
      </c>
      <c r="J37" s="8" t="n">
        <v>0.752</v>
      </c>
      <c r="K37" s="8" t="n">
        <v>0.7699</v>
      </c>
      <c r="L37" s="9">
        <f>1-(1-Mecanismos!B2)*(1-C37)</f>
        <v/>
      </c>
      <c r="M37" s="9">
        <f>Mecanismos!B7*D37</f>
        <v/>
      </c>
      <c r="N37" s="9">
        <f>Mecanismos!B4*(1-E37)</f>
        <v/>
      </c>
      <c r="O37" s="9">
        <f>Mecanismos!B5*(1-F37)</f>
        <v/>
      </c>
      <c r="P37" s="9">
        <f>Mecanismos!B6*(1-I37)</f>
        <v/>
      </c>
      <c r="Q37" s="9">
        <f>Mecanismos!B9*(1-G37)</f>
        <v/>
      </c>
      <c r="R37" s="9">
        <f>Mecanismos!B9*(1-J37)</f>
        <v/>
      </c>
      <c r="S37" s="9">
        <f>Mecanismos!B8*H37</f>
        <v/>
      </c>
      <c r="T37" s="9">
        <f>Mecanismos!B10*H37</f>
        <v/>
      </c>
      <c r="U37" s="9">
        <f>Mecanismos!B8*K37</f>
        <v/>
      </c>
      <c r="V37" s="9">
        <f>Mecanismos!B3*D37</f>
        <v/>
      </c>
      <c r="W37" s="9">
        <f>Parametros!B2+Parametros!B4*(S37+T37+U37+V37)-Parametros!B3*(L37+M37+N37+O37+P37+Q37+R37)</f>
        <v/>
      </c>
      <c r="X37" s="10">
        <f>1/(1+EXP(-W37))</f>
        <v/>
      </c>
      <c r="Y37" s="11">
        <f>IF(Parametros!B6=1,0.15+0.85*(1/(1+EXP(-8*((1-N37)-0.45)))),1)</f>
        <v/>
      </c>
      <c r="Z37" s="11">
        <f>IF(Parametros!B7=1,MAX(0.05,1-L37^1.6),1)</f>
        <v/>
      </c>
      <c r="AA37" s="11">
        <f>IF(Parametros!B8=1,0.2+0.8*(1/(1+EXP(-9*(S37-0.25)))),1)</f>
        <v/>
      </c>
      <c r="AB37" s="10">
        <f>X37*Y37*Z37*AA37</f>
        <v/>
      </c>
    </row>
    <row r="38">
      <c r="A38" t="inlineStr">
        <is>
          <t>jojhfk</t>
        </is>
      </c>
      <c r="B38" t="inlineStr">
        <is>
          <t>Anthony Gabriel Porto</t>
        </is>
      </c>
      <c r="C38" s="8" t="n">
        <v>0.5141</v>
      </c>
      <c r="D38" s="8" t="n">
        <v>0.4879</v>
      </c>
      <c r="E38" s="8" t="n">
        <v>0.3232</v>
      </c>
      <c r="F38" s="8" t="n">
        <v>0.7076</v>
      </c>
      <c r="G38" s="8" t="n">
        <v>0.6327</v>
      </c>
      <c r="H38" s="8" t="n">
        <v>0.6287</v>
      </c>
      <c r="I38" s="8" t="n">
        <v>0.299</v>
      </c>
      <c r="J38" s="8" t="n">
        <v>0.9349</v>
      </c>
      <c r="K38" s="8" t="n">
        <v>0.5221</v>
      </c>
      <c r="L38" s="9">
        <f>1-(1-Mecanismos!B2)*(1-C38)</f>
        <v/>
      </c>
      <c r="M38" s="9">
        <f>Mecanismos!B7*D38</f>
        <v/>
      </c>
      <c r="N38" s="9">
        <f>Mecanismos!B4*(1-E38)</f>
        <v/>
      </c>
      <c r="O38" s="9">
        <f>Mecanismos!B5*(1-F38)</f>
        <v/>
      </c>
      <c r="P38" s="9">
        <f>Mecanismos!B6*(1-I38)</f>
        <v/>
      </c>
      <c r="Q38" s="9">
        <f>Mecanismos!B9*(1-G38)</f>
        <v/>
      </c>
      <c r="R38" s="9">
        <f>Mecanismos!B9*(1-J38)</f>
        <v/>
      </c>
      <c r="S38" s="9">
        <f>Mecanismos!B8*H38</f>
        <v/>
      </c>
      <c r="T38" s="9">
        <f>Mecanismos!B10*H38</f>
        <v/>
      </c>
      <c r="U38" s="9">
        <f>Mecanismos!B8*K38</f>
        <v/>
      </c>
      <c r="V38" s="9">
        <f>Mecanismos!B3*D38</f>
        <v/>
      </c>
      <c r="W38" s="9">
        <f>Parametros!B2+Parametros!B4*(S38+T38+U38+V38)-Parametros!B3*(L38+M38+N38+O38+P38+Q38+R38)</f>
        <v/>
      </c>
      <c r="X38" s="10">
        <f>1/(1+EXP(-W38))</f>
        <v/>
      </c>
      <c r="Y38" s="11">
        <f>IF(Parametros!B6=1,0.15+0.85*(1/(1+EXP(-8*((1-N38)-0.45)))),1)</f>
        <v/>
      </c>
      <c r="Z38" s="11">
        <f>IF(Parametros!B7=1,MAX(0.05,1-L38^1.6),1)</f>
        <v/>
      </c>
      <c r="AA38" s="11">
        <f>IF(Parametros!B8=1,0.2+0.8*(1/(1+EXP(-9*(S38-0.25)))),1)</f>
        <v/>
      </c>
      <c r="AB38" s="10">
        <f>X38*Y38*Z38*AA38</f>
        <v/>
      </c>
    </row>
    <row r="39">
      <c r="A39" t="inlineStr">
        <is>
          <t>tfym8o</t>
        </is>
      </c>
      <c r="B39" t="inlineStr">
        <is>
          <t>Anthony Vieira</t>
        </is>
      </c>
      <c r="C39" s="8" t="n">
        <v>0.5372</v>
      </c>
      <c r="D39" s="8" t="n">
        <v>0.5576</v>
      </c>
      <c r="E39" s="8" t="n">
        <v>0.4255</v>
      </c>
      <c r="F39" s="8" t="n">
        <v>0.3443</v>
      </c>
      <c r="G39" s="8" t="n">
        <v>0.6178</v>
      </c>
      <c r="H39" s="8" t="n">
        <v>0.4644</v>
      </c>
      <c r="I39" s="8" t="n">
        <v>0.5911999999999999</v>
      </c>
      <c r="J39" s="8" t="n">
        <v>0.7356</v>
      </c>
      <c r="K39" s="8" t="n">
        <v>0.2946</v>
      </c>
      <c r="L39" s="9">
        <f>1-(1-Mecanismos!B2)*(1-C39)</f>
        <v/>
      </c>
      <c r="M39" s="9">
        <f>Mecanismos!B7*D39</f>
        <v/>
      </c>
      <c r="N39" s="9">
        <f>Mecanismos!B4*(1-E39)</f>
        <v/>
      </c>
      <c r="O39" s="9">
        <f>Mecanismos!B5*(1-F39)</f>
        <v/>
      </c>
      <c r="P39" s="9">
        <f>Mecanismos!B6*(1-I39)</f>
        <v/>
      </c>
      <c r="Q39" s="9">
        <f>Mecanismos!B9*(1-G39)</f>
        <v/>
      </c>
      <c r="R39" s="9">
        <f>Mecanismos!B9*(1-J39)</f>
        <v/>
      </c>
      <c r="S39" s="9">
        <f>Mecanismos!B8*H39</f>
        <v/>
      </c>
      <c r="T39" s="9">
        <f>Mecanismos!B10*H39</f>
        <v/>
      </c>
      <c r="U39" s="9">
        <f>Mecanismos!B8*K39</f>
        <v/>
      </c>
      <c r="V39" s="9">
        <f>Mecanismos!B3*D39</f>
        <v/>
      </c>
      <c r="W39" s="9">
        <f>Parametros!B2+Parametros!B4*(S39+T39+U39+V39)-Parametros!B3*(L39+M39+N39+O39+P39+Q39+R39)</f>
        <v/>
      </c>
      <c r="X39" s="10">
        <f>1/(1+EXP(-W39))</f>
        <v/>
      </c>
      <c r="Y39" s="11">
        <f>IF(Parametros!B6=1,0.15+0.85*(1/(1+EXP(-8*((1-N39)-0.45)))),1)</f>
        <v/>
      </c>
      <c r="Z39" s="11">
        <f>IF(Parametros!B7=1,MAX(0.05,1-L39^1.6),1)</f>
        <v/>
      </c>
      <c r="AA39" s="11">
        <f>IF(Parametros!B8=1,0.2+0.8*(1/(1+EXP(-9*(S39-0.25)))),1)</f>
        <v/>
      </c>
      <c r="AB39" s="10">
        <f>X39*Y39*Z39*AA39</f>
        <v/>
      </c>
    </row>
    <row r="40">
      <c r="A40" t="inlineStr">
        <is>
          <t>2rub73</t>
        </is>
      </c>
      <c r="B40" t="inlineStr">
        <is>
          <t>Antonella da Cruz</t>
        </is>
      </c>
      <c r="C40" s="8" t="n">
        <v>0.6084000000000001</v>
      </c>
      <c r="D40" s="8" t="n">
        <v>0.6544</v>
      </c>
      <c r="E40" s="8" t="n">
        <v>0.7235</v>
      </c>
      <c r="F40" s="8" t="n">
        <v>0.6455</v>
      </c>
      <c r="G40" s="8" t="n">
        <v>0.4353</v>
      </c>
      <c r="H40" s="8" t="n">
        <v>0.5366</v>
      </c>
      <c r="I40" s="8" t="n">
        <v>0.5555</v>
      </c>
      <c r="J40" s="8" t="n">
        <v>0.7694</v>
      </c>
      <c r="K40" s="8" t="n">
        <v>0.2525</v>
      </c>
      <c r="L40" s="9">
        <f>1-(1-Mecanismos!B2)*(1-C40)</f>
        <v/>
      </c>
      <c r="M40" s="9">
        <f>Mecanismos!B7*D40</f>
        <v/>
      </c>
      <c r="N40" s="9">
        <f>Mecanismos!B4*(1-E40)</f>
        <v/>
      </c>
      <c r="O40" s="9">
        <f>Mecanismos!B5*(1-F40)</f>
        <v/>
      </c>
      <c r="P40" s="9">
        <f>Mecanismos!B6*(1-I40)</f>
        <v/>
      </c>
      <c r="Q40" s="9">
        <f>Mecanismos!B9*(1-G40)</f>
        <v/>
      </c>
      <c r="R40" s="9">
        <f>Mecanismos!B9*(1-J40)</f>
        <v/>
      </c>
      <c r="S40" s="9">
        <f>Mecanismos!B8*H40</f>
        <v/>
      </c>
      <c r="T40" s="9">
        <f>Mecanismos!B10*H40</f>
        <v/>
      </c>
      <c r="U40" s="9">
        <f>Mecanismos!B8*K40</f>
        <v/>
      </c>
      <c r="V40" s="9">
        <f>Mecanismos!B3*D40</f>
        <v/>
      </c>
      <c r="W40" s="9">
        <f>Parametros!B2+Parametros!B4*(S40+T40+U40+V40)-Parametros!B3*(L40+M40+N40+O40+P40+Q40+R40)</f>
        <v/>
      </c>
      <c r="X40" s="10">
        <f>1/(1+EXP(-W40))</f>
        <v/>
      </c>
      <c r="Y40" s="11">
        <f>IF(Parametros!B6=1,0.15+0.85*(1/(1+EXP(-8*((1-N40)-0.45)))),1)</f>
        <v/>
      </c>
      <c r="Z40" s="11">
        <f>IF(Parametros!B7=1,MAX(0.05,1-L40^1.6),1)</f>
        <v/>
      </c>
      <c r="AA40" s="11">
        <f>IF(Parametros!B8=1,0.2+0.8*(1/(1+EXP(-9*(S40-0.25)))),1)</f>
        <v/>
      </c>
      <c r="AB40" s="10">
        <f>X40*Y40*Z40*AA40</f>
        <v/>
      </c>
    </row>
    <row r="41">
      <c r="A41" t="inlineStr">
        <is>
          <t>fy4z6b</t>
        </is>
      </c>
      <c r="B41" t="inlineStr">
        <is>
          <t>Antony Carvalho</t>
        </is>
      </c>
      <c r="C41" s="8" t="n">
        <v>0.4191</v>
      </c>
      <c r="D41" s="8" t="n">
        <v>0.4223</v>
      </c>
      <c r="E41" s="8" t="n">
        <v>0.6448</v>
      </c>
      <c r="F41" s="8" t="n">
        <v>0.4533</v>
      </c>
      <c r="G41" s="8" t="n">
        <v>0.3146</v>
      </c>
      <c r="H41" s="8" t="n">
        <v>0.5795</v>
      </c>
      <c r="I41" s="8" t="n">
        <v>0.5443</v>
      </c>
      <c r="J41" s="8" t="n">
        <v>0.9162</v>
      </c>
      <c r="K41" s="8" t="n">
        <v>0.6272</v>
      </c>
      <c r="L41" s="9">
        <f>1-(1-Mecanismos!B2)*(1-C41)</f>
        <v/>
      </c>
      <c r="M41" s="9">
        <f>Mecanismos!B7*D41</f>
        <v/>
      </c>
      <c r="N41" s="9">
        <f>Mecanismos!B4*(1-E41)</f>
        <v/>
      </c>
      <c r="O41" s="9">
        <f>Mecanismos!B5*(1-F41)</f>
        <v/>
      </c>
      <c r="P41" s="9">
        <f>Mecanismos!B6*(1-I41)</f>
        <v/>
      </c>
      <c r="Q41" s="9">
        <f>Mecanismos!B9*(1-G41)</f>
        <v/>
      </c>
      <c r="R41" s="9">
        <f>Mecanismos!B9*(1-J41)</f>
        <v/>
      </c>
      <c r="S41" s="9">
        <f>Mecanismos!B8*H41</f>
        <v/>
      </c>
      <c r="T41" s="9">
        <f>Mecanismos!B10*H41</f>
        <v/>
      </c>
      <c r="U41" s="9">
        <f>Mecanismos!B8*K41</f>
        <v/>
      </c>
      <c r="V41" s="9">
        <f>Mecanismos!B3*D41</f>
        <v/>
      </c>
      <c r="W41" s="9">
        <f>Parametros!B2+Parametros!B4*(S41+T41+U41+V41)-Parametros!B3*(L41+M41+N41+O41+P41+Q41+R41)</f>
        <v/>
      </c>
      <c r="X41" s="10">
        <f>1/(1+EXP(-W41))</f>
        <v/>
      </c>
      <c r="Y41" s="11">
        <f>IF(Parametros!B6=1,0.15+0.85*(1/(1+EXP(-8*((1-N41)-0.45)))),1)</f>
        <v/>
      </c>
      <c r="Z41" s="11">
        <f>IF(Parametros!B7=1,MAX(0.05,1-L41^1.6),1)</f>
        <v/>
      </c>
      <c r="AA41" s="11">
        <f>IF(Parametros!B8=1,0.2+0.8*(1/(1+EXP(-9*(S41-0.25)))),1)</f>
        <v/>
      </c>
      <c r="AB41" s="10">
        <f>X41*Y41*Z41*AA41</f>
        <v/>
      </c>
    </row>
    <row r="42">
      <c r="A42" t="inlineStr">
        <is>
          <t>1cuuqz</t>
        </is>
      </c>
      <c r="B42" t="inlineStr">
        <is>
          <t>Antony Costa</t>
        </is>
      </c>
      <c r="C42" s="8" t="n">
        <v>0.6264999999999999</v>
      </c>
      <c r="D42" s="8" t="n">
        <v>0.6172</v>
      </c>
      <c r="E42" s="8" t="n">
        <v>0.4852</v>
      </c>
      <c r="F42" s="8" t="n">
        <v>0.8444</v>
      </c>
      <c r="G42" s="8" t="n">
        <v>0.4281</v>
      </c>
      <c r="H42" s="8" t="n">
        <v>0.4571</v>
      </c>
      <c r="I42" s="8" t="n">
        <v>0.7838000000000001</v>
      </c>
      <c r="J42" s="8" t="n">
        <v>0.7523</v>
      </c>
      <c r="K42" s="8" t="n">
        <v>0.5075</v>
      </c>
      <c r="L42" s="9">
        <f>1-(1-Mecanismos!B2)*(1-C42)</f>
        <v/>
      </c>
      <c r="M42" s="9">
        <f>Mecanismos!B7*D42</f>
        <v/>
      </c>
      <c r="N42" s="9">
        <f>Mecanismos!B4*(1-E42)</f>
        <v/>
      </c>
      <c r="O42" s="9">
        <f>Mecanismos!B5*(1-F42)</f>
        <v/>
      </c>
      <c r="P42" s="9">
        <f>Mecanismos!B6*(1-I42)</f>
        <v/>
      </c>
      <c r="Q42" s="9">
        <f>Mecanismos!B9*(1-G42)</f>
        <v/>
      </c>
      <c r="R42" s="9">
        <f>Mecanismos!B9*(1-J42)</f>
        <v/>
      </c>
      <c r="S42" s="9">
        <f>Mecanismos!B8*H42</f>
        <v/>
      </c>
      <c r="T42" s="9">
        <f>Mecanismos!B10*H42</f>
        <v/>
      </c>
      <c r="U42" s="9">
        <f>Mecanismos!B8*K42</f>
        <v/>
      </c>
      <c r="V42" s="9">
        <f>Mecanismos!B3*D42</f>
        <v/>
      </c>
      <c r="W42" s="9">
        <f>Parametros!B2+Parametros!B4*(S42+T42+U42+V42)-Parametros!B3*(L42+M42+N42+O42+P42+Q42+R42)</f>
        <v/>
      </c>
      <c r="X42" s="10">
        <f>1/(1+EXP(-W42))</f>
        <v/>
      </c>
      <c r="Y42" s="11">
        <f>IF(Parametros!B6=1,0.15+0.85*(1/(1+EXP(-8*((1-N42)-0.45)))),1)</f>
        <v/>
      </c>
      <c r="Z42" s="11">
        <f>IF(Parametros!B7=1,MAX(0.05,1-L42^1.6),1)</f>
        <v/>
      </c>
      <c r="AA42" s="11">
        <f>IF(Parametros!B8=1,0.2+0.8*(1/(1+EXP(-9*(S42-0.25)))),1)</f>
        <v/>
      </c>
      <c r="AB42" s="10">
        <f>X42*Y42*Z42*AA42</f>
        <v/>
      </c>
    </row>
    <row r="43">
      <c r="A43" t="inlineStr">
        <is>
          <t>hysgra</t>
        </is>
      </c>
      <c r="B43" t="inlineStr">
        <is>
          <t>Antônio Fernandes</t>
        </is>
      </c>
      <c r="C43" s="8" t="n">
        <v>0.6845</v>
      </c>
      <c r="D43" s="8" t="n">
        <v>0.7141999999999999</v>
      </c>
      <c r="E43" s="8" t="n">
        <v>0.4157</v>
      </c>
      <c r="F43" s="8" t="n">
        <v>0.614</v>
      </c>
      <c r="G43" s="8" t="n">
        <v>0.4252</v>
      </c>
      <c r="H43" s="8" t="n">
        <v>0.6934</v>
      </c>
      <c r="I43" s="8" t="n">
        <v>0.7446</v>
      </c>
      <c r="J43" s="8" t="n">
        <v>0.8368</v>
      </c>
      <c r="K43" s="8" t="n">
        <v>0.4699</v>
      </c>
      <c r="L43" s="9">
        <f>1-(1-Mecanismos!B2)*(1-C43)</f>
        <v/>
      </c>
      <c r="M43" s="9">
        <f>Mecanismos!B7*D43</f>
        <v/>
      </c>
      <c r="N43" s="9">
        <f>Mecanismos!B4*(1-E43)</f>
        <v/>
      </c>
      <c r="O43" s="9">
        <f>Mecanismos!B5*(1-F43)</f>
        <v/>
      </c>
      <c r="P43" s="9">
        <f>Mecanismos!B6*(1-I43)</f>
        <v/>
      </c>
      <c r="Q43" s="9">
        <f>Mecanismos!B9*(1-G43)</f>
        <v/>
      </c>
      <c r="R43" s="9">
        <f>Mecanismos!B9*(1-J43)</f>
        <v/>
      </c>
      <c r="S43" s="9">
        <f>Mecanismos!B8*H43</f>
        <v/>
      </c>
      <c r="T43" s="9">
        <f>Mecanismos!B10*H43</f>
        <v/>
      </c>
      <c r="U43" s="9">
        <f>Mecanismos!B8*K43</f>
        <v/>
      </c>
      <c r="V43" s="9">
        <f>Mecanismos!B3*D43</f>
        <v/>
      </c>
      <c r="W43" s="9">
        <f>Parametros!B2+Parametros!B4*(S43+T43+U43+V43)-Parametros!B3*(L43+M43+N43+O43+P43+Q43+R43)</f>
        <v/>
      </c>
      <c r="X43" s="10">
        <f>1/(1+EXP(-W43))</f>
        <v/>
      </c>
      <c r="Y43" s="11">
        <f>IF(Parametros!B6=1,0.15+0.85*(1/(1+EXP(-8*((1-N43)-0.45)))),1)</f>
        <v/>
      </c>
      <c r="Z43" s="11">
        <f>IF(Parametros!B7=1,MAX(0.05,1-L43^1.6),1)</f>
        <v/>
      </c>
      <c r="AA43" s="11">
        <f>IF(Parametros!B8=1,0.2+0.8*(1/(1+EXP(-9*(S43-0.25)))),1)</f>
        <v/>
      </c>
      <c r="AB43" s="10">
        <f>X43*Y43*Z43*AA43</f>
        <v/>
      </c>
    </row>
    <row r="44">
      <c r="A44" t="inlineStr">
        <is>
          <t>n4ujdc</t>
        </is>
      </c>
      <c r="B44" t="inlineStr">
        <is>
          <t>Arthur Andrade</t>
        </is>
      </c>
      <c r="C44" s="8" t="n">
        <v>0.6447000000000001</v>
      </c>
      <c r="D44" s="8" t="n">
        <v>0.5548</v>
      </c>
      <c r="E44" s="8" t="n">
        <v>0.2737</v>
      </c>
      <c r="F44" s="8" t="n">
        <v>0.6021</v>
      </c>
      <c r="G44" s="8" t="n">
        <v>0.4034</v>
      </c>
      <c r="H44" s="8" t="n">
        <v>0.832</v>
      </c>
      <c r="I44" s="8" t="n">
        <v>0.3756</v>
      </c>
      <c r="J44" s="8" t="n">
        <v>0.7184</v>
      </c>
      <c r="K44" s="8" t="n">
        <v>0.5528999999999999</v>
      </c>
      <c r="L44" s="9">
        <f>1-(1-Mecanismos!B2)*(1-C44)</f>
        <v/>
      </c>
      <c r="M44" s="9">
        <f>Mecanismos!B7*D44</f>
        <v/>
      </c>
      <c r="N44" s="9">
        <f>Mecanismos!B4*(1-E44)</f>
        <v/>
      </c>
      <c r="O44" s="9">
        <f>Mecanismos!B5*(1-F44)</f>
        <v/>
      </c>
      <c r="P44" s="9">
        <f>Mecanismos!B6*(1-I44)</f>
        <v/>
      </c>
      <c r="Q44" s="9">
        <f>Mecanismos!B9*(1-G44)</f>
        <v/>
      </c>
      <c r="R44" s="9">
        <f>Mecanismos!B9*(1-J44)</f>
        <v/>
      </c>
      <c r="S44" s="9">
        <f>Mecanismos!B8*H44</f>
        <v/>
      </c>
      <c r="T44" s="9">
        <f>Mecanismos!B10*H44</f>
        <v/>
      </c>
      <c r="U44" s="9">
        <f>Mecanismos!B8*K44</f>
        <v/>
      </c>
      <c r="V44" s="9">
        <f>Mecanismos!B3*D44</f>
        <v/>
      </c>
      <c r="W44" s="9">
        <f>Parametros!B2+Parametros!B4*(S44+T44+U44+V44)-Parametros!B3*(L44+M44+N44+O44+P44+Q44+R44)</f>
        <v/>
      </c>
      <c r="X44" s="10">
        <f>1/(1+EXP(-W44))</f>
        <v/>
      </c>
      <c r="Y44" s="11">
        <f>IF(Parametros!B6=1,0.15+0.85*(1/(1+EXP(-8*((1-N44)-0.45)))),1)</f>
        <v/>
      </c>
      <c r="Z44" s="11">
        <f>IF(Parametros!B7=1,MAX(0.05,1-L44^1.6),1)</f>
        <v/>
      </c>
      <c r="AA44" s="11">
        <f>IF(Parametros!B8=1,0.2+0.8*(1/(1+EXP(-9*(S44-0.25)))),1)</f>
        <v/>
      </c>
      <c r="AB44" s="10">
        <f>X44*Y44*Z44*AA44</f>
        <v/>
      </c>
    </row>
    <row r="45">
      <c r="A45" t="inlineStr">
        <is>
          <t>86hosa</t>
        </is>
      </c>
      <c r="B45" t="inlineStr">
        <is>
          <t>Arthur Brito</t>
        </is>
      </c>
      <c r="C45" s="8" t="n">
        <v>0.3785</v>
      </c>
      <c r="D45" s="8" t="n">
        <v>0.5278</v>
      </c>
      <c r="E45" s="8" t="n">
        <v>0.5058</v>
      </c>
      <c r="F45" s="8" t="n">
        <v>0.5301</v>
      </c>
      <c r="G45" s="8" t="n">
        <v>0.5619</v>
      </c>
      <c r="H45" s="8" t="n">
        <v>0.4793</v>
      </c>
      <c r="I45" s="8" t="n">
        <v>0.4738</v>
      </c>
      <c r="J45" s="8" t="n">
        <v>0.8715000000000001</v>
      </c>
      <c r="K45" s="8" t="n">
        <v>0.677</v>
      </c>
      <c r="L45" s="9">
        <f>1-(1-Mecanismos!B2)*(1-C45)</f>
        <v/>
      </c>
      <c r="M45" s="9">
        <f>Mecanismos!B7*D45</f>
        <v/>
      </c>
      <c r="N45" s="9">
        <f>Mecanismos!B4*(1-E45)</f>
        <v/>
      </c>
      <c r="O45" s="9">
        <f>Mecanismos!B5*(1-F45)</f>
        <v/>
      </c>
      <c r="P45" s="9">
        <f>Mecanismos!B6*(1-I45)</f>
        <v/>
      </c>
      <c r="Q45" s="9">
        <f>Mecanismos!B9*(1-G45)</f>
        <v/>
      </c>
      <c r="R45" s="9">
        <f>Mecanismos!B9*(1-J45)</f>
        <v/>
      </c>
      <c r="S45" s="9">
        <f>Mecanismos!B8*H45</f>
        <v/>
      </c>
      <c r="T45" s="9">
        <f>Mecanismos!B10*H45</f>
        <v/>
      </c>
      <c r="U45" s="9">
        <f>Mecanismos!B8*K45</f>
        <v/>
      </c>
      <c r="V45" s="9">
        <f>Mecanismos!B3*D45</f>
        <v/>
      </c>
      <c r="W45" s="9">
        <f>Parametros!B2+Parametros!B4*(S45+T45+U45+V45)-Parametros!B3*(L45+M45+N45+O45+P45+Q45+R45)</f>
        <v/>
      </c>
      <c r="X45" s="10">
        <f>1/(1+EXP(-W45))</f>
        <v/>
      </c>
      <c r="Y45" s="11">
        <f>IF(Parametros!B6=1,0.15+0.85*(1/(1+EXP(-8*((1-N45)-0.45)))),1)</f>
        <v/>
      </c>
      <c r="Z45" s="11">
        <f>IF(Parametros!B7=1,MAX(0.05,1-L45^1.6),1)</f>
        <v/>
      </c>
      <c r="AA45" s="11">
        <f>IF(Parametros!B8=1,0.2+0.8*(1/(1+EXP(-9*(S45-0.25)))),1)</f>
        <v/>
      </c>
      <c r="AB45" s="10">
        <f>X45*Y45*Z45*AA45</f>
        <v/>
      </c>
    </row>
    <row r="46">
      <c r="A46" t="inlineStr">
        <is>
          <t>p34r2n</t>
        </is>
      </c>
      <c r="B46" t="inlineStr">
        <is>
          <t>Arthur Gabriel Farias</t>
        </is>
      </c>
      <c r="C46" s="8" t="n">
        <v>0.6252</v>
      </c>
      <c r="D46" s="8" t="n">
        <v>0.6437</v>
      </c>
      <c r="E46" s="8" t="n">
        <v>0.6123</v>
      </c>
      <c r="F46" s="8" t="n">
        <v>0.4079</v>
      </c>
      <c r="G46" s="8" t="n">
        <v>0.3713</v>
      </c>
      <c r="H46" s="8" t="n">
        <v>0.5198</v>
      </c>
      <c r="I46" s="8" t="n">
        <v>0.2177</v>
      </c>
      <c r="J46" s="8" t="n">
        <v>0.6415999999999999</v>
      </c>
      <c r="K46" s="8" t="n">
        <v>0.3803</v>
      </c>
      <c r="L46" s="9">
        <f>1-(1-Mecanismos!B2)*(1-C46)</f>
        <v/>
      </c>
      <c r="M46" s="9">
        <f>Mecanismos!B7*D46</f>
        <v/>
      </c>
      <c r="N46" s="9">
        <f>Mecanismos!B4*(1-E46)</f>
        <v/>
      </c>
      <c r="O46" s="9">
        <f>Mecanismos!B5*(1-F46)</f>
        <v/>
      </c>
      <c r="P46" s="9">
        <f>Mecanismos!B6*(1-I46)</f>
        <v/>
      </c>
      <c r="Q46" s="9">
        <f>Mecanismos!B9*(1-G46)</f>
        <v/>
      </c>
      <c r="R46" s="9">
        <f>Mecanismos!B9*(1-J46)</f>
        <v/>
      </c>
      <c r="S46" s="9">
        <f>Mecanismos!B8*H46</f>
        <v/>
      </c>
      <c r="T46" s="9">
        <f>Mecanismos!B10*H46</f>
        <v/>
      </c>
      <c r="U46" s="9">
        <f>Mecanismos!B8*K46</f>
        <v/>
      </c>
      <c r="V46" s="9">
        <f>Mecanismos!B3*D46</f>
        <v/>
      </c>
      <c r="W46" s="9">
        <f>Parametros!B2+Parametros!B4*(S46+T46+U46+V46)-Parametros!B3*(L46+M46+N46+O46+P46+Q46+R46)</f>
        <v/>
      </c>
      <c r="X46" s="10">
        <f>1/(1+EXP(-W46))</f>
        <v/>
      </c>
      <c r="Y46" s="11">
        <f>IF(Parametros!B6=1,0.15+0.85*(1/(1+EXP(-8*((1-N46)-0.45)))),1)</f>
        <v/>
      </c>
      <c r="Z46" s="11">
        <f>IF(Parametros!B7=1,MAX(0.05,1-L46^1.6),1)</f>
        <v/>
      </c>
      <c r="AA46" s="11">
        <f>IF(Parametros!B8=1,0.2+0.8*(1/(1+EXP(-9*(S46-0.25)))),1)</f>
        <v/>
      </c>
      <c r="AB46" s="10">
        <f>X46*Y46*Z46*AA46</f>
        <v/>
      </c>
    </row>
    <row r="47">
      <c r="A47" t="inlineStr">
        <is>
          <t>iphpo7</t>
        </is>
      </c>
      <c r="B47" t="inlineStr">
        <is>
          <t>Arthur Gabriel Sales</t>
        </is>
      </c>
      <c r="C47" s="8" t="n">
        <v>0.5334</v>
      </c>
      <c r="D47" s="8" t="n">
        <v>0.7367</v>
      </c>
      <c r="E47" s="8" t="n">
        <v>0.4204</v>
      </c>
      <c r="F47" s="8" t="n">
        <v>0.4735</v>
      </c>
      <c r="G47" s="8" t="n">
        <v>0.5612</v>
      </c>
      <c r="H47" s="8" t="n">
        <v>0.4114</v>
      </c>
      <c r="I47" s="8" t="n">
        <v>0.858</v>
      </c>
      <c r="J47" s="8" t="n">
        <v>0.6743</v>
      </c>
      <c r="K47" s="8" t="n">
        <v>0.5859</v>
      </c>
      <c r="L47" s="9">
        <f>1-(1-Mecanismos!B2)*(1-C47)</f>
        <v/>
      </c>
      <c r="M47" s="9">
        <f>Mecanismos!B7*D47</f>
        <v/>
      </c>
      <c r="N47" s="9">
        <f>Mecanismos!B4*(1-E47)</f>
        <v/>
      </c>
      <c r="O47" s="9">
        <f>Mecanismos!B5*(1-F47)</f>
        <v/>
      </c>
      <c r="P47" s="9">
        <f>Mecanismos!B6*(1-I47)</f>
        <v/>
      </c>
      <c r="Q47" s="9">
        <f>Mecanismos!B9*(1-G47)</f>
        <v/>
      </c>
      <c r="R47" s="9">
        <f>Mecanismos!B9*(1-J47)</f>
        <v/>
      </c>
      <c r="S47" s="9">
        <f>Mecanismos!B8*H47</f>
        <v/>
      </c>
      <c r="T47" s="9">
        <f>Mecanismos!B10*H47</f>
        <v/>
      </c>
      <c r="U47" s="9">
        <f>Mecanismos!B8*K47</f>
        <v/>
      </c>
      <c r="V47" s="9">
        <f>Mecanismos!B3*D47</f>
        <v/>
      </c>
      <c r="W47" s="9">
        <f>Parametros!B2+Parametros!B4*(S47+T47+U47+V47)-Parametros!B3*(L47+M47+N47+O47+P47+Q47+R47)</f>
        <v/>
      </c>
      <c r="X47" s="10">
        <f>1/(1+EXP(-W47))</f>
        <v/>
      </c>
      <c r="Y47" s="11">
        <f>IF(Parametros!B6=1,0.15+0.85*(1/(1+EXP(-8*((1-N47)-0.45)))),1)</f>
        <v/>
      </c>
      <c r="Z47" s="11">
        <f>IF(Parametros!B7=1,MAX(0.05,1-L47^1.6),1)</f>
        <v/>
      </c>
      <c r="AA47" s="11">
        <f>IF(Parametros!B8=1,0.2+0.8*(1/(1+EXP(-9*(S47-0.25)))),1)</f>
        <v/>
      </c>
      <c r="AB47" s="10">
        <f>X47*Y47*Z47*AA47</f>
        <v/>
      </c>
    </row>
    <row r="48">
      <c r="A48" t="inlineStr">
        <is>
          <t>94bbaw</t>
        </is>
      </c>
      <c r="B48" t="inlineStr">
        <is>
          <t>Arthur Gabriel Teixeira</t>
        </is>
      </c>
      <c r="C48" s="8" t="n">
        <v>0.7604</v>
      </c>
      <c r="D48" s="8" t="n">
        <v>0.3196</v>
      </c>
      <c r="E48" s="8" t="n">
        <v>0.8025</v>
      </c>
      <c r="F48" s="8" t="n">
        <v>0.2665</v>
      </c>
      <c r="G48" s="8" t="n">
        <v>0.2533</v>
      </c>
      <c r="H48" s="8" t="n">
        <v>0.6611</v>
      </c>
      <c r="I48" s="8" t="n">
        <v>0.2776</v>
      </c>
      <c r="J48" s="8" t="n">
        <v>0.6574</v>
      </c>
      <c r="K48" s="8" t="n">
        <v>0.2228</v>
      </c>
      <c r="L48" s="9">
        <f>1-(1-Mecanismos!B2)*(1-C48)</f>
        <v/>
      </c>
      <c r="M48" s="9">
        <f>Mecanismos!B7*D48</f>
        <v/>
      </c>
      <c r="N48" s="9">
        <f>Mecanismos!B4*(1-E48)</f>
        <v/>
      </c>
      <c r="O48" s="9">
        <f>Mecanismos!B5*(1-F48)</f>
        <v/>
      </c>
      <c r="P48" s="9">
        <f>Mecanismos!B6*(1-I48)</f>
        <v/>
      </c>
      <c r="Q48" s="9">
        <f>Mecanismos!B9*(1-G48)</f>
        <v/>
      </c>
      <c r="R48" s="9">
        <f>Mecanismos!B9*(1-J48)</f>
        <v/>
      </c>
      <c r="S48" s="9">
        <f>Mecanismos!B8*H48</f>
        <v/>
      </c>
      <c r="T48" s="9">
        <f>Mecanismos!B10*H48</f>
        <v/>
      </c>
      <c r="U48" s="9">
        <f>Mecanismos!B8*K48</f>
        <v/>
      </c>
      <c r="V48" s="9">
        <f>Mecanismos!B3*D48</f>
        <v/>
      </c>
      <c r="W48" s="9">
        <f>Parametros!B2+Parametros!B4*(S48+T48+U48+V48)-Parametros!B3*(L48+M48+N48+O48+P48+Q48+R48)</f>
        <v/>
      </c>
      <c r="X48" s="10">
        <f>1/(1+EXP(-W48))</f>
        <v/>
      </c>
      <c r="Y48" s="11">
        <f>IF(Parametros!B6=1,0.15+0.85*(1/(1+EXP(-8*((1-N48)-0.45)))),1)</f>
        <v/>
      </c>
      <c r="Z48" s="11">
        <f>IF(Parametros!B7=1,MAX(0.05,1-L48^1.6),1)</f>
        <v/>
      </c>
      <c r="AA48" s="11">
        <f>IF(Parametros!B8=1,0.2+0.8*(1/(1+EXP(-9*(S48-0.25)))),1)</f>
        <v/>
      </c>
      <c r="AB48" s="10">
        <f>X48*Y48*Z48*AA48</f>
        <v/>
      </c>
    </row>
    <row r="49">
      <c r="A49" t="inlineStr">
        <is>
          <t>7bfugj</t>
        </is>
      </c>
      <c r="B49" t="inlineStr">
        <is>
          <t>Arthur Gabriel da Conceição</t>
        </is>
      </c>
      <c r="C49" s="8" t="n">
        <v>0.6636</v>
      </c>
      <c r="D49" s="8" t="n">
        <v>0.4242</v>
      </c>
      <c r="E49" s="8" t="n">
        <v>0.5938</v>
      </c>
      <c r="F49" s="8" t="n">
        <v>0.4762</v>
      </c>
      <c r="G49" s="8" t="n">
        <v>0.5247000000000001</v>
      </c>
      <c r="H49" s="8" t="n">
        <v>0.3639</v>
      </c>
      <c r="I49" s="8" t="n">
        <v>0.3083</v>
      </c>
      <c r="J49" s="8" t="n">
        <v>0.8112</v>
      </c>
      <c r="K49" s="8" t="n">
        <v>0.4905</v>
      </c>
      <c r="L49" s="9">
        <f>1-(1-Mecanismos!B2)*(1-C49)</f>
        <v/>
      </c>
      <c r="M49" s="9">
        <f>Mecanismos!B7*D49</f>
        <v/>
      </c>
      <c r="N49" s="9">
        <f>Mecanismos!B4*(1-E49)</f>
        <v/>
      </c>
      <c r="O49" s="9">
        <f>Mecanismos!B5*(1-F49)</f>
        <v/>
      </c>
      <c r="P49" s="9">
        <f>Mecanismos!B6*(1-I49)</f>
        <v/>
      </c>
      <c r="Q49" s="9">
        <f>Mecanismos!B9*(1-G49)</f>
        <v/>
      </c>
      <c r="R49" s="9">
        <f>Mecanismos!B9*(1-J49)</f>
        <v/>
      </c>
      <c r="S49" s="9">
        <f>Mecanismos!B8*H49</f>
        <v/>
      </c>
      <c r="T49" s="9">
        <f>Mecanismos!B10*H49</f>
        <v/>
      </c>
      <c r="U49" s="9">
        <f>Mecanismos!B8*K49</f>
        <v/>
      </c>
      <c r="V49" s="9">
        <f>Mecanismos!B3*D49</f>
        <v/>
      </c>
      <c r="W49" s="9">
        <f>Parametros!B2+Parametros!B4*(S49+T49+U49+V49)-Parametros!B3*(L49+M49+N49+O49+P49+Q49+R49)</f>
        <v/>
      </c>
      <c r="X49" s="10">
        <f>1/(1+EXP(-W49))</f>
        <v/>
      </c>
      <c r="Y49" s="11">
        <f>IF(Parametros!B6=1,0.15+0.85*(1/(1+EXP(-8*((1-N49)-0.45)))),1)</f>
        <v/>
      </c>
      <c r="Z49" s="11">
        <f>IF(Parametros!B7=1,MAX(0.05,1-L49^1.6),1)</f>
        <v/>
      </c>
      <c r="AA49" s="11">
        <f>IF(Parametros!B8=1,0.2+0.8*(1/(1+EXP(-9*(S49-0.25)))),1)</f>
        <v/>
      </c>
      <c r="AB49" s="10">
        <f>X49*Y49*Z49*AA49</f>
        <v/>
      </c>
    </row>
    <row r="50">
      <c r="A50" t="inlineStr">
        <is>
          <t>872p5i</t>
        </is>
      </c>
      <c r="B50" t="inlineStr">
        <is>
          <t>Arthur Gabriel da Mata</t>
        </is>
      </c>
      <c r="C50" s="8" t="n">
        <v>0.7577</v>
      </c>
      <c r="D50" s="8" t="n">
        <v>0.4349</v>
      </c>
      <c r="E50" s="8" t="n">
        <v>0.4172</v>
      </c>
      <c r="F50" s="8" t="n">
        <v>0.7464</v>
      </c>
      <c r="G50" s="8" t="n">
        <v>0.4909</v>
      </c>
      <c r="H50" s="8" t="n">
        <v>0.501</v>
      </c>
      <c r="I50" s="8" t="n">
        <v>0.7141999999999999</v>
      </c>
      <c r="J50" s="8" t="n">
        <v>0.8594000000000001</v>
      </c>
      <c r="K50" s="8" t="n">
        <v>0.1705</v>
      </c>
      <c r="L50" s="9">
        <f>1-(1-Mecanismos!B2)*(1-C50)</f>
        <v/>
      </c>
      <c r="M50" s="9">
        <f>Mecanismos!B7*D50</f>
        <v/>
      </c>
      <c r="N50" s="9">
        <f>Mecanismos!B4*(1-E50)</f>
        <v/>
      </c>
      <c r="O50" s="9">
        <f>Mecanismos!B5*(1-F50)</f>
        <v/>
      </c>
      <c r="P50" s="9">
        <f>Mecanismos!B6*(1-I50)</f>
        <v/>
      </c>
      <c r="Q50" s="9">
        <f>Mecanismos!B9*(1-G50)</f>
        <v/>
      </c>
      <c r="R50" s="9">
        <f>Mecanismos!B9*(1-J50)</f>
        <v/>
      </c>
      <c r="S50" s="9">
        <f>Mecanismos!B8*H50</f>
        <v/>
      </c>
      <c r="T50" s="9">
        <f>Mecanismos!B10*H50</f>
        <v/>
      </c>
      <c r="U50" s="9">
        <f>Mecanismos!B8*K50</f>
        <v/>
      </c>
      <c r="V50" s="9">
        <f>Mecanismos!B3*D50</f>
        <v/>
      </c>
      <c r="W50" s="9">
        <f>Parametros!B2+Parametros!B4*(S50+T50+U50+V50)-Parametros!B3*(L50+M50+N50+O50+P50+Q50+R50)</f>
        <v/>
      </c>
      <c r="X50" s="10">
        <f>1/(1+EXP(-W50))</f>
        <v/>
      </c>
      <c r="Y50" s="11">
        <f>IF(Parametros!B6=1,0.15+0.85*(1/(1+EXP(-8*((1-N50)-0.45)))),1)</f>
        <v/>
      </c>
      <c r="Z50" s="11">
        <f>IF(Parametros!B7=1,MAX(0.05,1-L50^1.6),1)</f>
        <v/>
      </c>
      <c r="AA50" s="11">
        <f>IF(Parametros!B8=1,0.2+0.8*(1/(1+EXP(-9*(S50-0.25)))),1)</f>
        <v/>
      </c>
      <c r="AB50" s="10">
        <f>X50*Y50*Z50*AA50</f>
        <v/>
      </c>
    </row>
    <row r="51">
      <c r="A51" t="inlineStr">
        <is>
          <t>wnu627</t>
        </is>
      </c>
      <c r="B51" t="inlineStr">
        <is>
          <t>Arthur Gabriel da Paz</t>
        </is>
      </c>
      <c r="C51" s="8" t="n">
        <v>0.4651</v>
      </c>
      <c r="D51" s="8" t="n">
        <v>0.5366</v>
      </c>
      <c r="E51" s="8" t="n">
        <v>0.6867</v>
      </c>
      <c r="F51" s="8" t="n">
        <v>0.6515</v>
      </c>
      <c r="G51" s="8" t="n">
        <v>0.3666</v>
      </c>
      <c r="H51" s="8" t="n">
        <v>0.5135</v>
      </c>
      <c r="I51" s="8" t="n">
        <v>0.4151</v>
      </c>
      <c r="J51" s="8" t="n">
        <v>0.7924</v>
      </c>
      <c r="K51" s="8" t="n">
        <v>0.5115</v>
      </c>
      <c r="L51" s="9">
        <f>1-(1-Mecanismos!B2)*(1-C51)</f>
        <v/>
      </c>
      <c r="M51" s="9">
        <f>Mecanismos!B7*D51</f>
        <v/>
      </c>
      <c r="N51" s="9">
        <f>Mecanismos!B4*(1-E51)</f>
        <v/>
      </c>
      <c r="O51" s="9">
        <f>Mecanismos!B5*(1-F51)</f>
        <v/>
      </c>
      <c r="P51" s="9">
        <f>Mecanismos!B6*(1-I51)</f>
        <v/>
      </c>
      <c r="Q51" s="9">
        <f>Mecanismos!B9*(1-G51)</f>
        <v/>
      </c>
      <c r="R51" s="9">
        <f>Mecanismos!B9*(1-J51)</f>
        <v/>
      </c>
      <c r="S51" s="9">
        <f>Mecanismos!B8*H51</f>
        <v/>
      </c>
      <c r="T51" s="9">
        <f>Mecanismos!B10*H51</f>
        <v/>
      </c>
      <c r="U51" s="9">
        <f>Mecanismos!B8*K51</f>
        <v/>
      </c>
      <c r="V51" s="9">
        <f>Mecanismos!B3*D51</f>
        <v/>
      </c>
      <c r="W51" s="9">
        <f>Parametros!B2+Parametros!B4*(S51+T51+U51+V51)-Parametros!B3*(L51+M51+N51+O51+P51+Q51+R51)</f>
        <v/>
      </c>
      <c r="X51" s="10">
        <f>1/(1+EXP(-W51))</f>
        <v/>
      </c>
      <c r="Y51" s="11">
        <f>IF(Parametros!B6=1,0.15+0.85*(1/(1+EXP(-8*((1-N51)-0.45)))),1)</f>
        <v/>
      </c>
      <c r="Z51" s="11">
        <f>IF(Parametros!B7=1,MAX(0.05,1-L51^1.6),1)</f>
        <v/>
      </c>
      <c r="AA51" s="11">
        <f>IF(Parametros!B8=1,0.2+0.8*(1/(1+EXP(-9*(S51-0.25)))),1)</f>
        <v/>
      </c>
      <c r="AB51" s="10">
        <f>X51*Y51*Z51*AA51</f>
        <v/>
      </c>
    </row>
    <row r="52">
      <c r="A52" t="inlineStr">
        <is>
          <t>ofabh1</t>
        </is>
      </c>
      <c r="B52" t="inlineStr">
        <is>
          <t>Arthur Macedo</t>
        </is>
      </c>
      <c r="C52" s="8" t="n">
        <v>0.5305</v>
      </c>
      <c r="D52" s="8" t="n">
        <v>0.6626</v>
      </c>
      <c r="E52" s="8" t="n">
        <v>0.4081</v>
      </c>
      <c r="F52" s="8" t="n">
        <v>0.4848</v>
      </c>
      <c r="G52" s="8" t="n">
        <v>0.3356</v>
      </c>
      <c r="H52" s="8" t="n">
        <v>0.7124</v>
      </c>
      <c r="I52" s="8" t="n">
        <v>0.5397</v>
      </c>
      <c r="J52" s="8" t="n">
        <v>0.62</v>
      </c>
      <c r="K52" s="8" t="n">
        <v>0.4494</v>
      </c>
      <c r="L52" s="9">
        <f>1-(1-Mecanismos!B2)*(1-C52)</f>
        <v/>
      </c>
      <c r="M52" s="9">
        <f>Mecanismos!B7*D52</f>
        <v/>
      </c>
      <c r="N52" s="9">
        <f>Mecanismos!B4*(1-E52)</f>
        <v/>
      </c>
      <c r="O52" s="9">
        <f>Mecanismos!B5*(1-F52)</f>
        <v/>
      </c>
      <c r="P52" s="9">
        <f>Mecanismos!B6*(1-I52)</f>
        <v/>
      </c>
      <c r="Q52" s="9">
        <f>Mecanismos!B9*(1-G52)</f>
        <v/>
      </c>
      <c r="R52" s="9">
        <f>Mecanismos!B9*(1-J52)</f>
        <v/>
      </c>
      <c r="S52" s="9">
        <f>Mecanismos!B8*H52</f>
        <v/>
      </c>
      <c r="T52" s="9">
        <f>Mecanismos!B10*H52</f>
        <v/>
      </c>
      <c r="U52" s="9">
        <f>Mecanismos!B8*K52</f>
        <v/>
      </c>
      <c r="V52" s="9">
        <f>Mecanismos!B3*D52</f>
        <v/>
      </c>
      <c r="W52" s="9">
        <f>Parametros!B2+Parametros!B4*(S52+T52+U52+V52)-Parametros!B3*(L52+M52+N52+O52+P52+Q52+R52)</f>
        <v/>
      </c>
      <c r="X52" s="10">
        <f>1/(1+EXP(-W52))</f>
        <v/>
      </c>
      <c r="Y52" s="11">
        <f>IF(Parametros!B6=1,0.15+0.85*(1/(1+EXP(-8*((1-N52)-0.45)))),1)</f>
        <v/>
      </c>
      <c r="Z52" s="11">
        <f>IF(Parametros!B7=1,MAX(0.05,1-L52^1.6),1)</f>
        <v/>
      </c>
      <c r="AA52" s="11">
        <f>IF(Parametros!B8=1,0.2+0.8*(1/(1+EXP(-9*(S52-0.25)))),1)</f>
        <v/>
      </c>
      <c r="AB52" s="10">
        <f>X52*Y52*Z52*AA52</f>
        <v/>
      </c>
    </row>
    <row r="53">
      <c r="A53" t="inlineStr">
        <is>
          <t>9joc5w</t>
        </is>
      </c>
      <c r="B53" t="inlineStr">
        <is>
          <t>Arthur Mendonça</t>
        </is>
      </c>
      <c r="C53" s="8" t="n">
        <v>0.4548</v>
      </c>
      <c r="D53" s="8" t="n">
        <v>0.4672</v>
      </c>
      <c r="E53" s="8" t="n">
        <v>0.5787</v>
      </c>
      <c r="F53" s="8" t="n">
        <v>0.4499</v>
      </c>
      <c r="G53" s="8" t="n">
        <v>0.5804</v>
      </c>
      <c r="H53" s="8" t="n">
        <v>0.5583</v>
      </c>
      <c r="I53" s="8" t="n">
        <v>0.4495</v>
      </c>
      <c r="J53" s="8" t="n">
        <v>0.5338000000000001</v>
      </c>
      <c r="K53" s="8" t="n">
        <v>0.7113</v>
      </c>
      <c r="L53" s="9">
        <f>1-(1-Mecanismos!B2)*(1-C53)</f>
        <v/>
      </c>
      <c r="M53" s="9">
        <f>Mecanismos!B7*D53</f>
        <v/>
      </c>
      <c r="N53" s="9">
        <f>Mecanismos!B4*(1-E53)</f>
        <v/>
      </c>
      <c r="O53" s="9">
        <f>Mecanismos!B5*(1-F53)</f>
        <v/>
      </c>
      <c r="P53" s="9">
        <f>Mecanismos!B6*(1-I53)</f>
        <v/>
      </c>
      <c r="Q53" s="9">
        <f>Mecanismos!B9*(1-G53)</f>
        <v/>
      </c>
      <c r="R53" s="9">
        <f>Mecanismos!B9*(1-J53)</f>
        <v/>
      </c>
      <c r="S53" s="9">
        <f>Mecanismos!B8*H53</f>
        <v/>
      </c>
      <c r="T53" s="9">
        <f>Mecanismos!B10*H53</f>
        <v/>
      </c>
      <c r="U53" s="9">
        <f>Mecanismos!B8*K53</f>
        <v/>
      </c>
      <c r="V53" s="9">
        <f>Mecanismos!B3*D53</f>
        <v/>
      </c>
      <c r="W53" s="9">
        <f>Parametros!B2+Parametros!B4*(S53+T53+U53+V53)-Parametros!B3*(L53+M53+N53+O53+P53+Q53+R53)</f>
        <v/>
      </c>
      <c r="X53" s="10">
        <f>1/(1+EXP(-W53))</f>
        <v/>
      </c>
      <c r="Y53" s="11">
        <f>IF(Parametros!B6=1,0.15+0.85*(1/(1+EXP(-8*((1-N53)-0.45)))),1)</f>
        <v/>
      </c>
      <c r="Z53" s="11">
        <f>IF(Parametros!B7=1,MAX(0.05,1-L53^1.6),1)</f>
        <v/>
      </c>
      <c r="AA53" s="11">
        <f>IF(Parametros!B8=1,0.2+0.8*(1/(1+EXP(-9*(S53-0.25)))),1)</f>
        <v/>
      </c>
      <c r="AB53" s="10">
        <f>X53*Y53*Z53*AA53</f>
        <v/>
      </c>
    </row>
    <row r="54">
      <c r="A54" t="inlineStr">
        <is>
          <t>0bw7lx</t>
        </is>
      </c>
      <c r="B54" t="inlineStr">
        <is>
          <t>Asafe Casa Grande</t>
        </is>
      </c>
      <c r="C54" s="8" t="n">
        <v>0.5506</v>
      </c>
      <c r="D54" s="8" t="n">
        <v>0.5962</v>
      </c>
      <c r="E54" s="8" t="n">
        <v>0.6634</v>
      </c>
      <c r="F54" s="8" t="n">
        <v>0.4336</v>
      </c>
      <c r="G54" s="8" t="n">
        <v>0.3127</v>
      </c>
      <c r="H54" s="8" t="n">
        <v>0.6588000000000001</v>
      </c>
      <c r="I54" s="8" t="n">
        <v>0.5800999999999999</v>
      </c>
      <c r="J54" s="8" t="n">
        <v>0.7452</v>
      </c>
      <c r="K54" s="8" t="n">
        <v>0.4173</v>
      </c>
      <c r="L54" s="9">
        <f>1-(1-Mecanismos!B2)*(1-C54)</f>
        <v/>
      </c>
      <c r="M54" s="9">
        <f>Mecanismos!B7*D54</f>
        <v/>
      </c>
      <c r="N54" s="9">
        <f>Mecanismos!B4*(1-E54)</f>
        <v/>
      </c>
      <c r="O54" s="9">
        <f>Mecanismos!B5*(1-F54)</f>
        <v/>
      </c>
      <c r="P54" s="9">
        <f>Mecanismos!B6*(1-I54)</f>
        <v/>
      </c>
      <c r="Q54" s="9">
        <f>Mecanismos!B9*(1-G54)</f>
        <v/>
      </c>
      <c r="R54" s="9">
        <f>Mecanismos!B9*(1-J54)</f>
        <v/>
      </c>
      <c r="S54" s="9">
        <f>Mecanismos!B8*H54</f>
        <v/>
      </c>
      <c r="T54" s="9">
        <f>Mecanismos!B10*H54</f>
        <v/>
      </c>
      <c r="U54" s="9">
        <f>Mecanismos!B8*K54</f>
        <v/>
      </c>
      <c r="V54" s="9">
        <f>Mecanismos!B3*D54</f>
        <v/>
      </c>
      <c r="W54" s="9">
        <f>Parametros!B2+Parametros!B4*(S54+T54+U54+V54)-Parametros!B3*(L54+M54+N54+O54+P54+Q54+R54)</f>
        <v/>
      </c>
      <c r="X54" s="10">
        <f>1/(1+EXP(-W54))</f>
        <v/>
      </c>
      <c r="Y54" s="11">
        <f>IF(Parametros!B6=1,0.15+0.85*(1/(1+EXP(-8*((1-N54)-0.45)))),1)</f>
        <v/>
      </c>
      <c r="Z54" s="11">
        <f>IF(Parametros!B7=1,MAX(0.05,1-L54^1.6),1)</f>
        <v/>
      </c>
      <c r="AA54" s="11">
        <f>IF(Parametros!B8=1,0.2+0.8*(1/(1+EXP(-9*(S54-0.25)))),1)</f>
        <v/>
      </c>
      <c r="AB54" s="10">
        <f>X54*Y54*Z54*AA54</f>
        <v/>
      </c>
    </row>
    <row r="55">
      <c r="A55" t="inlineStr">
        <is>
          <t>vd2fjq</t>
        </is>
      </c>
      <c r="B55" t="inlineStr">
        <is>
          <t>Asafe Mendonça</t>
        </is>
      </c>
      <c r="C55" s="8" t="n">
        <v>0.4267</v>
      </c>
      <c r="D55" s="8" t="n">
        <v>0.602</v>
      </c>
      <c r="E55" s="8" t="n">
        <v>0.5898</v>
      </c>
      <c r="F55" s="8" t="n">
        <v>0.3891</v>
      </c>
      <c r="G55" s="8" t="n">
        <v>0.2354</v>
      </c>
      <c r="H55" s="8" t="n">
        <v>0.3125</v>
      </c>
      <c r="I55" s="8" t="n">
        <v>0.2254</v>
      </c>
      <c r="J55" s="8" t="n">
        <v>0.787</v>
      </c>
      <c r="K55" s="8" t="n">
        <v>0.7444</v>
      </c>
      <c r="L55" s="9">
        <f>1-(1-Mecanismos!B2)*(1-C55)</f>
        <v/>
      </c>
      <c r="M55" s="9">
        <f>Mecanismos!B7*D55</f>
        <v/>
      </c>
      <c r="N55" s="9">
        <f>Mecanismos!B4*(1-E55)</f>
        <v/>
      </c>
      <c r="O55" s="9">
        <f>Mecanismos!B5*(1-F55)</f>
        <v/>
      </c>
      <c r="P55" s="9">
        <f>Mecanismos!B6*(1-I55)</f>
        <v/>
      </c>
      <c r="Q55" s="9">
        <f>Mecanismos!B9*(1-G55)</f>
        <v/>
      </c>
      <c r="R55" s="9">
        <f>Mecanismos!B9*(1-J55)</f>
        <v/>
      </c>
      <c r="S55" s="9">
        <f>Mecanismos!B8*H55</f>
        <v/>
      </c>
      <c r="T55" s="9">
        <f>Mecanismos!B10*H55</f>
        <v/>
      </c>
      <c r="U55" s="9">
        <f>Mecanismos!B8*K55</f>
        <v/>
      </c>
      <c r="V55" s="9">
        <f>Mecanismos!B3*D55</f>
        <v/>
      </c>
      <c r="W55" s="9">
        <f>Parametros!B2+Parametros!B4*(S55+T55+U55+V55)-Parametros!B3*(L55+M55+N55+O55+P55+Q55+R55)</f>
        <v/>
      </c>
      <c r="X55" s="10">
        <f>1/(1+EXP(-W55))</f>
        <v/>
      </c>
      <c r="Y55" s="11">
        <f>IF(Parametros!B6=1,0.15+0.85*(1/(1+EXP(-8*((1-N55)-0.45)))),1)</f>
        <v/>
      </c>
      <c r="Z55" s="11">
        <f>IF(Parametros!B7=1,MAX(0.05,1-L55^1.6),1)</f>
        <v/>
      </c>
      <c r="AA55" s="11">
        <f>IF(Parametros!B8=1,0.2+0.8*(1/(1+EXP(-9*(S55-0.25)))),1)</f>
        <v/>
      </c>
      <c r="AB55" s="10">
        <f>X55*Y55*Z55*AA55</f>
        <v/>
      </c>
    </row>
    <row r="56">
      <c r="A56" t="inlineStr">
        <is>
          <t>iu2r2k</t>
        </is>
      </c>
      <c r="B56" t="inlineStr">
        <is>
          <t>Augusto Fogaça</t>
        </is>
      </c>
      <c r="C56" s="8" t="n">
        <v>0.9189000000000001</v>
      </c>
      <c r="D56" s="8" t="n">
        <v>0.5249</v>
      </c>
      <c r="E56" s="8" t="n">
        <v>0.7524</v>
      </c>
      <c r="F56" s="8" t="n">
        <v>0.468</v>
      </c>
      <c r="G56" s="8" t="n">
        <v>0.4344</v>
      </c>
      <c r="H56" s="8" t="n">
        <v>0.6105</v>
      </c>
      <c r="I56" s="8" t="n">
        <v>0.2055</v>
      </c>
      <c r="J56" s="8" t="n">
        <v>0.4767</v>
      </c>
      <c r="K56" s="8" t="n">
        <v>0.5215</v>
      </c>
      <c r="L56" s="9">
        <f>1-(1-Mecanismos!B2)*(1-C56)</f>
        <v/>
      </c>
      <c r="M56" s="9">
        <f>Mecanismos!B7*D56</f>
        <v/>
      </c>
      <c r="N56" s="9">
        <f>Mecanismos!B4*(1-E56)</f>
        <v/>
      </c>
      <c r="O56" s="9">
        <f>Mecanismos!B5*(1-F56)</f>
        <v/>
      </c>
      <c r="P56" s="9">
        <f>Mecanismos!B6*(1-I56)</f>
        <v/>
      </c>
      <c r="Q56" s="9">
        <f>Mecanismos!B9*(1-G56)</f>
        <v/>
      </c>
      <c r="R56" s="9">
        <f>Mecanismos!B9*(1-J56)</f>
        <v/>
      </c>
      <c r="S56" s="9">
        <f>Mecanismos!B8*H56</f>
        <v/>
      </c>
      <c r="T56" s="9">
        <f>Mecanismos!B10*H56</f>
        <v/>
      </c>
      <c r="U56" s="9">
        <f>Mecanismos!B8*K56</f>
        <v/>
      </c>
      <c r="V56" s="9">
        <f>Mecanismos!B3*D56</f>
        <v/>
      </c>
      <c r="W56" s="9">
        <f>Parametros!B2+Parametros!B4*(S56+T56+U56+V56)-Parametros!B3*(L56+M56+N56+O56+P56+Q56+R56)</f>
        <v/>
      </c>
      <c r="X56" s="10">
        <f>1/(1+EXP(-W56))</f>
        <v/>
      </c>
      <c r="Y56" s="11">
        <f>IF(Parametros!B6=1,0.15+0.85*(1/(1+EXP(-8*((1-N56)-0.45)))),1)</f>
        <v/>
      </c>
      <c r="Z56" s="11">
        <f>IF(Parametros!B7=1,MAX(0.05,1-L56^1.6),1)</f>
        <v/>
      </c>
      <c r="AA56" s="11">
        <f>IF(Parametros!B8=1,0.2+0.8*(1/(1+EXP(-9*(S56-0.25)))),1)</f>
        <v/>
      </c>
      <c r="AB56" s="10">
        <f>X56*Y56*Z56*AA56</f>
        <v/>
      </c>
    </row>
    <row r="57">
      <c r="A57" t="inlineStr">
        <is>
          <t>b27m5n</t>
        </is>
      </c>
      <c r="B57" t="inlineStr">
        <is>
          <t>Ayla Mendonça</t>
        </is>
      </c>
      <c r="C57" s="8" t="n">
        <v>0.3823</v>
      </c>
      <c r="D57" s="8" t="n">
        <v>0.456</v>
      </c>
      <c r="E57" s="8" t="n">
        <v>0.5211</v>
      </c>
      <c r="F57" s="8" t="n">
        <v>0.4729</v>
      </c>
      <c r="G57" s="8" t="n">
        <v>0.3434</v>
      </c>
      <c r="H57" s="8" t="n">
        <v>0.6832</v>
      </c>
      <c r="I57" s="8" t="n">
        <v>0.6827</v>
      </c>
      <c r="J57" s="8" t="n">
        <v>0.8996</v>
      </c>
      <c r="K57" s="8" t="n">
        <v>0.4686</v>
      </c>
      <c r="L57" s="9">
        <f>1-(1-Mecanismos!B2)*(1-C57)</f>
        <v/>
      </c>
      <c r="M57" s="9">
        <f>Mecanismos!B7*D57</f>
        <v/>
      </c>
      <c r="N57" s="9">
        <f>Mecanismos!B4*(1-E57)</f>
        <v/>
      </c>
      <c r="O57" s="9">
        <f>Mecanismos!B5*(1-F57)</f>
        <v/>
      </c>
      <c r="P57" s="9">
        <f>Mecanismos!B6*(1-I57)</f>
        <v/>
      </c>
      <c r="Q57" s="9">
        <f>Mecanismos!B9*(1-G57)</f>
        <v/>
      </c>
      <c r="R57" s="9">
        <f>Mecanismos!B9*(1-J57)</f>
        <v/>
      </c>
      <c r="S57" s="9">
        <f>Mecanismos!B8*H57</f>
        <v/>
      </c>
      <c r="T57" s="9">
        <f>Mecanismos!B10*H57</f>
        <v/>
      </c>
      <c r="U57" s="9">
        <f>Mecanismos!B8*K57</f>
        <v/>
      </c>
      <c r="V57" s="9">
        <f>Mecanismos!B3*D57</f>
        <v/>
      </c>
      <c r="W57" s="9">
        <f>Parametros!B2+Parametros!B4*(S57+T57+U57+V57)-Parametros!B3*(L57+M57+N57+O57+P57+Q57+R57)</f>
        <v/>
      </c>
      <c r="X57" s="10">
        <f>1/(1+EXP(-W57))</f>
        <v/>
      </c>
      <c r="Y57" s="11">
        <f>IF(Parametros!B6=1,0.15+0.85*(1/(1+EXP(-8*((1-N57)-0.45)))),1)</f>
        <v/>
      </c>
      <c r="Z57" s="11">
        <f>IF(Parametros!B7=1,MAX(0.05,1-L57^1.6),1)</f>
        <v/>
      </c>
      <c r="AA57" s="11">
        <f>IF(Parametros!B8=1,0.2+0.8*(1/(1+EXP(-9*(S57-0.25)))),1)</f>
        <v/>
      </c>
      <c r="AB57" s="10">
        <f>X57*Y57*Z57*AA57</f>
        <v/>
      </c>
    </row>
    <row r="58">
      <c r="A58" t="inlineStr">
        <is>
          <t>pe0ibe</t>
        </is>
      </c>
      <c r="B58" t="inlineStr">
        <is>
          <t>Ayla Rocha</t>
        </is>
      </c>
      <c r="C58" s="8" t="n">
        <v>0.5651</v>
      </c>
      <c r="D58" s="8" t="n">
        <v>0.804</v>
      </c>
      <c r="E58" s="8" t="n">
        <v>0.467</v>
      </c>
      <c r="F58" s="8" t="n">
        <v>0.6735</v>
      </c>
      <c r="G58" s="8" t="n">
        <v>0.4253</v>
      </c>
      <c r="H58" s="8" t="n">
        <v>0.7144</v>
      </c>
      <c r="I58" s="8" t="n">
        <v>0.6921</v>
      </c>
      <c r="J58" s="8" t="n">
        <v>0.7268</v>
      </c>
      <c r="K58" s="8" t="n">
        <v>0.7039</v>
      </c>
      <c r="L58" s="9">
        <f>1-(1-Mecanismos!B2)*(1-C58)</f>
        <v/>
      </c>
      <c r="M58" s="9">
        <f>Mecanismos!B7*D58</f>
        <v/>
      </c>
      <c r="N58" s="9">
        <f>Mecanismos!B4*(1-E58)</f>
        <v/>
      </c>
      <c r="O58" s="9">
        <f>Mecanismos!B5*(1-F58)</f>
        <v/>
      </c>
      <c r="P58" s="9">
        <f>Mecanismos!B6*(1-I58)</f>
        <v/>
      </c>
      <c r="Q58" s="9">
        <f>Mecanismos!B9*(1-G58)</f>
        <v/>
      </c>
      <c r="R58" s="9">
        <f>Mecanismos!B9*(1-J58)</f>
        <v/>
      </c>
      <c r="S58" s="9">
        <f>Mecanismos!B8*H58</f>
        <v/>
      </c>
      <c r="T58" s="9">
        <f>Mecanismos!B10*H58</f>
        <v/>
      </c>
      <c r="U58" s="9">
        <f>Mecanismos!B8*K58</f>
        <v/>
      </c>
      <c r="V58" s="9">
        <f>Mecanismos!B3*D58</f>
        <v/>
      </c>
      <c r="W58" s="9">
        <f>Parametros!B2+Parametros!B4*(S58+T58+U58+V58)-Parametros!B3*(L58+M58+N58+O58+P58+Q58+R58)</f>
        <v/>
      </c>
      <c r="X58" s="10">
        <f>1/(1+EXP(-W58))</f>
        <v/>
      </c>
      <c r="Y58" s="11">
        <f>IF(Parametros!B6=1,0.15+0.85*(1/(1+EXP(-8*((1-N58)-0.45)))),1)</f>
        <v/>
      </c>
      <c r="Z58" s="11">
        <f>IF(Parametros!B7=1,MAX(0.05,1-L58^1.6),1)</f>
        <v/>
      </c>
      <c r="AA58" s="11">
        <f>IF(Parametros!B8=1,0.2+0.8*(1/(1+EXP(-9*(S58-0.25)))),1)</f>
        <v/>
      </c>
      <c r="AB58" s="10">
        <f>X58*Y58*Z58*AA58</f>
        <v/>
      </c>
    </row>
    <row r="59">
      <c r="A59" t="inlineStr">
        <is>
          <t>4t6zl5</t>
        </is>
      </c>
      <c r="B59" t="inlineStr">
        <is>
          <t>Aylla Fernandes</t>
        </is>
      </c>
      <c r="C59" s="8" t="n">
        <v>0.4491</v>
      </c>
      <c r="D59" s="8" t="n">
        <v>0.6209</v>
      </c>
      <c r="E59" s="8" t="n">
        <v>0.617</v>
      </c>
      <c r="F59" s="8" t="n">
        <v>0.5505</v>
      </c>
      <c r="G59" s="8" t="n">
        <v>0.5838</v>
      </c>
      <c r="H59" s="8" t="n">
        <v>0.6948</v>
      </c>
      <c r="I59" s="8" t="n">
        <v>0.4012</v>
      </c>
      <c r="J59" s="8" t="n">
        <v>0.8687</v>
      </c>
      <c r="K59" s="8" t="n">
        <v>0.4205</v>
      </c>
      <c r="L59" s="9">
        <f>1-(1-Mecanismos!B2)*(1-C59)</f>
        <v/>
      </c>
      <c r="M59" s="9">
        <f>Mecanismos!B7*D59</f>
        <v/>
      </c>
      <c r="N59" s="9">
        <f>Mecanismos!B4*(1-E59)</f>
        <v/>
      </c>
      <c r="O59" s="9">
        <f>Mecanismos!B5*(1-F59)</f>
        <v/>
      </c>
      <c r="P59" s="9">
        <f>Mecanismos!B6*(1-I59)</f>
        <v/>
      </c>
      <c r="Q59" s="9">
        <f>Mecanismos!B9*(1-G59)</f>
        <v/>
      </c>
      <c r="R59" s="9">
        <f>Mecanismos!B9*(1-J59)</f>
        <v/>
      </c>
      <c r="S59" s="9">
        <f>Mecanismos!B8*H59</f>
        <v/>
      </c>
      <c r="T59" s="9">
        <f>Mecanismos!B10*H59</f>
        <v/>
      </c>
      <c r="U59" s="9">
        <f>Mecanismos!B8*K59</f>
        <v/>
      </c>
      <c r="V59" s="9">
        <f>Mecanismos!B3*D59</f>
        <v/>
      </c>
      <c r="W59" s="9">
        <f>Parametros!B2+Parametros!B4*(S59+T59+U59+V59)-Parametros!B3*(L59+M59+N59+O59+P59+Q59+R59)</f>
        <v/>
      </c>
      <c r="X59" s="10">
        <f>1/(1+EXP(-W59))</f>
        <v/>
      </c>
      <c r="Y59" s="11">
        <f>IF(Parametros!B6=1,0.15+0.85*(1/(1+EXP(-8*((1-N59)-0.45)))),1)</f>
        <v/>
      </c>
      <c r="Z59" s="11">
        <f>IF(Parametros!B7=1,MAX(0.05,1-L59^1.6),1)</f>
        <v/>
      </c>
      <c r="AA59" s="11">
        <f>IF(Parametros!B8=1,0.2+0.8*(1/(1+EXP(-9*(S59-0.25)))),1)</f>
        <v/>
      </c>
      <c r="AB59" s="10">
        <f>X59*Y59*Z59*AA59</f>
        <v/>
      </c>
    </row>
    <row r="60">
      <c r="A60" t="inlineStr">
        <is>
          <t>jtodc9</t>
        </is>
      </c>
      <c r="B60" t="inlineStr">
        <is>
          <t>Aylla Pastor</t>
        </is>
      </c>
      <c r="C60" s="8" t="n">
        <v>0.5399</v>
      </c>
      <c r="D60" s="8" t="n">
        <v>0.5531</v>
      </c>
      <c r="E60" s="8" t="n">
        <v>0.4066</v>
      </c>
      <c r="F60" s="8" t="n">
        <v>0.246</v>
      </c>
      <c r="G60" s="8" t="n">
        <v>0.5345</v>
      </c>
      <c r="H60" s="8" t="n">
        <v>0.6562</v>
      </c>
      <c r="I60" s="8" t="n">
        <v>0.6801</v>
      </c>
      <c r="J60" s="8" t="n">
        <v>0.8692</v>
      </c>
      <c r="K60" s="8" t="n">
        <v>0.7358</v>
      </c>
      <c r="L60" s="9">
        <f>1-(1-Mecanismos!B2)*(1-C60)</f>
        <v/>
      </c>
      <c r="M60" s="9">
        <f>Mecanismos!B7*D60</f>
        <v/>
      </c>
      <c r="N60" s="9">
        <f>Mecanismos!B4*(1-E60)</f>
        <v/>
      </c>
      <c r="O60" s="9">
        <f>Mecanismos!B5*(1-F60)</f>
        <v/>
      </c>
      <c r="P60" s="9">
        <f>Mecanismos!B6*(1-I60)</f>
        <v/>
      </c>
      <c r="Q60" s="9">
        <f>Mecanismos!B9*(1-G60)</f>
        <v/>
      </c>
      <c r="R60" s="9">
        <f>Mecanismos!B9*(1-J60)</f>
        <v/>
      </c>
      <c r="S60" s="9">
        <f>Mecanismos!B8*H60</f>
        <v/>
      </c>
      <c r="T60" s="9">
        <f>Mecanismos!B10*H60</f>
        <v/>
      </c>
      <c r="U60" s="9">
        <f>Mecanismos!B8*K60</f>
        <v/>
      </c>
      <c r="V60" s="9">
        <f>Mecanismos!B3*D60</f>
        <v/>
      </c>
      <c r="W60" s="9">
        <f>Parametros!B2+Parametros!B4*(S60+T60+U60+V60)-Parametros!B3*(L60+M60+N60+O60+P60+Q60+R60)</f>
        <v/>
      </c>
      <c r="X60" s="10">
        <f>1/(1+EXP(-W60))</f>
        <v/>
      </c>
      <c r="Y60" s="11">
        <f>IF(Parametros!B6=1,0.15+0.85*(1/(1+EXP(-8*((1-N60)-0.45)))),1)</f>
        <v/>
      </c>
      <c r="Z60" s="11">
        <f>IF(Parametros!B7=1,MAX(0.05,1-L60^1.6),1)</f>
        <v/>
      </c>
      <c r="AA60" s="11">
        <f>IF(Parametros!B8=1,0.2+0.8*(1/(1+EXP(-9*(S60-0.25)))),1)</f>
        <v/>
      </c>
      <c r="AB60" s="10">
        <f>X60*Y60*Z60*AA60</f>
        <v/>
      </c>
    </row>
    <row r="61">
      <c r="A61" t="inlineStr">
        <is>
          <t>m0l98u</t>
        </is>
      </c>
      <c r="B61" t="inlineStr">
        <is>
          <t>Beatriz Duarte</t>
        </is>
      </c>
      <c r="C61" s="8" t="n">
        <v>0.4425</v>
      </c>
      <c r="D61" s="8" t="n">
        <v>0.2935</v>
      </c>
      <c r="E61" s="8" t="n">
        <v>0.7884</v>
      </c>
      <c r="F61" s="8" t="n">
        <v>0.3982</v>
      </c>
      <c r="G61" s="8" t="n">
        <v>0.4403</v>
      </c>
      <c r="H61" s="8" t="n">
        <v>0.7941</v>
      </c>
      <c r="I61" s="8" t="n">
        <v>0.2815</v>
      </c>
      <c r="J61" s="8" t="n">
        <v>0.8022</v>
      </c>
      <c r="K61" s="8" t="n">
        <v>0.8218</v>
      </c>
      <c r="L61" s="9">
        <f>1-(1-Mecanismos!B2)*(1-C61)</f>
        <v/>
      </c>
      <c r="M61" s="9">
        <f>Mecanismos!B7*D61</f>
        <v/>
      </c>
      <c r="N61" s="9">
        <f>Mecanismos!B4*(1-E61)</f>
        <v/>
      </c>
      <c r="O61" s="9">
        <f>Mecanismos!B5*(1-F61)</f>
        <v/>
      </c>
      <c r="P61" s="9">
        <f>Mecanismos!B6*(1-I61)</f>
        <v/>
      </c>
      <c r="Q61" s="9">
        <f>Mecanismos!B9*(1-G61)</f>
        <v/>
      </c>
      <c r="R61" s="9">
        <f>Mecanismos!B9*(1-J61)</f>
        <v/>
      </c>
      <c r="S61" s="9">
        <f>Mecanismos!B8*H61</f>
        <v/>
      </c>
      <c r="T61" s="9">
        <f>Mecanismos!B10*H61</f>
        <v/>
      </c>
      <c r="U61" s="9">
        <f>Mecanismos!B8*K61</f>
        <v/>
      </c>
      <c r="V61" s="9">
        <f>Mecanismos!B3*D61</f>
        <v/>
      </c>
      <c r="W61" s="9">
        <f>Parametros!B2+Parametros!B4*(S61+T61+U61+V61)-Parametros!B3*(L61+M61+N61+O61+P61+Q61+R61)</f>
        <v/>
      </c>
      <c r="X61" s="10">
        <f>1/(1+EXP(-W61))</f>
        <v/>
      </c>
      <c r="Y61" s="11">
        <f>IF(Parametros!B6=1,0.15+0.85*(1/(1+EXP(-8*((1-N61)-0.45)))),1)</f>
        <v/>
      </c>
      <c r="Z61" s="11">
        <f>IF(Parametros!B7=1,MAX(0.05,1-L61^1.6),1)</f>
        <v/>
      </c>
      <c r="AA61" s="11">
        <f>IF(Parametros!B8=1,0.2+0.8*(1/(1+EXP(-9*(S61-0.25)))),1)</f>
        <v/>
      </c>
      <c r="AB61" s="10">
        <f>X61*Y61*Z61*AA61</f>
        <v/>
      </c>
    </row>
    <row r="62">
      <c r="A62" t="inlineStr">
        <is>
          <t>4g4cap</t>
        </is>
      </c>
      <c r="B62" t="inlineStr">
        <is>
          <t>Bella Duarte</t>
        </is>
      </c>
      <c r="C62" s="8" t="n">
        <v>0.4366</v>
      </c>
      <c r="D62" s="8" t="n">
        <v>0.4693</v>
      </c>
      <c r="E62" s="8" t="n">
        <v>0.6048</v>
      </c>
      <c r="F62" s="8" t="n">
        <v>0.5263</v>
      </c>
      <c r="G62" s="8" t="n">
        <v>0.5856</v>
      </c>
      <c r="H62" s="8" t="n">
        <v>0.5259</v>
      </c>
      <c r="I62" s="8" t="n">
        <v>0.5512</v>
      </c>
      <c r="J62" s="8" t="n">
        <v>0.8067</v>
      </c>
      <c r="K62" s="8" t="n">
        <v>0.2671</v>
      </c>
      <c r="L62" s="9">
        <f>1-(1-Mecanismos!B2)*(1-C62)</f>
        <v/>
      </c>
      <c r="M62" s="9">
        <f>Mecanismos!B7*D62</f>
        <v/>
      </c>
      <c r="N62" s="9">
        <f>Mecanismos!B4*(1-E62)</f>
        <v/>
      </c>
      <c r="O62" s="9">
        <f>Mecanismos!B5*(1-F62)</f>
        <v/>
      </c>
      <c r="P62" s="9">
        <f>Mecanismos!B6*(1-I62)</f>
        <v/>
      </c>
      <c r="Q62" s="9">
        <f>Mecanismos!B9*(1-G62)</f>
        <v/>
      </c>
      <c r="R62" s="9">
        <f>Mecanismos!B9*(1-J62)</f>
        <v/>
      </c>
      <c r="S62" s="9">
        <f>Mecanismos!B8*H62</f>
        <v/>
      </c>
      <c r="T62" s="9">
        <f>Mecanismos!B10*H62</f>
        <v/>
      </c>
      <c r="U62" s="9">
        <f>Mecanismos!B8*K62</f>
        <v/>
      </c>
      <c r="V62" s="9">
        <f>Mecanismos!B3*D62</f>
        <v/>
      </c>
      <c r="W62" s="9">
        <f>Parametros!B2+Parametros!B4*(S62+T62+U62+V62)-Parametros!B3*(L62+M62+N62+O62+P62+Q62+R62)</f>
        <v/>
      </c>
      <c r="X62" s="10">
        <f>1/(1+EXP(-W62))</f>
        <v/>
      </c>
      <c r="Y62" s="11">
        <f>IF(Parametros!B6=1,0.15+0.85*(1/(1+EXP(-8*((1-N62)-0.45)))),1)</f>
        <v/>
      </c>
      <c r="Z62" s="11">
        <f>IF(Parametros!B7=1,MAX(0.05,1-L62^1.6),1)</f>
        <v/>
      </c>
      <c r="AA62" s="11">
        <f>IF(Parametros!B8=1,0.2+0.8*(1/(1+EXP(-9*(S62-0.25)))),1)</f>
        <v/>
      </c>
      <c r="AB62" s="10">
        <f>X62*Y62*Z62*AA62</f>
        <v/>
      </c>
    </row>
    <row r="63">
      <c r="A63" t="inlineStr">
        <is>
          <t>q2he40</t>
        </is>
      </c>
      <c r="B63" t="inlineStr">
        <is>
          <t>Bella Fernandes</t>
        </is>
      </c>
      <c r="C63" s="8" t="n">
        <v>0.6031</v>
      </c>
      <c r="D63" s="8" t="n">
        <v>0.5664</v>
      </c>
      <c r="E63" s="8" t="n">
        <v>0.3789</v>
      </c>
      <c r="F63" s="8" t="n">
        <v>0.7275</v>
      </c>
      <c r="G63" s="8" t="n">
        <v>0.4191</v>
      </c>
      <c r="H63" s="8" t="n">
        <v>0.465</v>
      </c>
      <c r="I63" s="8" t="n">
        <v>0.3478</v>
      </c>
      <c r="J63" s="8" t="n">
        <v>0.8249</v>
      </c>
      <c r="K63" s="8" t="n">
        <v>0.4018</v>
      </c>
      <c r="L63" s="9">
        <f>1-(1-Mecanismos!B2)*(1-C63)</f>
        <v/>
      </c>
      <c r="M63" s="9">
        <f>Mecanismos!B7*D63</f>
        <v/>
      </c>
      <c r="N63" s="9">
        <f>Mecanismos!B4*(1-E63)</f>
        <v/>
      </c>
      <c r="O63" s="9">
        <f>Mecanismos!B5*(1-F63)</f>
        <v/>
      </c>
      <c r="P63" s="9">
        <f>Mecanismos!B6*(1-I63)</f>
        <v/>
      </c>
      <c r="Q63" s="9">
        <f>Mecanismos!B9*(1-G63)</f>
        <v/>
      </c>
      <c r="R63" s="9">
        <f>Mecanismos!B9*(1-J63)</f>
        <v/>
      </c>
      <c r="S63" s="9">
        <f>Mecanismos!B8*H63</f>
        <v/>
      </c>
      <c r="T63" s="9">
        <f>Mecanismos!B10*H63</f>
        <v/>
      </c>
      <c r="U63" s="9">
        <f>Mecanismos!B8*K63</f>
        <v/>
      </c>
      <c r="V63" s="9">
        <f>Mecanismos!B3*D63</f>
        <v/>
      </c>
      <c r="W63" s="9">
        <f>Parametros!B2+Parametros!B4*(S63+T63+U63+V63)-Parametros!B3*(L63+M63+N63+O63+P63+Q63+R63)</f>
        <v/>
      </c>
      <c r="X63" s="10">
        <f>1/(1+EXP(-W63))</f>
        <v/>
      </c>
      <c r="Y63" s="11">
        <f>IF(Parametros!B6=1,0.15+0.85*(1/(1+EXP(-8*((1-N63)-0.45)))),1)</f>
        <v/>
      </c>
      <c r="Z63" s="11">
        <f>IF(Parametros!B7=1,MAX(0.05,1-L63^1.6),1)</f>
        <v/>
      </c>
      <c r="AA63" s="11">
        <f>IF(Parametros!B8=1,0.2+0.8*(1/(1+EXP(-9*(S63-0.25)))),1)</f>
        <v/>
      </c>
      <c r="AB63" s="10">
        <f>X63*Y63*Z63*AA63</f>
        <v/>
      </c>
    </row>
    <row r="64">
      <c r="A64" t="inlineStr">
        <is>
          <t>c66tnq</t>
        </is>
      </c>
      <c r="B64" t="inlineStr">
        <is>
          <t>Bella da Rocha</t>
        </is>
      </c>
      <c r="C64" s="8" t="n">
        <v>0.8492</v>
      </c>
      <c r="D64" s="8" t="n">
        <v>0.4404</v>
      </c>
      <c r="E64" s="8" t="n">
        <v>0.5409</v>
      </c>
      <c r="F64" s="8" t="n">
        <v>0.5266999999999999</v>
      </c>
      <c r="G64" s="8" t="n">
        <v>0.5116000000000001</v>
      </c>
      <c r="H64" s="8" t="n">
        <v>0.2897</v>
      </c>
      <c r="I64" s="8" t="n">
        <v>0.1144</v>
      </c>
      <c r="J64" s="8" t="n">
        <v>0.8054</v>
      </c>
      <c r="K64" s="8" t="n">
        <v>0.5792</v>
      </c>
      <c r="L64" s="9">
        <f>1-(1-Mecanismos!B2)*(1-C64)</f>
        <v/>
      </c>
      <c r="M64" s="9">
        <f>Mecanismos!B7*D64</f>
        <v/>
      </c>
      <c r="N64" s="9">
        <f>Mecanismos!B4*(1-E64)</f>
        <v/>
      </c>
      <c r="O64" s="9">
        <f>Mecanismos!B5*(1-F64)</f>
        <v/>
      </c>
      <c r="P64" s="9">
        <f>Mecanismos!B6*(1-I64)</f>
        <v/>
      </c>
      <c r="Q64" s="9">
        <f>Mecanismos!B9*(1-G64)</f>
        <v/>
      </c>
      <c r="R64" s="9">
        <f>Mecanismos!B9*(1-J64)</f>
        <v/>
      </c>
      <c r="S64" s="9">
        <f>Mecanismos!B8*H64</f>
        <v/>
      </c>
      <c r="T64" s="9">
        <f>Mecanismos!B10*H64</f>
        <v/>
      </c>
      <c r="U64" s="9">
        <f>Mecanismos!B8*K64</f>
        <v/>
      </c>
      <c r="V64" s="9">
        <f>Mecanismos!B3*D64</f>
        <v/>
      </c>
      <c r="W64" s="9">
        <f>Parametros!B2+Parametros!B4*(S64+T64+U64+V64)-Parametros!B3*(L64+M64+N64+O64+P64+Q64+R64)</f>
        <v/>
      </c>
      <c r="X64" s="10">
        <f>1/(1+EXP(-W64))</f>
        <v/>
      </c>
      <c r="Y64" s="11">
        <f>IF(Parametros!B6=1,0.15+0.85*(1/(1+EXP(-8*((1-N64)-0.45)))),1)</f>
        <v/>
      </c>
      <c r="Z64" s="11">
        <f>IF(Parametros!B7=1,MAX(0.05,1-L64^1.6),1)</f>
        <v/>
      </c>
      <c r="AA64" s="11">
        <f>IF(Parametros!B8=1,0.2+0.8*(1/(1+EXP(-9*(S64-0.25)))),1)</f>
        <v/>
      </c>
      <c r="AB64" s="10">
        <f>X64*Y64*Z64*AA64</f>
        <v/>
      </c>
    </row>
    <row r="65">
      <c r="A65" t="inlineStr">
        <is>
          <t>e507xq</t>
        </is>
      </c>
      <c r="B65" t="inlineStr">
        <is>
          <t>Benjamim Pimenta</t>
        </is>
      </c>
      <c r="C65" s="8" t="n">
        <v>0.4397</v>
      </c>
      <c r="D65" s="8" t="n">
        <v>0.6955</v>
      </c>
      <c r="E65" s="8" t="n">
        <v>0.3442</v>
      </c>
      <c r="F65" s="8" t="n">
        <v>0.5955</v>
      </c>
      <c r="G65" s="8" t="n">
        <v>0.5145999999999999</v>
      </c>
      <c r="H65" s="8" t="n">
        <v>0.4407</v>
      </c>
      <c r="I65" s="8" t="n">
        <v>0.3251</v>
      </c>
      <c r="J65" s="8" t="n">
        <v>0.5515</v>
      </c>
      <c r="K65" s="8" t="n">
        <v>0.2201</v>
      </c>
      <c r="L65" s="9">
        <f>1-(1-Mecanismos!B2)*(1-C65)</f>
        <v/>
      </c>
      <c r="M65" s="9">
        <f>Mecanismos!B7*D65</f>
        <v/>
      </c>
      <c r="N65" s="9">
        <f>Mecanismos!B4*(1-E65)</f>
        <v/>
      </c>
      <c r="O65" s="9">
        <f>Mecanismos!B5*(1-F65)</f>
        <v/>
      </c>
      <c r="P65" s="9">
        <f>Mecanismos!B6*(1-I65)</f>
        <v/>
      </c>
      <c r="Q65" s="9">
        <f>Mecanismos!B9*(1-G65)</f>
        <v/>
      </c>
      <c r="R65" s="9">
        <f>Mecanismos!B9*(1-J65)</f>
        <v/>
      </c>
      <c r="S65" s="9">
        <f>Mecanismos!B8*H65</f>
        <v/>
      </c>
      <c r="T65" s="9">
        <f>Mecanismos!B10*H65</f>
        <v/>
      </c>
      <c r="U65" s="9">
        <f>Mecanismos!B8*K65</f>
        <v/>
      </c>
      <c r="V65" s="9">
        <f>Mecanismos!B3*D65</f>
        <v/>
      </c>
      <c r="W65" s="9">
        <f>Parametros!B2+Parametros!B4*(S65+T65+U65+V65)-Parametros!B3*(L65+M65+N65+O65+P65+Q65+R65)</f>
        <v/>
      </c>
      <c r="X65" s="10">
        <f>1/(1+EXP(-W65))</f>
        <v/>
      </c>
      <c r="Y65" s="11">
        <f>IF(Parametros!B6=1,0.15+0.85*(1/(1+EXP(-8*((1-N65)-0.45)))),1)</f>
        <v/>
      </c>
      <c r="Z65" s="11">
        <f>IF(Parametros!B7=1,MAX(0.05,1-L65^1.6),1)</f>
        <v/>
      </c>
      <c r="AA65" s="11">
        <f>IF(Parametros!B8=1,0.2+0.8*(1/(1+EXP(-9*(S65-0.25)))),1)</f>
        <v/>
      </c>
      <c r="AB65" s="10">
        <f>X65*Y65*Z65*AA65</f>
        <v/>
      </c>
    </row>
    <row r="66">
      <c r="A66" t="inlineStr">
        <is>
          <t>j8uo0a</t>
        </is>
      </c>
      <c r="B66" t="inlineStr">
        <is>
          <t>Benjamim Rodrigues</t>
        </is>
      </c>
      <c r="C66" s="8" t="n">
        <v>0.5646</v>
      </c>
      <c r="D66" s="8" t="n">
        <v>0.4506</v>
      </c>
      <c r="E66" s="8" t="n">
        <v>0.7208</v>
      </c>
      <c r="F66" s="8" t="n">
        <v>0.5469000000000001</v>
      </c>
      <c r="G66" s="8" t="n">
        <v>0.4304</v>
      </c>
      <c r="H66" s="8" t="n">
        <v>0.4269</v>
      </c>
      <c r="I66" s="8" t="n">
        <v>0.2166</v>
      </c>
      <c r="J66" s="8" t="n">
        <v>0.8976</v>
      </c>
      <c r="K66" s="8" t="n">
        <v>0.3546</v>
      </c>
      <c r="L66" s="9">
        <f>1-(1-Mecanismos!B2)*(1-C66)</f>
        <v/>
      </c>
      <c r="M66" s="9">
        <f>Mecanismos!B7*D66</f>
        <v/>
      </c>
      <c r="N66" s="9">
        <f>Mecanismos!B4*(1-E66)</f>
        <v/>
      </c>
      <c r="O66" s="9">
        <f>Mecanismos!B5*(1-F66)</f>
        <v/>
      </c>
      <c r="P66" s="9">
        <f>Mecanismos!B6*(1-I66)</f>
        <v/>
      </c>
      <c r="Q66" s="9">
        <f>Mecanismos!B9*(1-G66)</f>
        <v/>
      </c>
      <c r="R66" s="9">
        <f>Mecanismos!B9*(1-J66)</f>
        <v/>
      </c>
      <c r="S66" s="9">
        <f>Mecanismos!B8*H66</f>
        <v/>
      </c>
      <c r="T66" s="9">
        <f>Mecanismos!B10*H66</f>
        <v/>
      </c>
      <c r="U66" s="9">
        <f>Mecanismos!B8*K66</f>
        <v/>
      </c>
      <c r="V66" s="9">
        <f>Mecanismos!B3*D66</f>
        <v/>
      </c>
      <c r="W66" s="9">
        <f>Parametros!B2+Parametros!B4*(S66+T66+U66+V66)-Parametros!B3*(L66+M66+N66+O66+P66+Q66+R66)</f>
        <v/>
      </c>
      <c r="X66" s="10">
        <f>1/(1+EXP(-W66))</f>
        <v/>
      </c>
      <c r="Y66" s="11">
        <f>IF(Parametros!B6=1,0.15+0.85*(1/(1+EXP(-8*((1-N66)-0.45)))),1)</f>
        <v/>
      </c>
      <c r="Z66" s="11">
        <f>IF(Parametros!B7=1,MAX(0.05,1-L66^1.6),1)</f>
        <v/>
      </c>
      <c r="AA66" s="11">
        <f>IF(Parametros!B8=1,0.2+0.8*(1/(1+EXP(-9*(S66-0.25)))),1)</f>
        <v/>
      </c>
      <c r="AB66" s="10">
        <f>X66*Y66*Z66*AA66</f>
        <v/>
      </c>
    </row>
    <row r="67">
      <c r="A67" t="inlineStr">
        <is>
          <t>mjuams</t>
        </is>
      </c>
      <c r="B67" t="inlineStr">
        <is>
          <t>Benjamim Vargas</t>
        </is>
      </c>
      <c r="C67" s="8" t="n">
        <v>0.5752</v>
      </c>
      <c r="D67" s="8" t="n">
        <v>0.4696</v>
      </c>
      <c r="E67" s="8" t="n">
        <v>0.4946</v>
      </c>
      <c r="F67" s="8" t="n">
        <v>0.5760999999999999</v>
      </c>
      <c r="G67" s="8" t="n">
        <v>0.4711</v>
      </c>
      <c r="H67" s="8" t="n">
        <v>0.6277</v>
      </c>
      <c r="I67" s="8" t="n">
        <v>0.6963</v>
      </c>
      <c r="J67" s="8" t="n">
        <v>0.9735</v>
      </c>
      <c r="K67" s="8" t="n">
        <v>0.83</v>
      </c>
      <c r="L67" s="9">
        <f>1-(1-Mecanismos!B2)*(1-C67)</f>
        <v/>
      </c>
      <c r="M67" s="9">
        <f>Mecanismos!B7*D67</f>
        <v/>
      </c>
      <c r="N67" s="9">
        <f>Mecanismos!B4*(1-E67)</f>
        <v/>
      </c>
      <c r="O67" s="9">
        <f>Mecanismos!B5*(1-F67)</f>
        <v/>
      </c>
      <c r="P67" s="9">
        <f>Mecanismos!B6*(1-I67)</f>
        <v/>
      </c>
      <c r="Q67" s="9">
        <f>Mecanismos!B9*(1-G67)</f>
        <v/>
      </c>
      <c r="R67" s="9">
        <f>Mecanismos!B9*(1-J67)</f>
        <v/>
      </c>
      <c r="S67" s="9">
        <f>Mecanismos!B8*H67</f>
        <v/>
      </c>
      <c r="T67" s="9">
        <f>Mecanismos!B10*H67</f>
        <v/>
      </c>
      <c r="U67" s="9">
        <f>Mecanismos!B8*K67</f>
        <v/>
      </c>
      <c r="V67" s="9">
        <f>Mecanismos!B3*D67</f>
        <v/>
      </c>
      <c r="W67" s="9">
        <f>Parametros!B2+Parametros!B4*(S67+T67+U67+V67)-Parametros!B3*(L67+M67+N67+O67+P67+Q67+R67)</f>
        <v/>
      </c>
      <c r="X67" s="10">
        <f>1/(1+EXP(-W67))</f>
        <v/>
      </c>
      <c r="Y67" s="11">
        <f>IF(Parametros!B6=1,0.15+0.85*(1/(1+EXP(-8*((1-N67)-0.45)))),1)</f>
        <v/>
      </c>
      <c r="Z67" s="11">
        <f>IF(Parametros!B7=1,MAX(0.05,1-L67^1.6),1)</f>
        <v/>
      </c>
      <c r="AA67" s="11">
        <f>IF(Parametros!B8=1,0.2+0.8*(1/(1+EXP(-9*(S67-0.25)))),1)</f>
        <v/>
      </c>
      <c r="AB67" s="10">
        <f>X67*Y67*Z67*AA67</f>
        <v/>
      </c>
    </row>
    <row r="68">
      <c r="A68" t="inlineStr">
        <is>
          <t>1gcrjr</t>
        </is>
      </c>
      <c r="B68" t="inlineStr">
        <is>
          <t>Bento Fogaça</t>
        </is>
      </c>
      <c r="C68" s="8" t="n">
        <v>0.6694</v>
      </c>
      <c r="D68" s="8" t="n">
        <v>0.6328</v>
      </c>
      <c r="E68" s="8" t="n">
        <v>0.2894</v>
      </c>
      <c r="F68" s="8" t="n">
        <v>0.7491</v>
      </c>
      <c r="G68" s="8" t="n">
        <v>0.5049</v>
      </c>
      <c r="H68" s="8" t="n">
        <v>0.4768</v>
      </c>
      <c r="I68" s="8" t="n">
        <v>0.3029</v>
      </c>
      <c r="J68" s="8" t="n">
        <v>0.9205</v>
      </c>
      <c r="K68" s="8" t="n">
        <v>0.5957</v>
      </c>
      <c r="L68" s="9">
        <f>1-(1-Mecanismos!B2)*(1-C68)</f>
        <v/>
      </c>
      <c r="M68" s="9">
        <f>Mecanismos!B7*D68</f>
        <v/>
      </c>
      <c r="N68" s="9">
        <f>Mecanismos!B4*(1-E68)</f>
        <v/>
      </c>
      <c r="O68" s="9">
        <f>Mecanismos!B5*(1-F68)</f>
        <v/>
      </c>
      <c r="P68" s="9">
        <f>Mecanismos!B6*(1-I68)</f>
        <v/>
      </c>
      <c r="Q68" s="9">
        <f>Mecanismos!B9*(1-G68)</f>
        <v/>
      </c>
      <c r="R68" s="9">
        <f>Mecanismos!B9*(1-J68)</f>
        <v/>
      </c>
      <c r="S68" s="9">
        <f>Mecanismos!B8*H68</f>
        <v/>
      </c>
      <c r="T68" s="9">
        <f>Mecanismos!B10*H68</f>
        <v/>
      </c>
      <c r="U68" s="9">
        <f>Mecanismos!B8*K68</f>
        <v/>
      </c>
      <c r="V68" s="9">
        <f>Mecanismos!B3*D68</f>
        <v/>
      </c>
      <c r="W68" s="9">
        <f>Parametros!B2+Parametros!B4*(S68+T68+U68+V68)-Parametros!B3*(L68+M68+N68+O68+P68+Q68+R68)</f>
        <v/>
      </c>
      <c r="X68" s="10">
        <f>1/(1+EXP(-W68))</f>
        <v/>
      </c>
      <c r="Y68" s="11">
        <f>IF(Parametros!B6=1,0.15+0.85*(1/(1+EXP(-8*((1-N68)-0.45)))),1)</f>
        <v/>
      </c>
      <c r="Z68" s="11">
        <f>IF(Parametros!B7=1,MAX(0.05,1-L68^1.6),1)</f>
        <v/>
      </c>
      <c r="AA68" s="11">
        <f>IF(Parametros!B8=1,0.2+0.8*(1/(1+EXP(-9*(S68-0.25)))),1)</f>
        <v/>
      </c>
      <c r="AB68" s="10">
        <f>X68*Y68*Z68*AA68</f>
        <v/>
      </c>
    </row>
    <row r="69">
      <c r="A69" t="inlineStr">
        <is>
          <t>uw3p6q</t>
        </is>
      </c>
      <c r="B69" t="inlineStr">
        <is>
          <t>Bernardo Guerra</t>
        </is>
      </c>
      <c r="C69" s="8" t="n">
        <v>0.5003</v>
      </c>
      <c r="D69" s="8" t="n">
        <v>0.5291</v>
      </c>
      <c r="E69" s="8" t="n">
        <v>0.5564</v>
      </c>
      <c r="F69" s="8" t="n">
        <v>0.553</v>
      </c>
      <c r="G69" s="8" t="n">
        <v>0.2178</v>
      </c>
      <c r="H69" s="8" t="n">
        <v>0.4522</v>
      </c>
      <c r="I69" s="8" t="n">
        <v>0.6218</v>
      </c>
      <c r="J69" s="8" t="n">
        <v>0.7931</v>
      </c>
      <c r="K69" s="8" t="n">
        <v>0.7315</v>
      </c>
      <c r="L69" s="9">
        <f>1-(1-Mecanismos!B2)*(1-C69)</f>
        <v/>
      </c>
      <c r="M69" s="9">
        <f>Mecanismos!B7*D69</f>
        <v/>
      </c>
      <c r="N69" s="9">
        <f>Mecanismos!B4*(1-E69)</f>
        <v/>
      </c>
      <c r="O69" s="9">
        <f>Mecanismos!B5*(1-F69)</f>
        <v/>
      </c>
      <c r="P69" s="9">
        <f>Mecanismos!B6*(1-I69)</f>
        <v/>
      </c>
      <c r="Q69" s="9">
        <f>Mecanismos!B9*(1-G69)</f>
        <v/>
      </c>
      <c r="R69" s="9">
        <f>Mecanismos!B9*(1-J69)</f>
        <v/>
      </c>
      <c r="S69" s="9">
        <f>Mecanismos!B8*H69</f>
        <v/>
      </c>
      <c r="T69" s="9">
        <f>Mecanismos!B10*H69</f>
        <v/>
      </c>
      <c r="U69" s="9">
        <f>Mecanismos!B8*K69</f>
        <v/>
      </c>
      <c r="V69" s="9">
        <f>Mecanismos!B3*D69</f>
        <v/>
      </c>
      <c r="W69" s="9">
        <f>Parametros!B2+Parametros!B4*(S69+T69+U69+V69)-Parametros!B3*(L69+M69+N69+O69+P69+Q69+R69)</f>
        <v/>
      </c>
      <c r="X69" s="10">
        <f>1/(1+EXP(-W69))</f>
        <v/>
      </c>
      <c r="Y69" s="11">
        <f>IF(Parametros!B6=1,0.15+0.85*(1/(1+EXP(-8*((1-N69)-0.45)))),1)</f>
        <v/>
      </c>
      <c r="Z69" s="11">
        <f>IF(Parametros!B7=1,MAX(0.05,1-L69^1.6),1)</f>
        <v/>
      </c>
      <c r="AA69" s="11">
        <f>IF(Parametros!B8=1,0.2+0.8*(1/(1+EXP(-9*(S69-0.25)))),1)</f>
        <v/>
      </c>
      <c r="AB69" s="10">
        <f>X69*Y69*Z69*AA69</f>
        <v/>
      </c>
    </row>
    <row r="70">
      <c r="A70" t="inlineStr">
        <is>
          <t>aiecp9</t>
        </is>
      </c>
      <c r="B70" t="inlineStr">
        <is>
          <t>Bernardo Rezende</t>
        </is>
      </c>
      <c r="C70" s="8" t="n">
        <v>0.499</v>
      </c>
      <c r="D70" s="8" t="n">
        <v>0.5974</v>
      </c>
      <c r="E70" s="8" t="n">
        <v>0.4018</v>
      </c>
      <c r="F70" s="8" t="n">
        <v>0.3706</v>
      </c>
      <c r="G70" s="8" t="n">
        <v>0.415</v>
      </c>
      <c r="H70" s="8" t="n">
        <v>0.6623</v>
      </c>
      <c r="I70" s="8" t="n">
        <v>0.5004999999999999</v>
      </c>
      <c r="J70" s="8" t="n">
        <v>0.8841</v>
      </c>
      <c r="K70" s="8" t="n">
        <v>0.7874</v>
      </c>
      <c r="L70" s="9">
        <f>1-(1-Mecanismos!B2)*(1-C70)</f>
        <v/>
      </c>
      <c r="M70" s="9">
        <f>Mecanismos!B7*D70</f>
        <v/>
      </c>
      <c r="N70" s="9">
        <f>Mecanismos!B4*(1-E70)</f>
        <v/>
      </c>
      <c r="O70" s="9">
        <f>Mecanismos!B5*(1-F70)</f>
        <v/>
      </c>
      <c r="P70" s="9">
        <f>Mecanismos!B6*(1-I70)</f>
        <v/>
      </c>
      <c r="Q70" s="9">
        <f>Mecanismos!B9*(1-G70)</f>
        <v/>
      </c>
      <c r="R70" s="9">
        <f>Mecanismos!B9*(1-J70)</f>
        <v/>
      </c>
      <c r="S70" s="9">
        <f>Mecanismos!B8*H70</f>
        <v/>
      </c>
      <c r="T70" s="9">
        <f>Mecanismos!B10*H70</f>
        <v/>
      </c>
      <c r="U70" s="9">
        <f>Mecanismos!B8*K70</f>
        <v/>
      </c>
      <c r="V70" s="9">
        <f>Mecanismos!B3*D70</f>
        <v/>
      </c>
      <c r="W70" s="9">
        <f>Parametros!B2+Parametros!B4*(S70+T70+U70+V70)-Parametros!B3*(L70+M70+N70+O70+P70+Q70+R70)</f>
        <v/>
      </c>
      <c r="X70" s="10">
        <f>1/(1+EXP(-W70))</f>
        <v/>
      </c>
      <c r="Y70" s="11">
        <f>IF(Parametros!B6=1,0.15+0.85*(1/(1+EXP(-8*((1-N70)-0.45)))),1)</f>
        <v/>
      </c>
      <c r="Z70" s="11">
        <f>IF(Parametros!B7=1,MAX(0.05,1-L70^1.6),1)</f>
        <v/>
      </c>
      <c r="AA70" s="11">
        <f>IF(Parametros!B8=1,0.2+0.8*(1/(1+EXP(-9*(S70-0.25)))),1)</f>
        <v/>
      </c>
      <c r="AB70" s="10">
        <f>X70*Y70*Z70*AA70</f>
        <v/>
      </c>
    </row>
    <row r="71">
      <c r="A71" t="inlineStr">
        <is>
          <t>uc3o01</t>
        </is>
      </c>
      <c r="B71" t="inlineStr">
        <is>
          <t>Bernardo Souza</t>
        </is>
      </c>
      <c r="C71" s="8" t="n">
        <v>0.4627</v>
      </c>
      <c r="D71" s="8" t="n">
        <v>0.4897</v>
      </c>
      <c r="E71" s="8" t="n">
        <v>0.5142</v>
      </c>
      <c r="F71" s="8" t="n">
        <v>0.2564</v>
      </c>
      <c r="G71" s="8" t="n">
        <v>0.2324</v>
      </c>
      <c r="H71" s="8" t="n">
        <v>0.771</v>
      </c>
      <c r="I71" s="8" t="n">
        <v>0.3676</v>
      </c>
      <c r="J71" s="8" t="n">
        <v>0.5649999999999999</v>
      </c>
      <c r="K71" s="8" t="n">
        <v>0.6798</v>
      </c>
      <c r="L71" s="9">
        <f>1-(1-Mecanismos!B2)*(1-C71)</f>
        <v/>
      </c>
      <c r="M71" s="9">
        <f>Mecanismos!B7*D71</f>
        <v/>
      </c>
      <c r="N71" s="9">
        <f>Mecanismos!B4*(1-E71)</f>
        <v/>
      </c>
      <c r="O71" s="9">
        <f>Mecanismos!B5*(1-F71)</f>
        <v/>
      </c>
      <c r="P71" s="9">
        <f>Mecanismos!B6*(1-I71)</f>
        <v/>
      </c>
      <c r="Q71" s="9">
        <f>Mecanismos!B9*(1-G71)</f>
        <v/>
      </c>
      <c r="R71" s="9">
        <f>Mecanismos!B9*(1-J71)</f>
        <v/>
      </c>
      <c r="S71" s="9">
        <f>Mecanismos!B8*H71</f>
        <v/>
      </c>
      <c r="T71" s="9">
        <f>Mecanismos!B10*H71</f>
        <v/>
      </c>
      <c r="U71" s="9">
        <f>Mecanismos!B8*K71</f>
        <v/>
      </c>
      <c r="V71" s="9">
        <f>Mecanismos!B3*D71</f>
        <v/>
      </c>
      <c r="W71" s="9">
        <f>Parametros!B2+Parametros!B4*(S71+T71+U71+V71)-Parametros!B3*(L71+M71+N71+O71+P71+Q71+R71)</f>
        <v/>
      </c>
      <c r="X71" s="10">
        <f>1/(1+EXP(-W71))</f>
        <v/>
      </c>
      <c r="Y71" s="11">
        <f>IF(Parametros!B6=1,0.15+0.85*(1/(1+EXP(-8*((1-N71)-0.45)))),1)</f>
        <v/>
      </c>
      <c r="Z71" s="11">
        <f>IF(Parametros!B7=1,MAX(0.05,1-L71^1.6),1)</f>
        <v/>
      </c>
      <c r="AA71" s="11">
        <f>IF(Parametros!B8=1,0.2+0.8*(1/(1+EXP(-9*(S71-0.25)))),1)</f>
        <v/>
      </c>
      <c r="AB71" s="10">
        <f>X71*Y71*Z71*AA71</f>
        <v/>
      </c>
    </row>
    <row r="72">
      <c r="A72" t="inlineStr">
        <is>
          <t>757zng</t>
        </is>
      </c>
      <c r="B72" t="inlineStr">
        <is>
          <t>Bianca Correia</t>
        </is>
      </c>
      <c r="C72" s="8" t="n">
        <v>0.5551</v>
      </c>
      <c r="D72" s="8" t="n">
        <v>0.4049</v>
      </c>
      <c r="E72" s="8" t="n">
        <v>0.7881</v>
      </c>
      <c r="F72" s="8" t="n">
        <v>0.9225</v>
      </c>
      <c r="G72" s="8" t="n">
        <v>0.36</v>
      </c>
      <c r="H72" s="8" t="n">
        <v>0.7768</v>
      </c>
      <c r="I72" s="8" t="n">
        <v>0.6932</v>
      </c>
      <c r="J72" s="8" t="n">
        <v>0.7195</v>
      </c>
      <c r="K72" s="8" t="n">
        <v>0.7071</v>
      </c>
      <c r="L72" s="9">
        <f>1-(1-Mecanismos!B2)*(1-C72)</f>
        <v/>
      </c>
      <c r="M72" s="9">
        <f>Mecanismos!B7*D72</f>
        <v/>
      </c>
      <c r="N72" s="9">
        <f>Mecanismos!B4*(1-E72)</f>
        <v/>
      </c>
      <c r="O72" s="9">
        <f>Mecanismos!B5*(1-F72)</f>
        <v/>
      </c>
      <c r="P72" s="9">
        <f>Mecanismos!B6*(1-I72)</f>
        <v/>
      </c>
      <c r="Q72" s="9">
        <f>Mecanismos!B9*(1-G72)</f>
        <v/>
      </c>
      <c r="R72" s="9">
        <f>Mecanismos!B9*(1-J72)</f>
        <v/>
      </c>
      <c r="S72" s="9">
        <f>Mecanismos!B8*H72</f>
        <v/>
      </c>
      <c r="T72" s="9">
        <f>Mecanismos!B10*H72</f>
        <v/>
      </c>
      <c r="U72" s="9">
        <f>Mecanismos!B8*K72</f>
        <v/>
      </c>
      <c r="V72" s="9">
        <f>Mecanismos!B3*D72</f>
        <v/>
      </c>
      <c r="W72" s="9">
        <f>Parametros!B2+Parametros!B4*(S72+T72+U72+V72)-Parametros!B3*(L72+M72+N72+O72+P72+Q72+R72)</f>
        <v/>
      </c>
      <c r="X72" s="10">
        <f>1/(1+EXP(-W72))</f>
        <v/>
      </c>
      <c r="Y72" s="11">
        <f>IF(Parametros!B6=1,0.15+0.85*(1/(1+EXP(-8*((1-N72)-0.45)))),1)</f>
        <v/>
      </c>
      <c r="Z72" s="11">
        <f>IF(Parametros!B7=1,MAX(0.05,1-L72^1.6),1)</f>
        <v/>
      </c>
      <c r="AA72" s="11">
        <f>IF(Parametros!B8=1,0.2+0.8*(1/(1+EXP(-9*(S72-0.25)))),1)</f>
        <v/>
      </c>
      <c r="AB72" s="10">
        <f>X72*Y72*Z72*AA72</f>
        <v/>
      </c>
    </row>
    <row r="73">
      <c r="A73" t="inlineStr">
        <is>
          <t>hlyspf</t>
        </is>
      </c>
      <c r="B73" t="inlineStr">
        <is>
          <t>Bianca Jesus</t>
        </is>
      </c>
      <c r="C73" s="8" t="n">
        <v>0.5576</v>
      </c>
      <c r="D73" s="8" t="n">
        <v>0.5535</v>
      </c>
      <c r="E73" s="8" t="n">
        <v>0.3685</v>
      </c>
      <c r="F73" s="8" t="n">
        <v>0.7265</v>
      </c>
      <c r="G73" s="8" t="n">
        <v>0.2852</v>
      </c>
      <c r="H73" s="8" t="n">
        <v>0.7356</v>
      </c>
      <c r="I73" s="8" t="n">
        <v>0.4911</v>
      </c>
      <c r="J73" s="8" t="n">
        <v>0.5998</v>
      </c>
      <c r="K73" s="8" t="n">
        <v>0.7056</v>
      </c>
      <c r="L73" s="9">
        <f>1-(1-Mecanismos!B2)*(1-C73)</f>
        <v/>
      </c>
      <c r="M73" s="9">
        <f>Mecanismos!B7*D73</f>
        <v/>
      </c>
      <c r="N73" s="9">
        <f>Mecanismos!B4*(1-E73)</f>
        <v/>
      </c>
      <c r="O73" s="9">
        <f>Mecanismos!B5*(1-F73)</f>
        <v/>
      </c>
      <c r="P73" s="9">
        <f>Mecanismos!B6*(1-I73)</f>
        <v/>
      </c>
      <c r="Q73" s="9">
        <f>Mecanismos!B9*(1-G73)</f>
        <v/>
      </c>
      <c r="R73" s="9">
        <f>Mecanismos!B9*(1-J73)</f>
        <v/>
      </c>
      <c r="S73" s="9">
        <f>Mecanismos!B8*H73</f>
        <v/>
      </c>
      <c r="T73" s="9">
        <f>Mecanismos!B10*H73</f>
        <v/>
      </c>
      <c r="U73" s="9">
        <f>Mecanismos!B8*K73</f>
        <v/>
      </c>
      <c r="V73" s="9">
        <f>Mecanismos!B3*D73</f>
        <v/>
      </c>
      <c r="W73" s="9">
        <f>Parametros!B2+Parametros!B4*(S73+T73+U73+V73)-Parametros!B3*(L73+M73+N73+O73+P73+Q73+R73)</f>
        <v/>
      </c>
      <c r="X73" s="10">
        <f>1/(1+EXP(-W73))</f>
        <v/>
      </c>
      <c r="Y73" s="11">
        <f>IF(Parametros!B6=1,0.15+0.85*(1/(1+EXP(-8*((1-N73)-0.45)))),1)</f>
        <v/>
      </c>
      <c r="Z73" s="11">
        <f>IF(Parametros!B7=1,MAX(0.05,1-L73^1.6),1)</f>
        <v/>
      </c>
      <c r="AA73" s="11">
        <f>IF(Parametros!B8=1,0.2+0.8*(1/(1+EXP(-9*(S73-0.25)))),1)</f>
        <v/>
      </c>
      <c r="AB73" s="10">
        <f>X73*Y73*Z73*AA73</f>
        <v/>
      </c>
    </row>
    <row r="74">
      <c r="A74" t="inlineStr">
        <is>
          <t>zw8unn</t>
        </is>
      </c>
      <c r="B74" t="inlineStr">
        <is>
          <t>Bianca Viana</t>
        </is>
      </c>
      <c r="C74" s="8" t="n">
        <v>0.4631</v>
      </c>
      <c r="D74" s="8" t="n">
        <v>0.3141</v>
      </c>
      <c r="E74" s="8" t="n">
        <v>0.5165999999999999</v>
      </c>
      <c r="F74" s="8" t="n">
        <v>0.6084000000000001</v>
      </c>
      <c r="G74" s="8" t="n">
        <v>0.6421</v>
      </c>
      <c r="H74" s="8" t="n">
        <v>0.5641</v>
      </c>
      <c r="I74" s="8" t="n">
        <v>0.875</v>
      </c>
      <c r="J74" s="8" t="n">
        <v>0.7994</v>
      </c>
      <c r="K74" s="8" t="n">
        <v>0.4664</v>
      </c>
      <c r="L74" s="9">
        <f>1-(1-Mecanismos!B2)*(1-C74)</f>
        <v/>
      </c>
      <c r="M74" s="9">
        <f>Mecanismos!B7*D74</f>
        <v/>
      </c>
      <c r="N74" s="9">
        <f>Mecanismos!B4*(1-E74)</f>
        <v/>
      </c>
      <c r="O74" s="9">
        <f>Mecanismos!B5*(1-F74)</f>
        <v/>
      </c>
      <c r="P74" s="9">
        <f>Mecanismos!B6*(1-I74)</f>
        <v/>
      </c>
      <c r="Q74" s="9">
        <f>Mecanismos!B9*(1-G74)</f>
        <v/>
      </c>
      <c r="R74" s="9">
        <f>Mecanismos!B9*(1-J74)</f>
        <v/>
      </c>
      <c r="S74" s="9">
        <f>Mecanismos!B8*H74</f>
        <v/>
      </c>
      <c r="T74" s="9">
        <f>Mecanismos!B10*H74</f>
        <v/>
      </c>
      <c r="U74" s="9">
        <f>Mecanismos!B8*K74</f>
        <v/>
      </c>
      <c r="V74" s="9">
        <f>Mecanismos!B3*D74</f>
        <v/>
      </c>
      <c r="W74" s="9">
        <f>Parametros!B2+Parametros!B4*(S74+T74+U74+V74)-Parametros!B3*(L74+M74+N74+O74+P74+Q74+R74)</f>
        <v/>
      </c>
      <c r="X74" s="10">
        <f>1/(1+EXP(-W74))</f>
        <v/>
      </c>
      <c r="Y74" s="11">
        <f>IF(Parametros!B6=1,0.15+0.85*(1/(1+EXP(-8*((1-N74)-0.45)))),1)</f>
        <v/>
      </c>
      <c r="Z74" s="11">
        <f>IF(Parametros!B7=1,MAX(0.05,1-L74^1.6),1)</f>
        <v/>
      </c>
      <c r="AA74" s="11">
        <f>IF(Parametros!B8=1,0.2+0.8*(1/(1+EXP(-9*(S74-0.25)))),1)</f>
        <v/>
      </c>
      <c r="AB74" s="10">
        <f>X74*Y74*Z74*AA74</f>
        <v/>
      </c>
    </row>
    <row r="75">
      <c r="A75" t="inlineStr">
        <is>
          <t>18lpo7</t>
        </is>
      </c>
      <c r="B75" t="inlineStr">
        <is>
          <t>Bianca da Mota</t>
        </is>
      </c>
      <c r="C75" s="8" t="n">
        <v>0.4275</v>
      </c>
      <c r="D75" s="8" t="n">
        <v>0.5012</v>
      </c>
      <c r="E75" s="8" t="n">
        <v>0.2771</v>
      </c>
      <c r="F75" s="8" t="n">
        <v>0.7087</v>
      </c>
      <c r="G75" s="8" t="n">
        <v>0.2936</v>
      </c>
      <c r="H75" s="8" t="n">
        <v>0.8148</v>
      </c>
      <c r="I75" s="8" t="n">
        <v>0.6964</v>
      </c>
      <c r="J75" s="8" t="n">
        <v>0.7786999999999999</v>
      </c>
      <c r="K75" s="8" t="n">
        <v>0.3737</v>
      </c>
      <c r="L75" s="9">
        <f>1-(1-Mecanismos!B2)*(1-C75)</f>
        <v/>
      </c>
      <c r="M75" s="9">
        <f>Mecanismos!B7*D75</f>
        <v/>
      </c>
      <c r="N75" s="9">
        <f>Mecanismos!B4*(1-E75)</f>
        <v/>
      </c>
      <c r="O75" s="9">
        <f>Mecanismos!B5*(1-F75)</f>
        <v/>
      </c>
      <c r="P75" s="9">
        <f>Mecanismos!B6*(1-I75)</f>
        <v/>
      </c>
      <c r="Q75" s="9">
        <f>Mecanismos!B9*(1-G75)</f>
        <v/>
      </c>
      <c r="R75" s="9">
        <f>Mecanismos!B9*(1-J75)</f>
        <v/>
      </c>
      <c r="S75" s="9">
        <f>Mecanismos!B8*H75</f>
        <v/>
      </c>
      <c r="T75" s="9">
        <f>Mecanismos!B10*H75</f>
        <v/>
      </c>
      <c r="U75" s="9">
        <f>Mecanismos!B8*K75</f>
        <v/>
      </c>
      <c r="V75" s="9">
        <f>Mecanismos!B3*D75</f>
        <v/>
      </c>
      <c r="W75" s="9">
        <f>Parametros!B2+Parametros!B4*(S75+T75+U75+V75)-Parametros!B3*(L75+M75+N75+O75+P75+Q75+R75)</f>
        <v/>
      </c>
      <c r="X75" s="10">
        <f>1/(1+EXP(-W75))</f>
        <v/>
      </c>
      <c r="Y75" s="11">
        <f>IF(Parametros!B6=1,0.15+0.85*(1/(1+EXP(-8*((1-N75)-0.45)))),1)</f>
        <v/>
      </c>
      <c r="Z75" s="11">
        <f>IF(Parametros!B7=1,MAX(0.05,1-L75^1.6),1)</f>
        <v/>
      </c>
      <c r="AA75" s="11">
        <f>IF(Parametros!B8=1,0.2+0.8*(1/(1+EXP(-9*(S75-0.25)))),1)</f>
        <v/>
      </c>
      <c r="AB75" s="10">
        <f>X75*Y75*Z75*AA75</f>
        <v/>
      </c>
    </row>
    <row r="76">
      <c r="A76" t="inlineStr">
        <is>
          <t>w7g3d0</t>
        </is>
      </c>
      <c r="B76" t="inlineStr">
        <is>
          <t>Brayan Pinto</t>
        </is>
      </c>
      <c r="C76" s="8" t="n">
        <v>0.5726</v>
      </c>
      <c r="D76" s="8" t="n">
        <v>0.5263</v>
      </c>
      <c r="E76" s="8" t="n">
        <v>0.4389</v>
      </c>
      <c r="F76" s="8" t="n">
        <v>0.6894</v>
      </c>
      <c r="G76" s="8" t="n">
        <v>0.4454</v>
      </c>
      <c r="H76" s="8" t="n">
        <v>0.8277</v>
      </c>
      <c r="I76" s="8" t="n">
        <v>0.4756</v>
      </c>
      <c r="J76" s="8" t="n">
        <v>0.8599</v>
      </c>
      <c r="K76" s="8" t="n">
        <v>0.1664</v>
      </c>
      <c r="L76" s="9">
        <f>1-(1-Mecanismos!B2)*(1-C76)</f>
        <v/>
      </c>
      <c r="M76" s="9">
        <f>Mecanismos!B7*D76</f>
        <v/>
      </c>
      <c r="N76" s="9">
        <f>Mecanismos!B4*(1-E76)</f>
        <v/>
      </c>
      <c r="O76" s="9">
        <f>Mecanismos!B5*(1-F76)</f>
        <v/>
      </c>
      <c r="P76" s="9">
        <f>Mecanismos!B6*(1-I76)</f>
        <v/>
      </c>
      <c r="Q76" s="9">
        <f>Mecanismos!B9*(1-G76)</f>
        <v/>
      </c>
      <c r="R76" s="9">
        <f>Mecanismos!B9*(1-J76)</f>
        <v/>
      </c>
      <c r="S76" s="9">
        <f>Mecanismos!B8*H76</f>
        <v/>
      </c>
      <c r="T76" s="9">
        <f>Mecanismos!B10*H76</f>
        <v/>
      </c>
      <c r="U76" s="9">
        <f>Mecanismos!B8*K76</f>
        <v/>
      </c>
      <c r="V76" s="9">
        <f>Mecanismos!B3*D76</f>
        <v/>
      </c>
      <c r="W76" s="9">
        <f>Parametros!B2+Parametros!B4*(S76+T76+U76+V76)-Parametros!B3*(L76+M76+N76+O76+P76+Q76+R76)</f>
        <v/>
      </c>
      <c r="X76" s="10">
        <f>1/(1+EXP(-W76))</f>
        <v/>
      </c>
      <c r="Y76" s="11">
        <f>IF(Parametros!B6=1,0.15+0.85*(1/(1+EXP(-8*((1-N76)-0.45)))),1)</f>
        <v/>
      </c>
      <c r="Z76" s="11">
        <f>IF(Parametros!B7=1,MAX(0.05,1-L76^1.6),1)</f>
        <v/>
      </c>
      <c r="AA76" s="11">
        <f>IF(Parametros!B8=1,0.2+0.8*(1/(1+EXP(-9*(S76-0.25)))),1)</f>
        <v/>
      </c>
      <c r="AB76" s="10">
        <f>X76*Y76*Z76*AA76</f>
        <v/>
      </c>
    </row>
    <row r="77">
      <c r="A77" t="inlineStr">
        <is>
          <t>zb3c3d</t>
        </is>
      </c>
      <c r="B77" t="inlineStr">
        <is>
          <t>Brayan Rezende</t>
        </is>
      </c>
      <c r="C77" s="8" t="n">
        <v>0.7187</v>
      </c>
      <c r="D77" s="8" t="n">
        <v>0.7117</v>
      </c>
      <c r="E77" s="8" t="n">
        <v>0.544</v>
      </c>
      <c r="F77" s="8" t="n">
        <v>0.8307</v>
      </c>
      <c r="G77" s="8" t="n">
        <v>0.3696</v>
      </c>
      <c r="H77" s="8" t="n">
        <v>0.525</v>
      </c>
      <c r="I77" s="8" t="n">
        <v>0.7005</v>
      </c>
      <c r="J77" s="8" t="n">
        <v>0.8403</v>
      </c>
      <c r="K77" s="8" t="n">
        <v>0.8768</v>
      </c>
      <c r="L77" s="9">
        <f>1-(1-Mecanismos!B2)*(1-C77)</f>
        <v/>
      </c>
      <c r="M77" s="9">
        <f>Mecanismos!B7*D77</f>
        <v/>
      </c>
      <c r="N77" s="9">
        <f>Mecanismos!B4*(1-E77)</f>
        <v/>
      </c>
      <c r="O77" s="9">
        <f>Mecanismos!B5*(1-F77)</f>
        <v/>
      </c>
      <c r="P77" s="9">
        <f>Mecanismos!B6*(1-I77)</f>
        <v/>
      </c>
      <c r="Q77" s="9">
        <f>Mecanismos!B9*(1-G77)</f>
        <v/>
      </c>
      <c r="R77" s="9">
        <f>Mecanismos!B9*(1-J77)</f>
        <v/>
      </c>
      <c r="S77" s="9">
        <f>Mecanismos!B8*H77</f>
        <v/>
      </c>
      <c r="T77" s="9">
        <f>Mecanismos!B10*H77</f>
        <v/>
      </c>
      <c r="U77" s="9">
        <f>Mecanismos!B8*K77</f>
        <v/>
      </c>
      <c r="V77" s="9">
        <f>Mecanismos!B3*D77</f>
        <v/>
      </c>
      <c r="W77" s="9">
        <f>Parametros!B2+Parametros!B4*(S77+T77+U77+V77)-Parametros!B3*(L77+M77+N77+O77+P77+Q77+R77)</f>
        <v/>
      </c>
      <c r="X77" s="10">
        <f>1/(1+EXP(-W77))</f>
        <v/>
      </c>
      <c r="Y77" s="11">
        <f>IF(Parametros!B6=1,0.15+0.85*(1/(1+EXP(-8*((1-N77)-0.45)))),1)</f>
        <v/>
      </c>
      <c r="Z77" s="11">
        <f>IF(Parametros!B7=1,MAX(0.05,1-L77^1.6),1)</f>
        <v/>
      </c>
      <c r="AA77" s="11">
        <f>IF(Parametros!B8=1,0.2+0.8*(1/(1+EXP(-9*(S77-0.25)))),1)</f>
        <v/>
      </c>
      <c r="AB77" s="10">
        <f>X77*Y77*Z77*AA77</f>
        <v/>
      </c>
    </row>
    <row r="78">
      <c r="A78" t="inlineStr">
        <is>
          <t>fz55xj</t>
        </is>
      </c>
      <c r="B78" t="inlineStr">
        <is>
          <t>Bruna Cunha</t>
        </is>
      </c>
      <c r="C78" s="8" t="n">
        <v>0.55</v>
      </c>
      <c r="D78" s="8" t="n">
        <v>0.6556999999999999</v>
      </c>
      <c r="E78" s="8" t="n">
        <v>0.6407</v>
      </c>
      <c r="F78" s="8" t="n">
        <v>0.2548</v>
      </c>
      <c r="G78" s="8" t="n">
        <v>0.3511</v>
      </c>
      <c r="H78" s="8" t="n">
        <v>0.6934</v>
      </c>
      <c r="I78" s="8" t="n">
        <v>0.2947</v>
      </c>
      <c r="J78" s="8" t="n">
        <v>0.6578000000000001</v>
      </c>
      <c r="K78" s="8" t="n">
        <v>0.7277</v>
      </c>
      <c r="L78" s="9">
        <f>1-(1-Mecanismos!B2)*(1-C78)</f>
        <v/>
      </c>
      <c r="M78" s="9">
        <f>Mecanismos!B7*D78</f>
        <v/>
      </c>
      <c r="N78" s="9">
        <f>Mecanismos!B4*(1-E78)</f>
        <v/>
      </c>
      <c r="O78" s="9">
        <f>Mecanismos!B5*(1-F78)</f>
        <v/>
      </c>
      <c r="P78" s="9">
        <f>Mecanismos!B6*(1-I78)</f>
        <v/>
      </c>
      <c r="Q78" s="9">
        <f>Mecanismos!B9*(1-G78)</f>
        <v/>
      </c>
      <c r="R78" s="9">
        <f>Mecanismos!B9*(1-J78)</f>
        <v/>
      </c>
      <c r="S78" s="9">
        <f>Mecanismos!B8*H78</f>
        <v/>
      </c>
      <c r="T78" s="9">
        <f>Mecanismos!B10*H78</f>
        <v/>
      </c>
      <c r="U78" s="9">
        <f>Mecanismos!B8*K78</f>
        <v/>
      </c>
      <c r="V78" s="9">
        <f>Mecanismos!B3*D78</f>
        <v/>
      </c>
      <c r="W78" s="9">
        <f>Parametros!B2+Parametros!B4*(S78+T78+U78+V78)-Parametros!B3*(L78+M78+N78+O78+P78+Q78+R78)</f>
        <v/>
      </c>
      <c r="X78" s="10">
        <f>1/(1+EXP(-W78))</f>
        <v/>
      </c>
      <c r="Y78" s="11">
        <f>IF(Parametros!B6=1,0.15+0.85*(1/(1+EXP(-8*((1-N78)-0.45)))),1)</f>
        <v/>
      </c>
      <c r="Z78" s="11">
        <f>IF(Parametros!B7=1,MAX(0.05,1-L78^1.6),1)</f>
        <v/>
      </c>
      <c r="AA78" s="11">
        <f>IF(Parametros!B8=1,0.2+0.8*(1/(1+EXP(-9*(S78-0.25)))),1)</f>
        <v/>
      </c>
      <c r="AB78" s="10">
        <f>X78*Y78*Z78*AA78</f>
        <v/>
      </c>
    </row>
    <row r="79">
      <c r="A79" t="inlineStr">
        <is>
          <t>ipkvx4</t>
        </is>
      </c>
      <c r="B79" t="inlineStr">
        <is>
          <t>Bruna Guerra</t>
        </is>
      </c>
      <c r="C79" s="8" t="n">
        <v>0.6011</v>
      </c>
      <c r="D79" s="8" t="n">
        <v>0.5718</v>
      </c>
      <c r="E79" s="8" t="n">
        <v>0.6677999999999999</v>
      </c>
      <c r="F79" s="8" t="n">
        <v>0.5492</v>
      </c>
      <c r="G79" s="8" t="n">
        <v>0.5392</v>
      </c>
      <c r="H79" s="8" t="n">
        <v>0.5128</v>
      </c>
      <c r="I79" s="8" t="n">
        <v>0.5274</v>
      </c>
      <c r="J79" s="8" t="n">
        <v>0.7826</v>
      </c>
      <c r="K79" s="8" t="n">
        <v>0.5577</v>
      </c>
      <c r="L79" s="9">
        <f>1-(1-Mecanismos!B2)*(1-C79)</f>
        <v/>
      </c>
      <c r="M79" s="9">
        <f>Mecanismos!B7*D79</f>
        <v/>
      </c>
      <c r="N79" s="9">
        <f>Mecanismos!B4*(1-E79)</f>
        <v/>
      </c>
      <c r="O79" s="9">
        <f>Mecanismos!B5*(1-F79)</f>
        <v/>
      </c>
      <c r="P79" s="9">
        <f>Mecanismos!B6*(1-I79)</f>
        <v/>
      </c>
      <c r="Q79" s="9">
        <f>Mecanismos!B9*(1-G79)</f>
        <v/>
      </c>
      <c r="R79" s="9">
        <f>Mecanismos!B9*(1-J79)</f>
        <v/>
      </c>
      <c r="S79" s="9">
        <f>Mecanismos!B8*H79</f>
        <v/>
      </c>
      <c r="T79" s="9">
        <f>Mecanismos!B10*H79</f>
        <v/>
      </c>
      <c r="U79" s="9">
        <f>Mecanismos!B8*K79</f>
        <v/>
      </c>
      <c r="V79" s="9">
        <f>Mecanismos!B3*D79</f>
        <v/>
      </c>
      <c r="W79" s="9">
        <f>Parametros!B2+Parametros!B4*(S79+T79+U79+V79)-Parametros!B3*(L79+M79+N79+O79+P79+Q79+R79)</f>
        <v/>
      </c>
      <c r="X79" s="10">
        <f>1/(1+EXP(-W79))</f>
        <v/>
      </c>
      <c r="Y79" s="11">
        <f>IF(Parametros!B6=1,0.15+0.85*(1/(1+EXP(-8*((1-N79)-0.45)))),1)</f>
        <v/>
      </c>
      <c r="Z79" s="11">
        <f>IF(Parametros!B7=1,MAX(0.05,1-L79^1.6),1)</f>
        <v/>
      </c>
      <c r="AA79" s="11">
        <f>IF(Parametros!B8=1,0.2+0.8*(1/(1+EXP(-9*(S79-0.25)))),1)</f>
        <v/>
      </c>
      <c r="AB79" s="10">
        <f>X79*Y79*Z79*AA79</f>
        <v/>
      </c>
    </row>
    <row r="80">
      <c r="A80" t="inlineStr">
        <is>
          <t>gb5ppk</t>
        </is>
      </c>
      <c r="B80" t="inlineStr">
        <is>
          <t>Bruna Mendonça</t>
        </is>
      </c>
      <c r="C80" s="8" t="n">
        <v>0.5989</v>
      </c>
      <c r="D80" s="8" t="n">
        <v>0.6627</v>
      </c>
      <c r="E80" s="8" t="n">
        <v>0.6082</v>
      </c>
      <c r="F80" s="8" t="n">
        <v>0.5021</v>
      </c>
      <c r="G80" s="8" t="n">
        <v>0.5821</v>
      </c>
      <c r="H80" s="8" t="n">
        <v>0.7409</v>
      </c>
      <c r="I80" s="8" t="n">
        <v>0.5167</v>
      </c>
      <c r="J80" s="8" t="n">
        <v>0.5891</v>
      </c>
      <c r="K80" s="8" t="n">
        <v>0.8393</v>
      </c>
      <c r="L80" s="9">
        <f>1-(1-Mecanismos!B2)*(1-C80)</f>
        <v/>
      </c>
      <c r="M80" s="9">
        <f>Mecanismos!B7*D80</f>
        <v/>
      </c>
      <c r="N80" s="9">
        <f>Mecanismos!B4*(1-E80)</f>
        <v/>
      </c>
      <c r="O80" s="9">
        <f>Mecanismos!B5*(1-F80)</f>
        <v/>
      </c>
      <c r="P80" s="9">
        <f>Mecanismos!B6*(1-I80)</f>
        <v/>
      </c>
      <c r="Q80" s="9">
        <f>Mecanismos!B9*(1-G80)</f>
        <v/>
      </c>
      <c r="R80" s="9">
        <f>Mecanismos!B9*(1-J80)</f>
        <v/>
      </c>
      <c r="S80" s="9">
        <f>Mecanismos!B8*H80</f>
        <v/>
      </c>
      <c r="T80" s="9">
        <f>Mecanismos!B10*H80</f>
        <v/>
      </c>
      <c r="U80" s="9">
        <f>Mecanismos!B8*K80</f>
        <v/>
      </c>
      <c r="V80" s="9">
        <f>Mecanismos!B3*D80</f>
        <v/>
      </c>
      <c r="W80" s="9">
        <f>Parametros!B2+Parametros!B4*(S80+T80+U80+V80)-Parametros!B3*(L80+M80+N80+O80+P80+Q80+R80)</f>
        <v/>
      </c>
      <c r="X80" s="10">
        <f>1/(1+EXP(-W80))</f>
        <v/>
      </c>
      <c r="Y80" s="11">
        <f>IF(Parametros!B6=1,0.15+0.85*(1/(1+EXP(-8*((1-N80)-0.45)))),1)</f>
        <v/>
      </c>
      <c r="Z80" s="11">
        <f>IF(Parametros!B7=1,MAX(0.05,1-L80^1.6),1)</f>
        <v/>
      </c>
      <c r="AA80" s="11">
        <f>IF(Parametros!B8=1,0.2+0.8*(1/(1+EXP(-9*(S80-0.25)))),1)</f>
        <v/>
      </c>
      <c r="AB80" s="10">
        <f>X80*Y80*Z80*AA80</f>
        <v/>
      </c>
    </row>
    <row r="81">
      <c r="A81" t="inlineStr">
        <is>
          <t>2rb586</t>
        </is>
      </c>
      <c r="B81" t="inlineStr">
        <is>
          <t>Bruna Rezende</t>
        </is>
      </c>
      <c r="C81" s="8" t="n">
        <v>0.536</v>
      </c>
      <c r="D81" s="8" t="n">
        <v>0.5769</v>
      </c>
      <c r="E81" s="8" t="n">
        <v>0.4954</v>
      </c>
      <c r="F81" s="8" t="n">
        <v>0.7013</v>
      </c>
      <c r="G81" s="8" t="n">
        <v>0.5528999999999999</v>
      </c>
      <c r="H81" s="8" t="n">
        <v>0.7091</v>
      </c>
      <c r="I81" s="8" t="n">
        <v>0.7494</v>
      </c>
      <c r="J81" s="8" t="n">
        <v>0.7833</v>
      </c>
      <c r="K81" s="8" t="n">
        <v>0.8508</v>
      </c>
      <c r="L81" s="9">
        <f>1-(1-Mecanismos!B2)*(1-C81)</f>
        <v/>
      </c>
      <c r="M81" s="9">
        <f>Mecanismos!B7*D81</f>
        <v/>
      </c>
      <c r="N81" s="9">
        <f>Mecanismos!B4*(1-E81)</f>
        <v/>
      </c>
      <c r="O81" s="9">
        <f>Mecanismos!B5*(1-F81)</f>
        <v/>
      </c>
      <c r="P81" s="9">
        <f>Mecanismos!B6*(1-I81)</f>
        <v/>
      </c>
      <c r="Q81" s="9">
        <f>Mecanismos!B9*(1-G81)</f>
        <v/>
      </c>
      <c r="R81" s="9">
        <f>Mecanismos!B9*(1-J81)</f>
        <v/>
      </c>
      <c r="S81" s="9">
        <f>Mecanismos!B8*H81</f>
        <v/>
      </c>
      <c r="T81" s="9">
        <f>Mecanismos!B10*H81</f>
        <v/>
      </c>
      <c r="U81" s="9">
        <f>Mecanismos!B8*K81</f>
        <v/>
      </c>
      <c r="V81" s="9">
        <f>Mecanismos!B3*D81</f>
        <v/>
      </c>
      <c r="W81" s="9">
        <f>Parametros!B2+Parametros!B4*(S81+T81+U81+V81)-Parametros!B3*(L81+M81+N81+O81+P81+Q81+R81)</f>
        <v/>
      </c>
      <c r="X81" s="10">
        <f>1/(1+EXP(-W81))</f>
        <v/>
      </c>
      <c r="Y81" s="11">
        <f>IF(Parametros!B6=1,0.15+0.85*(1/(1+EXP(-8*((1-N81)-0.45)))),1)</f>
        <v/>
      </c>
      <c r="Z81" s="11">
        <f>IF(Parametros!B7=1,MAX(0.05,1-L81^1.6),1)</f>
        <v/>
      </c>
      <c r="AA81" s="11">
        <f>IF(Parametros!B8=1,0.2+0.8*(1/(1+EXP(-9*(S81-0.25)))),1)</f>
        <v/>
      </c>
      <c r="AB81" s="10">
        <f>X81*Y81*Z81*AA81</f>
        <v/>
      </c>
    </row>
    <row r="82">
      <c r="A82" t="inlineStr">
        <is>
          <t>60hzby</t>
        </is>
      </c>
      <c r="B82" t="inlineStr">
        <is>
          <t>Bruno Lima</t>
        </is>
      </c>
      <c r="C82" s="8" t="n">
        <v>0.4378</v>
      </c>
      <c r="D82" s="8" t="n">
        <v>0.6579</v>
      </c>
      <c r="E82" s="8" t="n">
        <v>0.3234</v>
      </c>
      <c r="F82" s="8" t="n">
        <v>0.8492</v>
      </c>
      <c r="G82" s="8" t="n">
        <v>0.5874</v>
      </c>
      <c r="H82" s="8" t="n">
        <v>0.4569</v>
      </c>
      <c r="I82" s="8" t="n">
        <v>0.309</v>
      </c>
      <c r="J82" s="8" t="n">
        <v>0.8037</v>
      </c>
      <c r="K82" s="8" t="n">
        <v>0.8635</v>
      </c>
      <c r="L82" s="9">
        <f>1-(1-Mecanismos!B2)*(1-C82)</f>
        <v/>
      </c>
      <c r="M82" s="9">
        <f>Mecanismos!B7*D82</f>
        <v/>
      </c>
      <c r="N82" s="9">
        <f>Mecanismos!B4*(1-E82)</f>
        <v/>
      </c>
      <c r="O82" s="9">
        <f>Mecanismos!B5*(1-F82)</f>
        <v/>
      </c>
      <c r="P82" s="9">
        <f>Mecanismos!B6*(1-I82)</f>
        <v/>
      </c>
      <c r="Q82" s="9">
        <f>Mecanismos!B9*(1-G82)</f>
        <v/>
      </c>
      <c r="R82" s="9">
        <f>Mecanismos!B9*(1-J82)</f>
        <v/>
      </c>
      <c r="S82" s="9">
        <f>Mecanismos!B8*H82</f>
        <v/>
      </c>
      <c r="T82" s="9">
        <f>Mecanismos!B10*H82</f>
        <v/>
      </c>
      <c r="U82" s="9">
        <f>Mecanismos!B8*K82</f>
        <v/>
      </c>
      <c r="V82" s="9">
        <f>Mecanismos!B3*D82</f>
        <v/>
      </c>
      <c r="W82" s="9">
        <f>Parametros!B2+Parametros!B4*(S82+T82+U82+V82)-Parametros!B3*(L82+M82+N82+O82+P82+Q82+R82)</f>
        <v/>
      </c>
      <c r="X82" s="10">
        <f>1/(1+EXP(-W82))</f>
        <v/>
      </c>
      <c r="Y82" s="11">
        <f>IF(Parametros!B6=1,0.15+0.85*(1/(1+EXP(-8*((1-N82)-0.45)))),1)</f>
        <v/>
      </c>
      <c r="Z82" s="11">
        <f>IF(Parametros!B7=1,MAX(0.05,1-L82^1.6),1)</f>
        <v/>
      </c>
      <c r="AA82" s="11">
        <f>IF(Parametros!B8=1,0.2+0.8*(1/(1+EXP(-9*(S82-0.25)))),1)</f>
        <v/>
      </c>
      <c r="AB82" s="10">
        <f>X82*Y82*Z82*AA82</f>
        <v/>
      </c>
    </row>
    <row r="83">
      <c r="A83" t="inlineStr">
        <is>
          <t>wdtwyi</t>
        </is>
      </c>
      <c r="B83" t="inlineStr">
        <is>
          <t>Bryan Siqueira</t>
        </is>
      </c>
      <c r="C83" s="8" t="n">
        <v>0.5896</v>
      </c>
      <c r="D83" s="8" t="n">
        <v>0.6908</v>
      </c>
      <c r="E83" s="8" t="n">
        <v>0.6817</v>
      </c>
      <c r="F83" s="8" t="n">
        <v>0.5580000000000001</v>
      </c>
      <c r="G83" s="8" t="n">
        <v>0.3712</v>
      </c>
      <c r="H83" s="8" t="n">
        <v>0.6473</v>
      </c>
      <c r="I83" s="8" t="n">
        <v>0.7105</v>
      </c>
      <c r="J83" s="8" t="n">
        <v>0.8292</v>
      </c>
      <c r="K83" s="8" t="n">
        <v>0.9438</v>
      </c>
      <c r="L83" s="9">
        <f>1-(1-Mecanismos!B2)*(1-C83)</f>
        <v/>
      </c>
      <c r="M83" s="9">
        <f>Mecanismos!B7*D83</f>
        <v/>
      </c>
      <c r="N83" s="9">
        <f>Mecanismos!B4*(1-E83)</f>
        <v/>
      </c>
      <c r="O83" s="9">
        <f>Mecanismos!B5*(1-F83)</f>
        <v/>
      </c>
      <c r="P83" s="9">
        <f>Mecanismos!B6*(1-I83)</f>
        <v/>
      </c>
      <c r="Q83" s="9">
        <f>Mecanismos!B9*(1-G83)</f>
        <v/>
      </c>
      <c r="R83" s="9">
        <f>Mecanismos!B9*(1-J83)</f>
        <v/>
      </c>
      <c r="S83" s="9">
        <f>Mecanismos!B8*H83</f>
        <v/>
      </c>
      <c r="T83" s="9">
        <f>Mecanismos!B10*H83</f>
        <v/>
      </c>
      <c r="U83" s="9">
        <f>Mecanismos!B8*K83</f>
        <v/>
      </c>
      <c r="V83" s="9">
        <f>Mecanismos!B3*D83</f>
        <v/>
      </c>
      <c r="W83" s="9">
        <f>Parametros!B2+Parametros!B4*(S83+T83+U83+V83)-Parametros!B3*(L83+M83+N83+O83+P83+Q83+R83)</f>
        <v/>
      </c>
      <c r="X83" s="10">
        <f>1/(1+EXP(-W83))</f>
        <v/>
      </c>
      <c r="Y83" s="11">
        <f>IF(Parametros!B6=1,0.15+0.85*(1/(1+EXP(-8*((1-N83)-0.45)))),1)</f>
        <v/>
      </c>
      <c r="Z83" s="11">
        <f>IF(Parametros!B7=1,MAX(0.05,1-L83^1.6),1)</f>
        <v/>
      </c>
      <c r="AA83" s="11">
        <f>IF(Parametros!B8=1,0.2+0.8*(1/(1+EXP(-9*(S83-0.25)))),1)</f>
        <v/>
      </c>
      <c r="AB83" s="10">
        <f>X83*Y83*Z83*AA83</f>
        <v/>
      </c>
    </row>
    <row r="84">
      <c r="A84" t="inlineStr">
        <is>
          <t>m3601h</t>
        </is>
      </c>
      <c r="B84" t="inlineStr">
        <is>
          <t>Bárbara Macedo</t>
        </is>
      </c>
      <c r="C84" s="8" t="n">
        <v>0.2959</v>
      </c>
      <c r="D84" s="8" t="n">
        <v>0.5157</v>
      </c>
      <c r="E84" s="8" t="n">
        <v>0.6464</v>
      </c>
      <c r="F84" s="8" t="n">
        <v>0.4625</v>
      </c>
      <c r="G84" s="8" t="n">
        <v>0.3897</v>
      </c>
      <c r="H84" s="8" t="n">
        <v>0.5732</v>
      </c>
      <c r="I84" s="8" t="n">
        <v>0.4214</v>
      </c>
      <c r="J84" s="8" t="n">
        <v>0.8511</v>
      </c>
      <c r="K84" s="8" t="n">
        <v>0.6679</v>
      </c>
      <c r="L84" s="9">
        <f>1-(1-Mecanismos!B2)*(1-C84)</f>
        <v/>
      </c>
      <c r="M84" s="9">
        <f>Mecanismos!B7*D84</f>
        <v/>
      </c>
      <c r="N84" s="9">
        <f>Mecanismos!B4*(1-E84)</f>
        <v/>
      </c>
      <c r="O84" s="9">
        <f>Mecanismos!B5*(1-F84)</f>
        <v/>
      </c>
      <c r="P84" s="9">
        <f>Mecanismos!B6*(1-I84)</f>
        <v/>
      </c>
      <c r="Q84" s="9">
        <f>Mecanismos!B9*(1-G84)</f>
        <v/>
      </c>
      <c r="R84" s="9">
        <f>Mecanismos!B9*(1-J84)</f>
        <v/>
      </c>
      <c r="S84" s="9">
        <f>Mecanismos!B8*H84</f>
        <v/>
      </c>
      <c r="T84" s="9">
        <f>Mecanismos!B10*H84</f>
        <v/>
      </c>
      <c r="U84" s="9">
        <f>Mecanismos!B8*K84</f>
        <v/>
      </c>
      <c r="V84" s="9">
        <f>Mecanismos!B3*D84</f>
        <v/>
      </c>
      <c r="W84" s="9">
        <f>Parametros!B2+Parametros!B4*(S84+T84+U84+V84)-Parametros!B3*(L84+M84+N84+O84+P84+Q84+R84)</f>
        <v/>
      </c>
      <c r="X84" s="10">
        <f>1/(1+EXP(-W84))</f>
        <v/>
      </c>
      <c r="Y84" s="11">
        <f>IF(Parametros!B6=1,0.15+0.85*(1/(1+EXP(-8*((1-N84)-0.45)))),1)</f>
        <v/>
      </c>
      <c r="Z84" s="11">
        <f>IF(Parametros!B7=1,MAX(0.05,1-L84^1.6),1)</f>
        <v/>
      </c>
      <c r="AA84" s="11">
        <f>IF(Parametros!B8=1,0.2+0.8*(1/(1+EXP(-9*(S84-0.25)))),1)</f>
        <v/>
      </c>
      <c r="AB84" s="10">
        <f>X84*Y84*Z84*AA84</f>
        <v/>
      </c>
    </row>
    <row r="85">
      <c r="A85" t="inlineStr">
        <is>
          <t>pwky6k</t>
        </is>
      </c>
      <c r="B85" t="inlineStr">
        <is>
          <t>Caio Garcia</t>
        </is>
      </c>
      <c r="C85" s="8" t="n">
        <v>0.6149</v>
      </c>
      <c r="D85" s="8" t="n">
        <v>0.532</v>
      </c>
      <c r="E85" s="8" t="n">
        <v>0.4742</v>
      </c>
      <c r="F85" s="8" t="n">
        <v>0.2674</v>
      </c>
      <c r="G85" s="8" t="n">
        <v>0.3429</v>
      </c>
      <c r="H85" s="8" t="n">
        <v>0.7849</v>
      </c>
      <c r="I85" s="8" t="n">
        <v>0.5993000000000001</v>
      </c>
      <c r="J85" s="8" t="n">
        <v>0.7576000000000001</v>
      </c>
      <c r="K85" s="8" t="n">
        <v>0.5445</v>
      </c>
      <c r="L85" s="9">
        <f>1-(1-Mecanismos!B2)*(1-C85)</f>
        <v/>
      </c>
      <c r="M85" s="9">
        <f>Mecanismos!B7*D85</f>
        <v/>
      </c>
      <c r="N85" s="9">
        <f>Mecanismos!B4*(1-E85)</f>
        <v/>
      </c>
      <c r="O85" s="9">
        <f>Mecanismos!B5*(1-F85)</f>
        <v/>
      </c>
      <c r="P85" s="9">
        <f>Mecanismos!B6*(1-I85)</f>
        <v/>
      </c>
      <c r="Q85" s="9">
        <f>Mecanismos!B9*(1-G85)</f>
        <v/>
      </c>
      <c r="R85" s="9">
        <f>Mecanismos!B9*(1-J85)</f>
        <v/>
      </c>
      <c r="S85" s="9">
        <f>Mecanismos!B8*H85</f>
        <v/>
      </c>
      <c r="T85" s="9">
        <f>Mecanismos!B10*H85</f>
        <v/>
      </c>
      <c r="U85" s="9">
        <f>Mecanismos!B8*K85</f>
        <v/>
      </c>
      <c r="V85" s="9">
        <f>Mecanismos!B3*D85</f>
        <v/>
      </c>
      <c r="W85" s="9">
        <f>Parametros!B2+Parametros!B4*(S85+T85+U85+V85)-Parametros!B3*(L85+M85+N85+O85+P85+Q85+R85)</f>
        <v/>
      </c>
      <c r="X85" s="10">
        <f>1/(1+EXP(-W85))</f>
        <v/>
      </c>
      <c r="Y85" s="11">
        <f>IF(Parametros!B6=1,0.15+0.85*(1/(1+EXP(-8*((1-N85)-0.45)))),1)</f>
        <v/>
      </c>
      <c r="Z85" s="11">
        <f>IF(Parametros!B7=1,MAX(0.05,1-L85^1.6),1)</f>
        <v/>
      </c>
      <c r="AA85" s="11">
        <f>IF(Parametros!B8=1,0.2+0.8*(1/(1+EXP(-9*(S85-0.25)))),1)</f>
        <v/>
      </c>
      <c r="AB85" s="10">
        <f>X85*Y85*Z85*AA85</f>
        <v/>
      </c>
    </row>
    <row r="86">
      <c r="A86" t="inlineStr">
        <is>
          <t>yagnmb</t>
        </is>
      </c>
      <c r="B86" t="inlineStr">
        <is>
          <t>Caio Nunes</t>
        </is>
      </c>
      <c r="C86" s="8" t="n">
        <v>0.706</v>
      </c>
      <c r="D86" s="8" t="n">
        <v>0.2249</v>
      </c>
      <c r="E86" s="8" t="n">
        <v>0.5227000000000001</v>
      </c>
      <c r="F86" s="8" t="n">
        <v>0.8026</v>
      </c>
      <c r="G86" s="8" t="n">
        <v>0.3962</v>
      </c>
      <c r="H86" s="8" t="n">
        <v>0.5404</v>
      </c>
      <c r="I86" s="8" t="n">
        <v>0.6263</v>
      </c>
      <c r="J86" s="8" t="n">
        <v>0.9125</v>
      </c>
      <c r="K86" s="8" t="n">
        <v>0.3084</v>
      </c>
      <c r="L86" s="9">
        <f>1-(1-Mecanismos!B2)*(1-C86)</f>
        <v/>
      </c>
      <c r="M86" s="9">
        <f>Mecanismos!B7*D86</f>
        <v/>
      </c>
      <c r="N86" s="9">
        <f>Mecanismos!B4*(1-E86)</f>
        <v/>
      </c>
      <c r="O86" s="9">
        <f>Mecanismos!B5*(1-F86)</f>
        <v/>
      </c>
      <c r="P86" s="9">
        <f>Mecanismos!B6*(1-I86)</f>
        <v/>
      </c>
      <c r="Q86" s="9">
        <f>Mecanismos!B9*(1-G86)</f>
        <v/>
      </c>
      <c r="R86" s="9">
        <f>Mecanismos!B9*(1-J86)</f>
        <v/>
      </c>
      <c r="S86" s="9">
        <f>Mecanismos!B8*H86</f>
        <v/>
      </c>
      <c r="T86" s="9">
        <f>Mecanismos!B10*H86</f>
        <v/>
      </c>
      <c r="U86" s="9">
        <f>Mecanismos!B8*K86</f>
        <v/>
      </c>
      <c r="V86" s="9">
        <f>Mecanismos!B3*D86</f>
        <v/>
      </c>
      <c r="W86" s="9">
        <f>Parametros!B2+Parametros!B4*(S86+T86+U86+V86)-Parametros!B3*(L86+M86+N86+O86+P86+Q86+R86)</f>
        <v/>
      </c>
      <c r="X86" s="10">
        <f>1/(1+EXP(-W86))</f>
        <v/>
      </c>
      <c r="Y86" s="11">
        <f>IF(Parametros!B6=1,0.15+0.85*(1/(1+EXP(-8*((1-N86)-0.45)))),1)</f>
        <v/>
      </c>
      <c r="Z86" s="11">
        <f>IF(Parametros!B7=1,MAX(0.05,1-L86^1.6),1)</f>
        <v/>
      </c>
      <c r="AA86" s="11">
        <f>IF(Parametros!B8=1,0.2+0.8*(1/(1+EXP(-9*(S86-0.25)))),1)</f>
        <v/>
      </c>
      <c r="AB86" s="10">
        <f>X86*Y86*Z86*AA86</f>
        <v/>
      </c>
    </row>
    <row r="87">
      <c r="A87" t="inlineStr">
        <is>
          <t>vr8zvb</t>
        </is>
      </c>
      <c r="B87" t="inlineStr">
        <is>
          <t>Caleb Barbosa</t>
        </is>
      </c>
      <c r="C87" s="8" t="n">
        <v>0.615</v>
      </c>
      <c r="D87" s="8" t="n">
        <v>0.5232</v>
      </c>
      <c r="E87" s="8" t="n">
        <v>0.4807</v>
      </c>
      <c r="F87" s="8" t="n">
        <v>0.4193</v>
      </c>
      <c r="G87" s="8" t="n">
        <v>0.4091</v>
      </c>
      <c r="H87" s="8" t="n">
        <v>0.5437</v>
      </c>
      <c r="I87" s="8" t="n">
        <v>0.7416</v>
      </c>
      <c r="J87" s="8" t="n">
        <v>0.9678</v>
      </c>
      <c r="K87" s="8" t="n">
        <v>0.3206</v>
      </c>
      <c r="L87" s="9">
        <f>1-(1-Mecanismos!B2)*(1-C87)</f>
        <v/>
      </c>
      <c r="M87" s="9">
        <f>Mecanismos!B7*D87</f>
        <v/>
      </c>
      <c r="N87" s="9">
        <f>Mecanismos!B4*(1-E87)</f>
        <v/>
      </c>
      <c r="O87" s="9">
        <f>Mecanismos!B5*(1-F87)</f>
        <v/>
      </c>
      <c r="P87" s="9">
        <f>Mecanismos!B6*(1-I87)</f>
        <v/>
      </c>
      <c r="Q87" s="9">
        <f>Mecanismos!B9*(1-G87)</f>
        <v/>
      </c>
      <c r="R87" s="9">
        <f>Mecanismos!B9*(1-J87)</f>
        <v/>
      </c>
      <c r="S87" s="9">
        <f>Mecanismos!B8*H87</f>
        <v/>
      </c>
      <c r="T87" s="9">
        <f>Mecanismos!B10*H87</f>
        <v/>
      </c>
      <c r="U87" s="9">
        <f>Mecanismos!B8*K87</f>
        <v/>
      </c>
      <c r="V87" s="9">
        <f>Mecanismos!B3*D87</f>
        <v/>
      </c>
      <c r="W87" s="9">
        <f>Parametros!B2+Parametros!B4*(S87+T87+U87+V87)-Parametros!B3*(L87+M87+N87+O87+P87+Q87+R87)</f>
        <v/>
      </c>
      <c r="X87" s="10">
        <f>1/(1+EXP(-W87))</f>
        <v/>
      </c>
      <c r="Y87" s="11">
        <f>IF(Parametros!B6=1,0.15+0.85*(1/(1+EXP(-8*((1-N87)-0.45)))),1)</f>
        <v/>
      </c>
      <c r="Z87" s="11">
        <f>IF(Parametros!B7=1,MAX(0.05,1-L87^1.6),1)</f>
        <v/>
      </c>
      <c r="AA87" s="11">
        <f>IF(Parametros!B8=1,0.2+0.8*(1/(1+EXP(-9*(S87-0.25)))),1)</f>
        <v/>
      </c>
      <c r="AB87" s="10">
        <f>X87*Y87*Z87*AA87</f>
        <v/>
      </c>
    </row>
    <row r="88">
      <c r="A88" t="inlineStr">
        <is>
          <t>9lv9vq</t>
        </is>
      </c>
      <c r="B88" t="inlineStr">
        <is>
          <t>Caleb Pires</t>
        </is>
      </c>
      <c r="C88" s="8" t="n">
        <v>0.6977</v>
      </c>
      <c r="D88" s="8" t="n">
        <v>0.323</v>
      </c>
      <c r="E88" s="8" t="n">
        <v>0.5329</v>
      </c>
      <c r="F88" s="8" t="n">
        <v>0.5299</v>
      </c>
      <c r="G88" s="8" t="n">
        <v>0.2367</v>
      </c>
      <c r="H88" s="8" t="n">
        <v>0.6945</v>
      </c>
      <c r="I88" s="8" t="n">
        <v>0.3764</v>
      </c>
      <c r="J88" s="8" t="n">
        <v>0.4653</v>
      </c>
      <c r="K88" s="8" t="n">
        <v>0.3557</v>
      </c>
      <c r="L88" s="9">
        <f>1-(1-Mecanismos!B2)*(1-C88)</f>
        <v/>
      </c>
      <c r="M88" s="9">
        <f>Mecanismos!B7*D88</f>
        <v/>
      </c>
      <c r="N88" s="9">
        <f>Mecanismos!B4*(1-E88)</f>
        <v/>
      </c>
      <c r="O88" s="9">
        <f>Mecanismos!B5*(1-F88)</f>
        <v/>
      </c>
      <c r="P88" s="9">
        <f>Mecanismos!B6*(1-I88)</f>
        <v/>
      </c>
      <c r="Q88" s="9">
        <f>Mecanismos!B9*(1-G88)</f>
        <v/>
      </c>
      <c r="R88" s="9">
        <f>Mecanismos!B9*(1-J88)</f>
        <v/>
      </c>
      <c r="S88" s="9">
        <f>Mecanismos!B8*H88</f>
        <v/>
      </c>
      <c r="T88" s="9">
        <f>Mecanismos!B10*H88</f>
        <v/>
      </c>
      <c r="U88" s="9">
        <f>Mecanismos!B8*K88</f>
        <v/>
      </c>
      <c r="V88" s="9">
        <f>Mecanismos!B3*D88</f>
        <v/>
      </c>
      <c r="W88" s="9">
        <f>Parametros!B2+Parametros!B4*(S88+T88+U88+V88)-Parametros!B3*(L88+M88+N88+O88+P88+Q88+R88)</f>
        <v/>
      </c>
      <c r="X88" s="10">
        <f>1/(1+EXP(-W88))</f>
        <v/>
      </c>
      <c r="Y88" s="11">
        <f>IF(Parametros!B6=1,0.15+0.85*(1/(1+EXP(-8*((1-N88)-0.45)))),1)</f>
        <v/>
      </c>
      <c r="Z88" s="11">
        <f>IF(Parametros!B7=1,MAX(0.05,1-L88^1.6),1)</f>
        <v/>
      </c>
      <c r="AA88" s="11">
        <f>IF(Parametros!B8=1,0.2+0.8*(1/(1+EXP(-9*(S88-0.25)))),1)</f>
        <v/>
      </c>
      <c r="AB88" s="10">
        <f>X88*Y88*Z88*AA88</f>
        <v/>
      </c>
    </row>
    <row r="89">
      <c r="A89" t="inlineStr">
        <is>
          <t>3arslw</t>
        </is>
      </c>
      <c r="B89" t="inlineStr">
        <is>
          <t>Caleb Porto</t>
        </is>
      </c>
      <c r="C89" s="8" t="n">
        <v>0.4982</v>
      </c>
      <c r="D89" s="8" t="n">
        <v>0.4401</v>
      </c>
      <c r="E89" s="8" t="n">
        <v>0.5642</v>
      </c>
      <c r="F89" s="8" t="n">
        <v>0.6239</v>
      </c>
      <c r="G89" s="8" t="n">
        <v>0.5296999999999999</v>
      </c>
      <c r="H89" s="8" t="n">
        <v>0.5241</v>
      </c>
      <c r="I89" s="8" t="n">
        <v>0.2044</v>
      </c>
      <c r="J89" s="8" t="n">
        <v>0.9386</v>
      </c>
      <c r="K89" s="8" t="n">
        <v>0.4796</v>
      </c>
      <c r="L89" s="9">
        <f>1-(1-Mecanismos!B2)*(1-C89)</f>
        <v/>
      </c>
      <c r="M89" s="9">
        <f>Mecanismos!B7*D89</f>
        <v/>
      </c>
      <c r="N89" s="9">
        <f>Mecanismos!B4*(1-E89)</f>
        <v/>
      </c>
      <c r="O89" s="9">
        <f>Mecanismos!B5*(1-F89)</f>
        <v/>
      </c>
      <c r="P89" s="9">
        <f>Mecanismos!B6*(1-I89)</f>
        <v/>
      </c>
      <c r="Q89" s="9">
        <f>Mecanismos!B9*(1-G89)</f>
        <v/>
      </c>
      <c r="R89" s="9">
        <f>Mecanismos!B9*(1-J89)</f>
        <v/>
      </c>
      <c r="S89" s="9">
        <f>Mecanismos!B8*H89</f>
        <v/>
      </c>
      <c r="T89" s="9">
        <f>Mecanismos!B10*H89</f>
        <v/>
      </c>
      <c r="U89" s="9">
        <f>Mecanismos!B8*K89</f>
        <v/>
      </c>
      <c r="V89" s="9">
        <f>Mecanismos!B3*D89</f>
        <v/>
      </c>
      <c r="W89" s="9">
        <f>Parametros!B2+Parametros!B4*(S89+T89+U89+V89)-Parametros!B3*(L89+M89+N89+O89+P89+Q89+R89)</f>
        <v/>
      </c>
      <c r="X89" s="10">
        <f>1/(1+EXP(-W89))</f>
        <v/>
      </c>
      <c r="Y89" s="11">
        <f>IF(Parametros!B6=1,0.15+0.85*(1/(1+EXP(-8*((1-N89)-0.45)))),1)</f>
        <v/>
      </c>
      <c r="Z89" s="11">
        <f>IF(Parametros!B7=1,MAX(0.05,1-L89^1.6),1)</f>
        <v/>
      </c>
      <c r="AA89" s="11">
        <f>IF(Parametros!B8=1,0.2+0.8*(1/(1+EXP(-9*(S89-0.25)))),1)</f>
        <v/>
      </c>
      <c r="AB89" s="10">
        <f>X89*Y89*Z89*AA89</f>
        <v/>
      </c>
    </row>
    <row r="90">
      <c r="A90" t="inlineStr">
        <is>
          <t>35shgc</t>
        </is>
      </c>
      <c r="B90" t="inlineStr">
        <is>
          <t>Caleb Rezende</t>
        </is>
      </c>
      <c r="C90" s="8" t="n">
        <v>0.5741000000000001</v>
      </c>
      <c r="D90" s="8" t="n">
        <v>0.3855</v>
      </c>
      <c r="E90" s="8" t="n">
        <v>0.3431</v>
      </c>
      <c r="F90" s="8" t="n">
        <v>0.7887</v>
      </c>
      <c r="G90" s="8" t="n">
        <v>0.3343</v>
      </c>
      <c r="H90" s="8" t="n">
        <v>0.598</v>
      </c>
      <c r="I90" s="8" t="n">
        <v>0.4365</v>
      </c>
      <c r="J90" s="8" t="n">
        <v>0.6912</v>
      </c>
      <c r="K90" s="8" t="n">
        <v>0.5063</v>
      </c>
      <c r="L90" s="9">
        <f>1-(1-Mecanismos!B2)*(1-C90)</f>
        <v/>
      </c>
      <c r="M90" s="9">
        <f>Mecanismos!B7*D90</f>
        <v/>
      </c>
      <c r="N90" s="9">
        <f>Mecanismos!B4*(1-E90)</f>
        <v/>
      </c>
      <c r="O90" s="9">
        <f>Mecanismos!B5*(1-F90)</f>
        <v/>
      </c>
      <c r="P90" s="9">
        <f>Mecanismos!B6*(1-I90)</f>
        <v/>
      </c>
      <c r="Q90" s="9">
        <f>Mecanismos!B9*(1-G90)</f>
        <v/>
      </c>
      <c r="R90" s="9">
        <f>Mecanismos!B9*(1-J90)</f>
        <v/>
      </c>
      <c r="S90" s="9">
        <f>Mecanismos!B8*H90</f>
        <v/>
      </c>
      <c r="T90" s="9">
        <f>Mecanismos!B10*H90</f>
        <v/>
      </c>
      <c r="U90" s="9">
        <f>Mecanismos!B8*K90</f>
        <v/>
      </c>
      <c r="V90" s="9">
        <f>Mecanismos!B3*D90</f>
        <v/>
      </c>
      <c r="W90" s="9">
        <f>Parametros!B2+Parametros!B4*(S90+T90+U90+V90)-Parametros!B3*(L90+M90+N90+O90+P90+Q90+R90)</f>
        <v/>
      </c>
      <c r="X90" s="10">
        <f>1/(1+EXP(-W90))</f>
        <v/>
      </c>
      <c r="Y90" s="11">
        <f>IF(Parametros!B6=1,0.15+0.85*(1/(1+EXP(-8*((1-N90)-0.45)))),1)</f>
        <v/>
      </c>
      <c r="Z90" s="11">
        <f>IF(Parametros!B7=1,MAX(0.05,1-L90^1.6),1)</f>
        <v/>
      </c>
      <c r="AA90" s="11">
        <f>IF(Parametros!B8=1,0.2+0.8*(1/(1+EXP(-9*(S90-0.25)))),1)</f>
        <v/>
      </c>
      <c r="AB90" s="10">
        <f>X90*Y90*Z90*AA90</f>
        <v/>
      </c>
    </row>
    <row r="91">
      <c r="A91" t="inlineStr">
        <is>
          <t>55hh8r</t>
        </is>
      </c>
      <c r="B91" t="inlineStr">
        <is>
          <t>Caleb Rodrigues</t>
        </is>
      </c>
      <c r="C91" s="8" t="n">
        <v>0.6433</v>
      </c>
      <c r="D91" s="8" t="n">
        <v>0.4399</v>
      </c>
      <c r="E91" s="8" t="n">
        <v>0.7596000000000001</v>
      </c>
      <c r="F91" s="8" t="n">
        <v>0.457</v>
      </c>
      <c r="G91" s="8" t="n">
        <v>0.3208</v>
      </c>
      <c r="H91" s="8" t="n">
        <v>0.4688</v>
      </c>
      <c r="I91" s="8" t="n">
        <v>0.1484</v>
      </c>
      <c r="J91" s="8" t="n">
        <v>0.7315</v>
      </c>
      <c r="K91" s="8" t="n">
        <v>0.4324</v>
      </c>
      <c r="L91" s="9">
        <f>1-(1-Mecanismos!B2)*(1-C91)</f>
        <v/>
      </c>
      <c r="M91" s="9">
        <f>Mecanismos!B7*D91</f>
        <v/>
      </c>
      <c r="N91" s="9">
        <f>Mecanismos!B4*(1-E91)</f>
        <v/>
      </c>
      <c r="O91" s="9">
        <f>Mecanismos!B5*(1-F91)</f>
        <v/>
      </c>
      <c r="P91" s="9">
        <f>Mecanismos!B6*(1-I91)</f>
        <v/>
      </c>
      <c r="Q91" s="9">
        <f>Mecanismos!B9*(1-G91)</f>
        <v/>
      </c>
      <c r="R91" s="9">
        <f>Mecanismos!B9*(1-J91)</f>
        <v/>
      </c>
      <c r="S91" s="9">
        <f>Mecanismos!B8*H91</f>
        <v/>
      </c>
      <c r="T91" s="9">
        <f>Mecanismos!B10*H91</f>
        <v/>
      </c>
      <c r="U91" s="9">
        <f>Mecanismos!B8*K91</f>
        <v/>
      </c>
      <c r="V91" s="9">
        <f>Mecanismos!B3*D91</f>
        <v/>
      </c>
      <c r="W91" s="9">
        <f>Parametros!B2+Parametros!B4*(S91+T91+U91+V91)-Parametros!B3*(L91+M91+N91+O91+P91+Q91+R91)</f>
        <v/>
      </c>
      <c r="X91" s="10">
        <f>1/(1+EXP(-W91))</f>
        <v/>
      </c>
      <c r="Y91" s="11">
        <f>IF(Parametros!B6=1,0.15+0.85*(1/(1+EXP(-8*((1-N91)-0.45)))),1)</f>
        <v/>
      </c>
      <c r="Z91" s="11">
        <f>IF(Parametros!B7=1,MAX(0.05,1-L91^1.6),1)</f>
        <v/>
      </c>
      <c r="AA91" s="11">
        <f>IF(Parametros!B8=1,0.2+0.8*(1/(1+EXP(-9*(S91-0.25)))),1)</f>
        <v/>
      </c>
      <c r="AB91" s="10">
        <f>X91*Y91*Z91*AA91</f>
        <v/>
      </c>
    </row>
    <row r="92">
      <c r="A92" t="inlineStr">
        <is>
          <t>9wqptf</t>
        </is>
      </c>
      <c r="B92" t="inlineStr">
        <is>
          <t>Calebe Aragão</t>
        </is>
      </c>
      <c r="C92" s="8" t="n">
        <v>0.5083</v>
      </c>
      <c r="D92" s="8" t="n">
        <v>0.479</v>
      </c>
      <c r="E92" s="8" t="n">
        <v>0.5458</v>
      </c>
      <c r="F92" s="8" t="n">
        <v>0.4903</v>
      </c>
      <c r="G92" s="8" t="n">
        <v>0.4144</v>
      </c>
      <c r="H92" s="8" t="n">
        <v>0.7044</v>
      </c>
      <c r="I92" s="8" t="n">
        <v>0.6059</v>
      </c>
      <c r="J92" s="8" t="n">
        <v>0.9001</v>
      </c>
      <c r="K92" s="8" t="n">
        <v>0.3309</v>
      </c>
      <c r="L92" s="9">
        <f>1-(1-Mecanismos!B2)*(1-C92)</f>
        <v/>
      </c>
      <c r="M92" s="9">
        <f>Mecanismos!B7*D92</f>
        <v/>
      </c>
      <c r="N92" s="9">
        <f>Mecanismos!B4*(1-E92)</f>
        <v/>
      </c>
      <c r="O92" s="9">
        <f>Mecanismos!B5*(1-F92)</f>
        <v/>
      </c>
      <c r="P92" s="9">
        <f>Mecanismos!B6*(1-I92)</f>
        <v/>
      </c>
      <c r="Q92" s="9">
        <f>Mecanismos!B9*(1-G92)</f>
        <v/>
      </c>
      <c r="R92" s="9">
        <f>Mecanismos!B9*(1-J92)</f>
        <v/>
      </c>
      <c r="S92" s="9">
        <f>Mecanismos!B8*H92</f>
        <v/>
      </c>
      <c r="T92" s="9">
        <f>Mecanismos!B10*H92</f>
        <v/>
      </c>
      <c r="U92" s="9">
        <f>Mecanismos!B8*K92</f>
        <v/>
      </c>
      <c r="V92" s="9">
        <f>Mecanismos!B3*D92</f>
        <v/>
      </c>
      <c r="W92" s="9">
        <f>Parametros!B2+Parametros!B4*(S92+T92+U92+V92)-Parametros!B3*(L92+M92+N92+O92+P92+Q92+R92)</f>
        <v/>
      </c>
      <c r="X92" s="10">
        <f>1/(1+EXP(-W92))</f>
        <v/>
      </c>
      <c r="Y92" s="11">
        <f>IF(Parametros!B6=1,0.15+0.85*(1/(1+EXP(-8*((1-N92)-0.45)))),1)</f>
        <v/>
      </c>
      <c r="Z92" s="11">
        <f>IF(Parametros!B7=1,MAX(0.05,1-L92^1.6),1)</f>
        <v/>
      </c>
      <c r="AA92" s="11">
        <f>IF(Parametros!B8=1,0.2+0.8*(1/(1+EXP(-9*(S92-0.25)))),1)</f>
        <v/>
      </c>
      <c r="AB92" s="10">
        <f>X92*Y92*Z92*AA92</f>
        <v/>
      </c>
    </row>
    <row r="93">
      <c r="A93" t="inlineStr">
        <is>
          <t>3wizyc</t>
        </is>
      </c>
      <c r="B93" t="inlineStr">
        <is>
          <t>Calebe Gomes</t>
        </is>
      </c>
      <c r="C93" s="8" t="n">
        <v>0.5401</v>
      </c>
      <c r="D93" s="8" t="n">
        <v>0.2999</v>
      </c>
      <c r="E93" s="8" t="n">
        <v>0.5242</v>
      </c>
      <c r="F93" s="8" t="n">
        <v>0.4112</v>
      </c>
      <c r="G93" s="8" t="n">
        <v>0.3668</v>
      </c>
      <c r="H93" s="8" t="n">
        <v>0.5759</v>
      </c>
      <c r="I93" s="8" t="n">
        <v>0.2317</v>
      </c>
      <c r="J93" s="8" t="n">
        <v>0.7159</v>
      </c>
      <c r="K93" s="8" t="n">
        <v>0.6168</v>
      </c>
      <c r="L93" s="9">
        <f>1-(1-Mecanismos!B2)*(1-C93)</f>
        <v/>
      </c>
      <c r="M93" s="9">
        <f>Mecanismos!B7*D93</f>
        <v/>
      </c>
      <c r="N93" s="9">
        <f>Mecanismos!B4*(1-E93)</f>
        <v/>
      </c>
      <c r="O93" s="9">
        <f>Mecanismos!B5*(1-F93)</f>
        <v/>
      </c>
      <c r="P93" s="9">
        <f>Mecanismos!B6*(1-I93)</f>
        <v/>
      </c>
      <c r="Q93" s="9">
        <f>Mecanismos!B9*(1-G93)</f>
        <v/>
      </c>
      <c r="R93" s="9">
        <f>Mecanismos!B9*(1-J93)</f>
        <v/>
      </c>
      <c r="S93" s="9">
        <f>Mecanismos!B8*H93</f>
        <v/>
      </c>
      <c r="T93" s="9">
        <f>Mecanismos!B10*H93</f>
        <v/>
      </c>
      <c r="U93" s="9">
        <f>Mecanismos!B8*K93</f>
        <v/>
      </c>
      <c r="V93" s="9">
        <f>Mecanismos!B3*D93</f>
        <v/>
      </c>
      <c r="W93" s="9">
        <f>Parametros!B2+Parametros!B4*(S93+T93+U93+V93)-Parametros!B3*(L93+M93+N93+O93+P93+Q93+R93)</f>
        <v/>
      </c>
      <c r="X93" s="10">
        <f>1/(1+EXP(-W93))</f>
        <v/>
      </c>
      <c r="Y93" s="11">
        <f>IF(Parametros!B6=1,0.15+0.85*(1/(1+EXP(-8*((1-N93)-0.45)))),1)</f>
        <v/>
      </c>
      <c r="Z93" s="11">
        <f>IF(Parametros!B7=1,MAX(0.05,1-L93^1.6),1)</f>
        <v/>
      </c>
      <c r="AA93" s="11">
        <f>IF(Parametros!B8=1,0.2+0.8*(1/(1+EXP(-9*(S93-0.25)))),1)</f>
        <v/>
      </c>
      <c r="AB93" s="10">
        <f>X93*Y93*Z93*AA93</f>
        <v/>
      </c>
    </row>
    <row r="94">
      <c r="A94" t="inlineStr">
        <is>
          <t>graj8y</t>
        </is>
      </c>
      <c r="B94" t="inlineStr">
        <is>
          <t>Calebe Pastor</t>
        </is>
      </c>
      <c r="C94" s="8" t="n">
        <v>0.5302</v>
      </c>
      <c r="D94" s="8" t="n">
        <v>0.5946</v>
      </c>
      <c r="E94" s="8" t="n">
        <v>0.6657</v>
      </c>
      <c r="F94" s="8" t="n">
        <v>0.3279</v>
      </c>
      <c r="G94" s="8" t="n">
        <v>0.5814</v>
      </c>
      <c r="H94" s="8" t="n">
        <v>0.5876</v>
      </c>
      <c r="I94" s="8" t="n">
        <v>0.3642</v>
      </c>
      <c r="J94" s="8" t="n">
        <v>0.9364</v>
      </c>
      <c r="K94" s="8" t="n">
        <v>0.4458</v>
      </c>
      <c r="L94" s="9">
        <f>1-(1-Mecanismos!B2)*(1-C94)</f>
        <v/>
      </c>
      <c r="M94" s="9">
        <f>Mecanismos!B7*D94</f>
        <v/>
      </c>
      <c r="N94" s="9">
        <f>Mecanismos!B4*(1-E94)</f>
        <v/>
      </c>
      <c r="O94" s="9">
        <f>Mecanismos!B5*(1-F94)</f>
        <v/>
      </c>
      <c r="P94" s="9">
        <f>Mecanismos!B6*(1-I94)</f>
        <v/>
      </c>
      <c r="Q94" s="9">
        <f>Mecanismos!B9*(1-G94)</f>
        <v/>
      </c>
      <c r="R94" s="9">
        <f>Mecanismos!B9*(1-J94)</f>
        <v/>
      </c>
      <c r="S94" s="9">
        <f>Mecanismos!B8*H94</f>
        <v/>
      </c>
      <c r="T94" s="9">
        <f>Mecanismos!B10*H94</f>
        <v/>
      </c>
      <c r="U94" s="9">
        <f>Mecanismos!B8*K94</f>
        <v/>
      </c>
      <c r="V94" s="9">
        <f>Mecanismos!B3*D94</f>
        <v/>
      </c>
      <c r="W94" s="9">
        <f>Parametros!B2+Parametros!B4*(S94+T94+U94+V94)-Parametros!B3*(L94+M94+N94+O94+P94+Q94+R94)</f>
        <v/>
      </c>
      <c r="X94" s="10">
        <f>1/(1+EXP(-W94))</f>
        <v/>
      </c>
      <c r="Y94" s="11">
        <f>IF(Parametros!B6=1,0.15+0.85*(1/(1+EXP(-8*((1-N94)-0.45)))),1)</f>
        <v/>
      </c>
      <c r="Z94" s="11">
        <f>IF(Parametros!B7=1,MAX(0.05,1-L94^1.6),1)</f>
        <v/>
      </c>
      <c r="AA94" s="11">
        <f>IF(Parametros!B8=1,0.2+0.8*(1/(1+EXP(-9*(S94-0.25)))),1)</f>
        <v/>
      </c>
      <c r="AB94" s="10">
        <f>X94*Y94*Z94*AA94</f>
        <v/>
      </c>
    </row>
    <row r="95">
      <c r="A95" t="inlineStr">
        <is>
          <t>3z1ehh</t>
        </is>
      </c>
      <c r="B95" t="inlineStr">
        <is>
          <t>Camila Pinto</t>
        </is>
      </c>
      <c r="C95" s="8" t="n">
        <v>0.5558999999999999</v>
      </c>
      <c r="D95" s="8" t="n">
        <v>0.5775</v>
      </c>
      <c r="E95" s="8" t="n">
        <v>0.6647999999999999</v>
      </c>
      <c r="F95" s="8" t="n">
        <v>0.488</v>
      </c>
      <c r="G95" s="8" t="n">
        <v>0.6067</v>
      </c>
      <c r="H95" s="8" t="n">
        <v>0.6309</v>
      </c>
      <c r="I95" s="8" t="n">
        <v>0.4515</v>
      </c>
      <c r="J95" s="8" t="n">
        <v>0.8849</v>
      </c>
      <c r="K95" s="8" t="n">
        <v>0.7722</v>
      </c>
      <c r="L95" s="9">
        <f>1-(1-Mecanismos!B2)*(1-C95)</f>
        <v/>
      </c>
      <c r="M95" s="9">
        <f>Mecanismos!B7*D95</f>
        <v/>
      </c>
      <c r="N95" s="9">
        <f>Mecanismos!B4*(1-E95)</f>
        <v/>
      </c>
      <c r="O95" s="9">
        <f>Mecanismos!B5*(1-F95)</f>
        <v/>
      </c>
      <c r="P95" s="9">
        <f>Mecanismos!B6*(1-I95)</f>
        <v/>
      </c>
      <c r="Q95" s="9">
        <f>Mecanismos!B9*(1-G95)</f>
        <v/>
      </c>
      <c r="R95" s="9">
        <f>Mecanismos!B9*(1-J95)</f>
        <v/>
      </c>
      <c r="S95" s="9">
        <f>Mecanismos!B8*H95</f>
        <v/>
      </c>
      <c r="T95" s="9">
        <f>Mecanismos!B10*H95</f>
        <v/>
      </c>
      <c r="U95" s="9">
        <f>Mecanismos!B8*K95</f>
        <v/>
      </c>
      <c r="V95" s="9">
        <f>Mecanismos!B3*D95</f>
        <v/>
      </c>
      <c r="W95" s="9">
        <f>Parametros!B2+Parametros!B4*(S95+T95+U95+V95)-Parametros!B3*(L95+M95+N95+O95+P95+Q95+R95)</f>
        <v/>
      </c>
      <c r="X95" s="10">
        <f>1/(1+EXP(-W95))</f>
        <v/>
      </c>
      <c r="Y95" s="11">
        <f>IF(Parametros!B6=1,0.15+0.85*(1/(1+EXP(-8*((1-N95)-0.45)))),1)</f>
        <v/>
      </c>
      <c r="Z95" s="11">
        <f>IF(Parametros!B7=1,MAX(0.05,1-L95^1.6),1)</f>
        <v/>
      </c>
      <c r="AA95" s="11">
        <f>IF(Parametros!B8=1,0.2+0.8*(1/(1+EXP(-9*(S95-0.25)))),1)</f>
        <v/>
      </c>
      <c r="AB95" s="10">
        <f>X95*Y95*Z95*AA95</f>
        <v/>
      </c>
    </row>
    <row r="96">
      <c r="A96" t="inlineStr">
        <is>
          <t>9eqzg1</t>
        </is>
      </c>
      <c r="B96" t="inlineStr">
        <is>
          <t>Camila Ribeiro</t>
        </is>
      </c>
      <c r="C96" s="8" t="n">
        <v>0.5063</v>
      </c>
      <c r="D96" s="8" t="n">
        <v>0.356</v>
      </c>
      <c r="E96" s="8" t="n">
        <v>0.1895</v>
      </c>
      <c r="F96" s="8" t="n">
        <v>0.4062</v>
      </c>
      <c r="G96" s="8" t="n">
        <v>0.4324</v>
      </c>
      <c r="H96" s="8" t="n">
        <v>0.7097</v>
      </c>
      <c r="I96" s="8" t="n">
        <v>0.6435</v>
      </c>
      <c r="J96" s="8" t="n">
        <v>0.8462</v>
      </c>
      <c r="K96" s="8" t="n">
        <v>0.6086</v>
      </c>
      <c r="L96" s="9">
        <f>1-(1-Mecanismos!B2)*(1-C96)</f>
        <v/>
      </c>
      <c r="M96" s="9">
        <f>Mecanismos!B7*D96</f>
        <v/>
      </c>
      <c r="N96" s="9">
        <f>Mecanismos!B4*(1-E96)</f>
        <v/>
      </c>
      <c r="O96" s="9">
        <f>Mecanismos!B5*(1-F96)</f>
        <v/>
      </c>
      <c r="P96" s="9">
        <f>Mecanismos!B6*(1-I96)</f>
        <v/>
      </c>
      <c r="Q96" s="9">
        <f>Mecanismos!B9*(1-G96)</f>
        <v/>
      </c>
      <c r="R96" s="9">
        <f>Mecanismos!B9*(1-J96)</f>
        <v/>
      </c>
      <c r="S96" s="9">
        <f>Mecanismos!B8*H96</f>
        <v/>
      </c>
      <c r="T96" s="9">
        <f>Mecanismos!B10*H96</f>
        <v/>
      </c>
      <c r="U96" s="9">
        <f>Mecanismos!B8*K96</f>
        <v/>
      </c>
      <c r="V96" s="9">
        <f>Mecanismos!B3*D96</f>
        <v/>
      </c>
      <c r="W96" s="9">
        <f>Parametros!B2+Parametros!B4*(S96+T96+U96+V96)-Parametros!B3*(L96+M96+N96+O96+P96+Q96+R96)</f>
        <v/>
      </c>
      <c r="X96" s="10">
        <f>1/(1+EXP(-W96))</f>
        <v/>
      </c>
      <c r="Y96" s="11">
        <f>IF(Parametros!B6=1,0.15+0.85*(1/(1+EXP(-8*((1-N96)-0.45)))),1)</f>
        <v/>
      </c>
      <c r="Z96" s="11">
        <f>IF(Parametros!B7=1,MAX(0.05,1-L96^1.6),1)</f>
        <v/>
      </c>
      <c r="AA96" s="11">
        <f>IF(Parametros!B8=1,0.2+0.8*(1/(1+EXP(-9*(S96-0.25)))),1)</f>
        <v/>
      </c>
      <c r="AB96" s="10">
        <f>X96*Y96*Z96*AA96</f>
        <v/>
      </c>
    </row>
    <row r="97">
      <c r="A97" t="inlineStr">
        <is>
          <t>ihttef</t>
        </is>
      </c>
      <c r="B97" t="inlineStr">
        <is>
          <t>Carlos Eduardo Pereira</t>
        </is>
      </c>
      <c r="C97" s="8" t="n">
        <v>0.8337</v>
      </c>
      <c r="D97" s="8" t="n">
        <v>0.4877</v>
      </c>
      <c r="E97" s="8" t="n">
        <v>0.5175</v>
      </c>
      <c r="F97" s="8" t="n">
        <v>0.3982</v>
      </c>
      <c r="G97" s="8" t="n">
        <v>0.5269</v>
      </c>
      <c r="H97" s="8" t="n">
        <v>0.598</v>
      </c>
      <c r="I97" s="8" t="n">
        <v>0.2942</v>
      </c>
      <c r="J97" s="8" t="n">
        <v>0.5733</v>
      </c>
      <c r="K97" s="8" t="n">
        <v>0.5532</v>
      </c>
      <c r="L97" s="9">
        <f>1-(1-Mecanismos!B2)*(1-C97)</f>
        <v/>
      </c>
      <c r="M97" s="9">
        <f>Mecanismos!B7*D97</f>
        <v/>
      </c>
      <c r="N97" s="9">
        <f>Mecanismos!B4*(1-E97)</f>
        <v/>
      </c>
      <c r="O97" s="9">
        <f>Mecanismos!B5*(1-F97)</f>
        <v/>
      </c>
      <c r="P97" s="9">
        <f>Mecanismos!B6*(1-I97)</f>
        <v/>
      </c>
      <c r="Q97" s="9">
        <f>Mecanismos!B9*(1-G97)</f>
        <v/>
      </c>
      <c r="R97" s="9">
        <f>Mecanismos!B9*(1-J97)</f>
        <v/>
      </c>
      <c r="S97" s="9">
        <f>Mecanismos!B8*H97</f>
        <v/>
      </c>
      <c r="T97" s="9">
        <f>Mecanismos!B10*H97</f>
        <v/>
      </c>
      <c r="U97" s="9">
        <f>Mecanismos!B8*K97</f>
        <v/>
      </c>
      <c r="V97" s="9">
        <f>Mecanismos!B3*D97</f>
        <v/>
      </c>
      <c r="W97" s="9">
        <f>Parametros!B2+Parametros!B4*(S97+T97+U97+V97)-Parametros!B3*(L97+M97+N97+O97+P97+Q97+R97)</f>
        <v/>
      </c>
      <c r="X97" s="10">
        <f>1/(1+EXP(-W97))</f>
        <v/>
      </c>
      <c r="Y97" s="11">
        <f>IF(Parametros!B6=1,0.15+0.85*(1/(1+EXP(-8*((1-N97)-0.45)))),1)</f>
        <v/>
      </c>
      <c r="Z97" s="11">
        <f>IF(Parametros!B7=1,MAX(0.05,1-L97^1.6),1)</f>
        <v/>
      </c>
      <c r="AA97" s="11">
        <f>IF(Parametros!B8=1,0.2+0.8*(1/(1+EXP(-9*(S97-0.25)))),1)</f>
        <v/>
      </c>
      <c r="AB97" s="10">
        <f>X97*Y97*Z97*AA97</f>
        <v/>
      </c>
    </row>
    <row r="98">
      <c r="A98" t="inlineStr">
        <is>
          <t>x4q1fz</t>
        </is>
      </c>
      <c r="B98" t="inlineStr">
        <is>
          <t>Carlos Eduardo Vasconcelos</t>
        </is>
      </c>
      <c r="C98" s="8" t="n">
        <v>0.6404</v>
      </c>
      <c r="D98" s="8" t="n">
        <v>0.4795</v>
      </c>
      <c r="E98" s="8" t="n">
        <v>0.5985</v>
      </c>
      <c r="F98" s="8" t="n">
        <v>0.7642</v>
      </c>
      <c r="G98" s="8" t="n">
        <v>0.4838</v>
      </c>
      <c r="H98" s="8" t="n">
        <v>0.662</v>
      </c>
      <c r="I98" s="8" t="n">
        <v>0.4697</v>
      </c>
      <c r="J98" s="8" t="n">
        <v>0.8569</v>
      </c>
      <c r="K98" s="8" t="n">
        <v>0.4833</v>
      </c>
      <c r="L98" s="9">
        <f>1-(1-Mecanismos!B2)*(1-C98)</f>
        <v/>
      </c>
      <c r="M98" s="9">
        <f>Mecanismos!B7*D98</f>
        <v/>
      </c>
      <c r="N98" s="9">
        <f>Mecanismos!B4*(1-E98)</f>
        <v/>
      </c>
      <c r="O98" s="9">
        <f>Mecanismos!B5*(1-F98)</f>
        <v/>
      </c>
      <c r="P98" s="9">
        <f>Mecanismos!B6*(1-I98)</f>
        <v/>
      </c>
      <c r="Q98" s="9">
        <f>Mecanismos!B9*(1-G98)</f>
        <v/>
      </c>
      <c r="R98" s="9">
        <f>Mecanismos!B9*(1-J98)</f>
        <v/>
      </c>
      <c r="S98" s="9">
        <f>Mecanismos!B8*H98</f>
        <v/>
      </c>
      <c r="T98" s="9">
        <f>Mecanismos!B10*H98</f>
        <v/>
      </c>
      <c r="U98" s="9">
        <f>Mecanismos!B8*K98</f>
        <v/>
      </c>
      <c r="V98" s="9">
        <f>Mecanismos!B3*D98</f>
        <v/>
      </c>
      <c r="W98" s="9">
        <f>Parametros!B2+Parametros!B4*(S98+T98+U98+V98)-Parametros!B3*(L98+M98+N98+O98+P98+Q98+R98)</f>
        <v/>
      </c>
      <c r="X98" s="10">
        <f>1/(1+EXP(-W98))</f>
        <v/>
      </c>
      <c r="Y98" s="11">
        <f>IF(Parametros!B6=1,0.15+0.85*(1/(1+EXP(-8*((1-N98)-0.45)))),1)</f>
        <v/>
      </c>
      <c r="Z98" s="11">
        <f>IF(Parametros!B7=1,MAX(0.05,1-L98^1.6),1)</f>
        <v/>
      </c>
      <c r="AA98" s="11">
        <f>IF(Parametros!B8=1,0.2+0.8*(1/(1+EXP(-9*(S98-0.25)))),1)</f>
        <v/>
      </c>
      <c r="AB98" s="10">
        <f>X98*Y98*Z98*AA98</f>
        <v/>
      </c>
    </row>
    <row r="99">
      <c r="A99" t="inlineStr">
        <is>
          <t>c2edtt</t>
        </is>
      </c>
      <c r="B99" t="inlineStr">
        <is>
          <t>Carolina Moraes</t>
        </is>
      </c>
      <c r="C99" s="8" t="n">
        <v>0.7363</v>
      </c>
      <c r="D99" s="8" t="n">
        <v>0.291</v>
      </c>
      <c r="E99" s="8" t="n">
        <v>0.594</v>
      </c>
      <c r="F99" s="8" t="n">
        <v>0.5028</v>
      </c>
      <c r="G99" s="8" t="n">
        <v>0.6508</v>
      </c>
      <c r="H99" s="8" t="n">
        <v>0.741</v>
      </c>
      <c r="I99" s="8" t="n">
        <v>0.4755</v>
      </c>
      <c r="J99" s="8" t="n">
        <v>0.8539</v>
      </c>
      <c r="K99" s="8" t="n">
        <v>0.5729</v>
      </c>
      <c r="L99" s="9">
        <f>1-(1-Mecanismos!B2)*(1-C99)</f>
        <v/>
      </c>
      <c r="M99" s="9">
        <f>Mecanismos!B7*D99</f>
        <v/>
      </c>
      <c r="N99" s="9">
        <f>Mecanismos!B4*(1-E99)</f>
        <v/>
      </c>
      <c r="O99" s="9">
        <f>Mecanismos!B5*(1-F99)</f>
        <v/>
      </c>
      <c r="P99" s="9">
        <f>Mecanismos!B6*(1-I99)</f>
        <v/>
      </c>
      <c r="Q99" s="9">
        <f>Mecanismos!B9*(1-G99)</f>
        <v/>
      </c>
      <c r="R99" s="9">
        <f>Mecanismos!B9*(1-J99)</f>
        <v/>
      </c>
      <c r="S99" s="9">
        <f>Mecanismos!B8*H99</f>
        <v/>
      </c>
      <c r="T99" s="9">
        <f>Mecanismos!B10*H99</f>
        <v/>
      </c>
      <c r="U99" s="9">
        <f>Mecanismos!B8*K99</f>
        <v/>
      </c>
      <c r="V99" s="9">
        <f>Mecanismos!B3*D99</f>
        <v/>
      </c>
      <c r="W99" s="9">
        <f>Parametros!B2+Parametros!B4*(S99+T99+U99+V99)-Parametros!B3*(L99+M99+N99+O99+P99+Q99+R99)</f>
        <v/>
      </c>
      <c r="X99" s="10">
        <f>1/(1+EXP(-W99))</f>
        <v/>
      </c>
      <c r="Y99" s="11">
        <f>IF(Parametros!B6=1,0.15+0.85*(1/(1+EXP(-8*((1-N99)-0.45)))),1)</f>
        <v/>
      </c>
      <c r="Z99" s="11">
        <f>IF(Parametros!B7=1,MAX(0.05,1-L99^1.6),1)</f>
        <v/>
      </c>
      <c r="AA99" s="11">
        <f>IF(Parametros!B8=1,0.2+0.8*(1/(1+EXP(-9*(S99-0.25)))),1)</f>
        <v/>
      </c>
      <c r="AB99" s="10">
        <f>X99*Y99*Z99*AA99</f>
        <v/>
      </c>
    </row>
    <row r="100">
      <c r="A100" t="inlineStr">
        <is>
          <t>o0nv5o</t>
        </is>
      </c>
      <c r="B100" t="inlineStr">
        <is>
          <t>Carolina da Costa</t>
        </is>
      </c>
      <c r="C100" s="8" t="n">
        <v>0.6277</v>
      </c>
      <c r="D100" s="8" t="n">
        <v>0.6738</v>
      </c>
      <c r="E100" s="8" t="n">
        <v>0.7883</v>
      </c>
      <c r="F100" s="8" t="n">
        <v>0.3777</v>
      </c>
      <c r="G100" s="8" t="n">
        <v>0.3493</v>
      </c>
      <c r="H100" s="8" t="n">
        <v>0.8381</v>
      </c>
      <c r="I100" s="8" t="n">
        <v>0.1613</v>
      </c>
      <c r="J100" s="8" t="n">
        <v>0.5991</v>
      </c>
      <c r="K100" s="8" t="n">
        <v>0.4287</v>
      </c>
      <c r="L100" s="9">
        <f>1-(1-Mecanismos!B2)*(1-C100)</f>
        <v/>
      </c>
      <c r="M100" s="9">
        <f>Mecanismos!B7*D100</f>
        <v/>
      </c>
      <c r="N100" s="9">
        <f>Mecanismos!B4*(1-E100)</f>
        <v/>
      </c>
      <c r="O100" s="9">
        <f>Mecanismos!B5*(1-F100)</f>
        <v/>
      </c>
      <c r="P100" s="9">
        <f>Mecanismos!B6*(1-I100)</f>
        <v/>
      </c>
      <c r="Q100" s="9">
        <f>Mecanismos!B9*(1-G100)</f>
        <v/>
      </c>
      <c r="R100" s="9">
        <f>Mecanismos!B9*(1-J100)</f>
        <v/>
      </c>
      <c r="S100" s="9">
        <f>Mecanismos!B8*H100</f>
        <v/>
      </c>
      <c r="T100" s="9">
        <f>Mecanismos!B10*H100</f>
        <v/>
      </c>
      <c r="U100" s="9">
        <f>Mecanismos!B8*K100</f>
        <v/>
      </c>
      <c r="V100" s="9">
        <f>Mecanismos!B3*D100</f>
        <v/>
      </c>
      <c r="W100" s="9">
        <f>Parametros!B2+Parametros!B4*(S100+T100+U100+V100)-Parametros!B3*(L100+M100+N100+O100+P100+Q100+R100)</f>
        <v/>
      </c>
      <c r="X100" s="10">
        <f>1/(1+EXP(-W100))</f>
        <v/>
      </c>
      <c r="Y100" s="11">
        <f>IF(Parametros!B6=1,0.15+0.85*(1/(1+EXP(-8*((1-N100)-0.45)))),1)</f>
        <v/>
      </c>
      <c r="Z100" s="11">
        <f>IF(Parametros!B7=1,MAX(0.05,1-L100^1.6),1)</f>
        <v/>
      </c>
      <c r="AA100" s="11">
        <f>IF(Parametros!B8=1,0.2+0.8*(1/(1+EXP(-9*(S100-0.25)))),1)</f>
        <v/>
      </c>
      <c r="AB100" s="10">
        <f>X100*Y100*Z100*AA100</f>
        <v/>
      </c>
    </row>
    <row r="101">
      <c r="A101" t="inlineStr">
        <is>
          <t>fnffal</t>
        </is>
      </c>
      <c r="B101" t="inlineStr">
        <is>
          <t>Caroline da Conceição</t>
        </is>
      </c>
      <c r="C101" s="8" t="n">
        <v>0.4964</v>
      </c>
      <c r="D101" s="8" t="n">
        <v>0.4282</v>
      </c>
      <c r="E101" s="8" t="n">
        <v>0.4829</v>
      </c>
      <c r="F101" s="8" t="n">
        <v>0.4172</v>
      </c>
      <c r="G101" s="8" t="n">
        <v>0.4958</v>
      </c>
      <c r="H101" s="8" t="n">
        <v>0.6933</v>
      </c>
      <c r="I101" s="8" t="n">
        <v>0.5367</v>
      </c>
      <c r="J101" s="8" t="n">
        <v>0.5906</v>
      </c>
      <c r="K101" s="8" t="n">
        <v>0.7548</v>
      </c>
      <c r="L101" s="9">
        <f>1-(1-Mecanismos!B2)*(1-C101)</f>
        <v/>
      </c>
      <c r="M101" s="9">
        <f>Mecanismos!B7*D101</f>
        <v/>
      </c>
      <c r="N101" s="9">
        <f>Mecanismos!B4*(1-E101)</f>
        <v/>
      </c>
      <c r="O101" s="9">
        <f>Mecanismos!B5*(1-F101)</f>
        <v/>
      </c>
      <c r="P101" s="9">
        <f>Mecanismos!B6*(1-I101)</f>
        <v/>
      </c>
      <c r="Q101" s="9">
        <f>Mecanismos!B9*(1-G101)</f>
        <v/>
      </c>
      <c r="R101" s="9">
        <f>Mecanismos!B9*(1-J101)</f>
        <v/>
      </c>
      <c r="S101" s="9">
        <f>Mecanismos!B8*H101</f>
        <v/>
      </c>
      <c r="T101" s="9">
        <f>Mecanismos!B10*H101</f>
        <v/>
      </c>
      <c r="U101" s="9">
        <f>Mecanismos!B8*K101</f>
        <v/>
      </c>
      <c r="V101" s="9">
        <f>Mecanismos!B3*D101</f>
        <v/>
      </c>
      <c r="W101" s="9">
        <f>Parametros!B2+Parametros!B4*(S101+T101+U101+V101)-Parametros!B3*(L101+M101+N101+O101+P101+Q101+R101)</f>
        <v/>
      </c>
      <c r="X101" s="10">
        <f>1/(1+EXP(-W101))</f>
        <v/>
      </c>
      <c r="Y101" s="11">
        <f>IF(Parametros!B6=1,0.15+0.85*(1/(1+EXP(-8*((1-N101)-0.45)))),1)</f>
        <v/>
      </c>
      <c r="Z101" s="11">
        <f>IF(Parametros!B7=1,MAX(0.05,1-L101^1.6),1)</f>
        <v/>
      </c>
      <c r="AA101" s="11">
        <f>IF(Parametros!B8=1,0.2+0.8*(1/(1+EXP(-9*(S101-0.25)))),1)</f>
        <v/>
      </c>
      <c r="AB101" s="10">
        <f>X101*Y101*Z101*AA101</f>
        <v/>
      </c>
    </row>
    <row r="102">
      <c r="A102" t="inlineStr">
        <is>
          <t>eop7ha</t>
        </is>
      </c>
      <c r="B102" t="inlineStr">
        <is>
          <t>Cauã Correia</t>
        </is>
      </c>
      <c r="C102" s="8" t="n">
        <v>0.64</v>
      </c>
      <c r="D102" s="8" t="n">
        <v>0.3508</v>
      </c>
      <c r="E102" s="8" t="n">
        <v>0.5382</v>
      </c>
      <c r="F102" s="8" t="n">
        <v>0.6764</v>
      </c>
      <c r="G102" s="8" t="n">
        <v>0.5743</v>
      </c>
      <c r="H102" s="8" t="n">
        <v>0.6823</v>
      </c>
      <c r="I102" s="8" t="n">
        <v>0.2919</v>
      </c>
      <c r="J102" s="8" t="n">
        <v>0.678</v>
      </c>
      <c r="K102" s="8" t="n">
        <v>0.3115</v>
      </c>
      <c r="L102" s="9">
        <f>1-(1-Mecanismos!B2)*(1-C102)</f>
        <v/>
      </c>
      <c r="M102" s="9">
        <f>Mecanismos!B7*D102</f>
        <v/>
      </c>
      <c r="N102" s="9">
        <f>Mecanismos!B4*(1-E102)</f>
        <v/>
      </c>
      <c r="O102" s="9">
        <f>Mecanismos!B5*(1-F102)</f>
        <v/>
      </c>
      <c r="P102" s="9">
        <f>Mecanismos!B6*(1-I102)</f>
        <v/>
      </c>
      <c r="Q102" s="9">
        <f>Mecanismos!B9*(1-G102)</f>
        <v/>
      </c>
      <c r="R102" s="9">
        <f>Mecanismos!B9*(1-J102)</f>
        <v/>
      </c>
      <c r="S102" s="9">
        <f>Mecanismos!B8*H102</f>
        <v/>
      </c>
      <c r="T102" s="9">
        <f>Mecanismos!B10*H102</f>
        <v/>
      </c>
      <c r="U102" s="9">
        <f>Mecanismos!B8*K102</f>
        <v/>
      </c>
      <c r="V102" s="9">
        <f>Mecanismos!B3*D102</f>
        <v/>
      </c>
      <c r="W102" s="9">
        <f>Parametros!B2+Parametros!B4*(S102+T102+U102+V102)-Parametros!B3*(L102+M102+N102+O102+P102+Q102+R102)</f>
        <v/>
      </c>
      <c r="X102" s="10">
        <f>1/(1+EXP(-W102))</f>
        <v/>
      </c>
      <c r="Y102" s="11">
        <f>IF(Parametros!B6=1,0.15+0.85*(1/(1+EXP(-8*((1-N102)-0.45)))),1)</f>
        <v/>
      </c>
      <c r="Z102" s="11">
        <f>IF(Parametros!B7=1,MAX(0.05,1-L102^1.6),1)</f>
        <v/>
      </c>
      <c r="AA102" s="11">
        <f>IF(Parametros!B8=1,0.2+0.8*(1/(1+EXP(-9*(S102-0.25)))),1)</f>
        <v/>
      </c>
      <c r="AB102" s="10">
        <f>X102*Y102*Z102*AA102</f>
        <v/>
      </c>
    </row>
    <row r="103">
      <c r="A103" t="inlineStr">
        <is>
          <t>hm8e62</t>
        </is>
      </c>
      <c r="B103" t="inlineStr">
        <is>
          <t>Cauã Lopes</t>
        </is>
      </c>
      <c r="C103" s="8" t="n">
        <v>0.6294999999999999</v>
      </c>
      <c r="D103" s="8" t="n">
        <v>0.422</v>
      </c>
      <c r="E103" s="8" t="n">
        <v>0.4965</v>
      </c>
      <c r="F103" s="8" t="n">
        <v>0.4386</v>
      </c>
      <c r="G103" s="8" t="n">
        <v>0.708</v>
      </c>
      <c r="H103" s="8" t="n">
        <v>0.4626</v>
      </c>
      <c r="I103" s="8" t="n">
        <v>0.4827</v>
      </c>
      <c r="J103" s="8" t="n">
        <v>0.7683</v>
      </c>
      <c r="K103" s="8" t="n">
        <v>0.474</v>
      </c>
      <c r="L103" s="9">
        <f>1-(1-Mecanismos!B2)*(1-C103)</f>
        <v/>
      </c>
      <c r="M103" s="9">
        <f>Mecanismos!B7*D103</f>
        <v/>
      </c>
      <c r="N103" s="9">
        <f>Mecanismos!B4*(1-E103)</f>
        <v/>
      </c>
      <c r="O103" s="9">
        <f>Mecanismos!B5*(1-F103)</f>
        <v/>
      </c>
      <c r="P103" s="9">
        <f>Mecanismos!B6*(1-I103)</f>
        <v/>
      </c>
      <c r="Q103" s="9">
        <f>Mecanismos!B9*(1-G103)</f>
        <v/>
      </c>
      <c r="R103" s="9">
        <f>Mecanismos!B9*(1-J103)</f>
        <v/>
      </c>
      <c r="S103" s="9">
        <f>Mecanismos!B8*H103</f>
        <v/>
      </c>
      <c r="T103" s="9">
        <f>Mecanismos!B10*H103</f>
        <v/>
      </c>
      <c r="U103" s="9">
        <f>Mecanismos!B8*K103</f>
        <v/>
      </c>
      <c r="V103" s="9">
        <f>Mecanismos!B3*D103</f>
        <v/>
      </c>
      <c r="W103" s="9">
        <f>Parametros!B2+Parametros!B4*(S103+T103+U103+V103)-Parametros!B3*(L103+M103+N103+O103+P103+Q103+R103)</f>
        <v/>
      </c>
      <c r="X103" s="10">
        <f>1/(1+EXP(-W103))</f>
        <v/>
      </c>
      <c r="Y103" s="11">
        <f>IF(Parametros!B6=1,0.15+0.85*(1/(1+EXP(-8*((1-N103)-0.45)))),1)</f>
        <v/>
      </c>
      <c r="Z103" s="11">
        <f>IF(Parametros!B7=1,MAX(0.05,1-L103^1.6),1)</f>
        <v/>
      </c>
      <c r="AA103" s="11">
        <f>IF(Parametros!B8=1,0.2+0.8*(1/(1+EXP(-9*(S103-0.25)))),1)</f>
        <v/>
      </c>
      <c r="AB103" s="10">
        <f>X103*Y103*Z103*AA103</f>
        <v/>
      </c>
    </row>
    <row r="104">
      <c r="A104" t="inlineStr">
        <is>
          <t>ta2jtf</t>
        </is>
      </c>
      <c r="B104" t="inlineStr">
        <is>
          <t>Cauã Pacheco</t>
        </is>
      </c>
      <c r="C104" s="8" t="n">
        <v>0.5887</v>
      </c>
      <c r="D104" s="8" t="n">
        <v>0.5427999999999999</v>
      </c>
      <c r="E104" s="8" t="n">
        <v>0.5703</v>
      </c>
      <c r="F104" s="8" t="n">
        <v>0.7357</v>
      </c>
      <c r="G104" s="8" t="n">
        <v>0.6171</v>
      </c>
      <c r="H104" s="8" t="n">
        <v>0.3775</v>
      </c>
      <c r="I104" s="8" t="n">
        <v>0.7116</v>
      </c>
      <c r="J104" s="8" t="n">
        <v>0.7799</v>
      </c>
      <c r="K104" s="8" t="n">
        <v>0.3596</v>
      </c>
      <c r="L104" s="9">
        <f>1-(1-Mecanismos!B2)*(1-C104)</f>
        <v/>
      </c>
      <c r="M104" s="9">
        <f>Mecanismos!B7*D104</f>
        <v/>
      </c>
      <c r="N104" s="9">
        <f>Mecanismos!B4*(1-E104)</f>
        <v/>
      </c>
      <c r="O104" s="9">
        <f>Mecanismos!B5*(1-F104)</f>
        <v/>
      </c>
      <c r="P104" s="9">
        <f>Mecanismos!B6*(1-I104)</f>
        <v/>
      </c>
      <c r="Q104" s="9">
        <f>Mecanismos!B9*(1-G104)</f>
        <v/>
      </c>
      <c r="R104" s="9">
        <f>Mecanismos!B9*(1-J104)</f>
        <v/>
      </c>
      <c r="S104" s="9">
        <f>Mecanismos!B8*H104</f>
        <v/>
      </c>
      <c r="T104" s="9">
        <f>Mecanismos!B10*H104</f>
        <v/>
      </c>
      <c r="U104" s="9">
        <f>Mecanismos!B8*K104</f>
        <v/>
      </c>
      <c r="V104" s="9">
        <f>Mecanismos!B3*D104</f>
        <v/>
      </c>
      <c r="W104" s="9">
        <f>Parametros!B2+Parametros!B4*(S104+T104+U104+V104)-Parametros!B3*(L104+M104+N104+O104+P104+Q104+R104)</f>
        <v/>
      </c>
      <c r="X104" s="10">
        <f>1/(1+EXP(-W104))</f>
        <v/>
      </c>
      <c r="Y104" s="11">
        <f>IF(Parametros!B6=1,0.15+0.85*(1/(1+EXP(-8*((1-N104)-0.45)))),1)</f>
        <v/>
      </c>
      <c r="Z104" s="11">
        <f>IF(Parametros!B7=1,MAX(0.05,1-L104^1.6),1)</f>
        <v/>
      </c>
      <c r="AA104" s="11">
        <f>IF(Parametros!B8=1,0.2+0.8*(1/(1+EXP(-9*(S104-0.25)))),1)</f>
        <v/>
      </c>
      <c r="AB104" s="10">
        <f>X104*Y104*Z104*AA104</f>
        <v/>
      </c>
    </row>
    <row r="105">
      <c r="A105" t="inlineStr">
        <is>
          <t>08ohk4</t>
        </is>
      </c>
      <c r="B105" t="inlineStr">
        <is>
          <t>Cauã Pinto</t>
        </is>
      </c>
      <c r="C105" s="8" t="n">
        <v>0.5865</v>
      </c>
      <c r="D105" s="8" t="n">
        <v>0.5724</v>
      </c>
      <c r="E105" s="8" t="n">
        <v>0.3836</v>
      </c>
      <c r="F105" s="8" t="n">
        <v>0.5575</v>
      </c>
      <c r="G105" s="8" t="n">
        <v>0.5064</v>
      </c>
      <c r="H105" s="8" t="n">
        <v>0.6626</v>
      </c>
      <c r="I105" s="8" t="n">
        <v>0.7857</v>
      </c>
      <c r="J105" s="8" t="n">
        <v>0.7334000000000001</v>
      </c>
      <c r="K105" s="8" t="n">
        <v>0.5913</v>
      </c>
      <c r="L105" s="9">
        <f>1-(1-Mecanismos!B2)*(1-C105)</f>
        <v/>
      </c>
      <c r="M105" s="9">
        <f>Mecanismos!B7*D105</f>
        <v/>
      </c>
      <c r="N105" s="9">
        <f>Mecanismos!B4*(1-E105)</f>
        <v/>
      </c>
      <c r="O105" s="9">
        <f>Mecanismos!B5*(1-F105)</f>
        <v/>
      </c>
      <c r="P105" s="9">
        <f>Mecanismos!B6*(1-I105)</f>
        <v/>
      </c>
      <c r="Q105" s="9">
        <f>Mecanismos!B9*(1-G105)</f>
        <v/>
      </c>
      <c r="R105" s="9">
        <f>Mecanismos!B9*(1-J105)</f>
        <v/>
      </c>
      <c r="S105" s="9">
        <f>Mecanismos!B8*H105</f>
        <v/>
      </c>
      <c r="T105" s="9">
        <f>Mecanismos!B10*H105</f>
        <v/>
      </c>
      <c r="U105" s="9">
        <f>Mecanismos!B8*K105</f>
        <v/>
      </c>
      <c r="V105" s="9">
        <f>Mecanismos!B3*D105</f>
        <v/>
      </c>
      <c r="W105" s="9">
        <f>Parametros!B2+Parametros!B4*(S105+T105+U105+V105)-Parametros!B3*(L105+M105+N105+O105+P105+Q105+R105)</f>
        <v/>
      </c>
      <c r="X105" s="10">
        <f>1/(1+EXP(-W105))</f>
        <v/>
      </c>
      <c r="Y105" s="11">
        <f>IF(Parametros!B6=1,0.15+0.85*(1/(1+EXP(-8*((1-N105)-0.45)))),1)</f>
        <v/>
      </c>
      <c r="Z105" s="11">
        <f>IF(Parametros!B7=1,MAX(0.05,1-L105^1.6),1)</f>
        <v/>
      </c>
      <c r="AA105" s="11">
        <f>IF(Parametros!B8=1,0.2+0.8*(1/(1+EXP(-9*(S105-0.25)))),1)</f>
        <v/>
      </c>
      <c r="AB105" s="10">
        <f>X105*Y105*Z105*AA105</f>
        <v/>
      </c>
    </row>
    <row r="106">
      <c r="A106" t="inlineStr">
        <is>
          <t>g6qk2q</t>
        </is>
      </c>
      <c r="B106" t="inlineStr">
        <is>
          <t>Cauê Campos</t>
        </is>
      </c>
      <c r="C106" s="8" t="n">
        <v>0.7024</v>
      </c>
      <c r="D106" s="8" t="n">
        <v>0.6863</v>
      </c>
      <c r="E106" s="8" t="n">
        <v>0.3917</v>
      </c>
      <c r="F106" s="8" t="n">
        <v>0.5658</v>
      </c>
      <c r="G106" s="8" t="n">
        <v>0.7193000000000001</v>
      </c>
      <c r="H106" s="8" t="n">
        <v>0.5657</v>
      </c>
      <c r="I106" s="8" t="n">
        <v>0.5723</v>
      </c>
      <c r="J106" s="8" t="n">
        <v>0.9051</v>
      </c>
      <c r="K106" s="8" t="n">
        <v>0.7366</v>
      </c>
      <c r="L106" s="9">
        <f>1-(1-Mecanismos!B2)*(1-C106)</f>
        <v/>
      </c>
      <c r="M106" s="9">
        <f>Mecanismos!B7*D106</f>
        <v/>
      </c>
      <c r="N106" s="9">
        <f>Mecanismos!B4*(1-E106)</f>
        <v/>
      </c>
      <c r="O106" s="9">
        <f>Mecanismos!B5*(1-F106)</f>
        <v/>
      </c>
      <c r="P106" s="9">
        <f>Mecanismos!B6*(1-I106)</f>
        <v/>
      </c>
      <c r="Q106" s="9">
        <f>Mecanismos!B9*(1-G106)</f>
        <v/>
      </c>
      <c r="R106" s="9">
        <f>Mecanismos!B9*(1-J106)</f>
        <v/>
      </c>
      <c r="S106" s="9">
        <f>Mecanismos!B8*H106</f>
        <v/>
      </c>
      <c r="T106" s="9">
        <f>Mecanismos!B10*H106</f>
        <v/>
      </c>
      <c r="U106" s="9">
        <f>Mecanismos!B8*K106</f>
        <v/>
      </c>
      <c r="V106" s="9">
        <f>Mecanismos!B3*D106</f>
        <v/>
      </c>
      <c r="W106" s="9">
        <f>Parametros!B2+Parametros!B4*(S106+T106+U106+V106)-Parametros!B3*(L106+M106+N106+O106+P106+Q106+R106)</f>
        <v/>
      </c>
      <c r="X106" s="10">
        <f>1/(1+EXP(-W106))</f>
        <v/>
      </c>
      <c r="Y106" s="11">
        <f>IF(Parametros!B6=1,0.15+0.85*(1/(1+EXP(-8*((1-N106)-0.45)))),1)</f>
        <v/>
      </c>
      <c r="Z106" s="11">
        <f>IF(Parametros!B7=1,MAX(0.05,1-L106^1.6),1)</f>
        <v/>
      </c>
      <c r="AA106" s="11">
        <f>IF(Parametros!B8=1,0.2+0.8*(1/(1+EXP(-9*(S106-0.25)))),1)</f>
        <v/>
      </c>
      <c r="AB106" s="10">
        <f>X106*Y106*Z106*AA106</f>
        <v/>
      </c>
    </row>
    <row r="107">
      <c r="A107" t="inlineStr">
        <is>
          <t>3g0zik</t>
        </is>
      </c>
      <c r="B107" t="inlineStr">
        <is>
          <t>Cecilia Araújo</t>
        </is>
      </c>
      <c r="C107" s="8" t="n">
        <v>0.6291</v>
      </c>
      <c r="D107" s="8" t="n">
        <v>0.4087</v>
      </c>
      <c r="E107" s="8" t="n">
        <v>0.5292</v>
      </c>
      <c r="F107" s="8" t="n">
        <v>0.4353</v>
      </c>
      <c r="G107" s="8" t="n">
        <v>0.2516</v>
      </c>
      <c r="H107" s="8" t="n">
        <v>0.553</v>
      </c>
      <c r="I107" s="8" t="n">
        <v>0.3762</v>
      </c>
      <c r="J107" s="8" t="n">
        <v>0.5562</v>
      </c>
      <c r="K107" s="8" t="n">
        <v>0.3464</v>
      </c>
      <c r="L107" s="9">
        <f>1-(1-Mecanismos!B2)*(1-C107)</f>
        <v/>
      </c>
      <c r="M107" s="9">
        <f>Mecanismos!B7*D107</f>
        <v/>
      </c>
      <c r="N107" s="9">
        <f>Mecanismos!B4*(1-E107)</f>
        <v/>
      </c>
      <c r="O107" s="9">
        <f>Mecanismos!B5*(1-F107)</f>
        <v/>
      </c>
      <c r="P107" s="9">
        <f>Mecanismos!B6*(1-I107)</f>
        <v/>
      </c>
      <c r="Q107" s="9">
        <f>Mecanismos!B9*(1-G107)</f>
        <v/>
      </c>
      <c r="R107" s="9">
        <f>Mecanismos!B9*(1-J107)</f>
        <v/>
      </c>
      <c r="S107" s="9">
        <f>Mecanismos!B8*H107</f>
        <v/>
      </c>
      <c r="T107" s="9">
        <f>Mecanismos!B10*H107</f>
        <v/>
      </c>
      <c r="U107" s="9">
        <f>Mecanismos!B8*K107</f>
        <v/>
      </c>
      <c r="V107" s="9">
        <f>Mecanismos!B3*D107</f>
        <v/>
      </c>
      <c r="W107" s="9">
        <f>Parametros!B2+Parametros!B4*(S107+T107+U107+V107)-Parametros!B3*(L107+M107+N107+O107+P107+Q107+R107)</f>
        <v/>
      </c>
      <c r="X107" s="10">
        <f>1/(1+EXP(-W107))</f>
        <v/>
      </c>
      <c r="Y107" s="11">
        <f>IF(Parametros!B6=1,0.15+0.85*(1/(1+EXP(-8*((1-N107)-0.45)))),1)</f>
        <v/>
      </c>
      <c r="Z107" s="11">
        <f>IF(Parametros!B7=1,MAX(0.05,1-L107^1.6),1)</f>
        <v/>
      </c>
      <c r="AA107" s="11">
        <f>IF(Parametros!B8=1,0.2+0.8*(1/(1+EXP(-9*(S107-0.25)))),1)</f>
        <v/>
      </c>
      <c r="AB107" s="10">
        <f>X107*Y107*Z107*AA107</f>
        <v/>
      </c>
    </row>
    <row r="108">
      <c r="A108" t="inlineStr">
        <is>
          <t>q7zwtr</t>
        </is>
      </c>
      <c r="B108" t="inlineStr">
        <is>
          <t>Cecília Gonçalves</t>
        </is>
      </c>
      <c r="C108" s="8" t="n">
        <v>0.6387</v>
      </c>
      <c r="D108" s="8" t="n">
        <v>0.6046</v>
      </c>
      <c r="E108" s="8" t="n">
        <v>0.5342</v>
      </c>
      <c r="F108" s="8" t="n">
        <v>0.7019</v>
      </c>
      <c r="G108" s="8" t="n">
        <v>0.7594</v>
      </c>
      <c r="H108" s="8" t="n">
        <v>0.6435999999999999</v>
      </c>
      <c r="I108" s="8" t="n">
        <v>0.6599</v>
      </c>
      <c r="J108" s="8" t="n">
        <v>0.7785</v>
      </c>
      <c r="K108" s="8" t="n">
        <v>0.4918</v>
      </c>
      <c r="L108" s="9">
        <f>1-(1-Mecanismos!B2)*(1-C108)</f>
        <v/>
      </c>
      <c r="M108" s="9">
        <f>Mecanismos!B7*D108</f>
        <v/>
      </c>
      <c r="N108" s="9">
        <f>Mecanismos!B4*(1-E108)</f>
        <v/>
      </c>
      <c r="O108" s="9">
        <f>Mecanismos!B5*(1-F108)</f>
        <v/>
      </c>
      <c r="P108" s="9">
        <f>Mecanismos!B6*(1-I108)</f>
        <v/>
      </c>
      <c r="Q108" s="9">
        <f>Mecanismos!B9*(1-G108)</f>
        <v/>
      </c>
      <c r="R108" s="9">
        <f>Mecanismos!B9*(1-J108)</f>
        <v/>
      </c>
      <c r="S108" s="9">
        <f>Mecanismos!B8*H108</f>
        <v/>
      </c>
      <c r="T108" s="9">
        <f>Mecanismos!B10*H108</f>
        <v/>
      </c>
      <c r="U108" s="9">
        <f>Mecanismos!B8*K108</f>
        <v/>
      </c>
      <c r="V108" s="9">
        <f>Mecanismos!B3*D108</f>
        <v/>
      </c>
      <c r="W108" s="9">
        <f>Parametros!B2+Parametros!B4*(S108+T108+U108+V108)-Parametros!B3*(L108+M108+N108+O108+P108+Q108+R108)</f>
        <v/>
      </c>
      <c r="X108" s="10">
        <f>1/(1+EXP(-W108))</f>
        <v/>
      </c>
      <c r="Y108" s="11">
        <f>IF(Parametros!B6=1,0.15+0.85*(1/(1+EXP(-8*((1-N108)-0.45)))),1)</f>
        <v/>
      </c>
      <c r="Z108" s="11">
        <f>IF(Parametros!B7=1,MAX(0.05,1-L108^1.6),1)</f>
        <v/>
      </c>
      <c r="AA108" s="11">
        <f>IF(Parametros!B8=1,0.2+0.8*(1/(1+EXP(-9*(S108-0.25)))),1)</f>
        <v/>
      </c>
      <c r="AB108" s="10">
        <f>X108*Y108*Z108*AA108</f>
        <v/>
      </c>
    </row>
    <row r="109">
      <c r="A109" t="inlineStr">
        <is>
          <t>u2y01b</t>
        </is>
      </c>
      <c r="B109" t="inlineStr">
        <is>
          <t>Clara Castro</t>
        </is>
      </c>
      <c r="C109" s="8" t="n">
        <v>0.5165999999999999</v>
      </c>
      <c r="D109" s="8" t="n">
        <v>0.6372</v>
      </c>
      <c r="E109" s="8" t="n">
        <v>0.7301</v>
      </c>
      <c r="F109" s="8" t="n">
        <v>0.5935</v>
      </c>
      <c r="G109" s="8" t="n">
        <v>0.5023</v>
      </c>
      <c r="H109" s="8" t="n">
        <v>0.6415999999999999</v>
      </c>
      <c r="I109" s="8" t="n">
        <v>0.6261</v>
      </c>
      <c r="J109" s="8" t="n">
        <v>0.6717</v>
      </c>
      <c r="K109" s="8" t="n">
        <v>0.761</v>
      </c>
      <c r="L109" s="9">
        <f>1-(1-Mecanismos!B2)*(1-C109)</f>
        <v/>
      </c>
      <c r="M109" s="9">
        <f>Mecanismos!B7*D109</f>
        <v/>
      </c>
      <c r="N109" s="9">
        <f>Mecanismos!B4*(1-E109)</f>
        <v/>
      </c>
      <c r="O109" s="9">
        <f>Mecanismos!B5*(1-F109)</f>
        <v/>
      </c>
      <c r="P109" s="9">
        <f>Mecanismos!B6*(1-I109)</f>
        <v/>
      </c>
      <c r="Q109" s="9">
        <f>Mecanismos!B9*(1-G109)</f>
        <v/>
      </c>
      <c r="R109" s="9">
        <f>Mecanismos!B9*(1-J109)</f>
        <v/>
      </c>
      <c r="S109" s="9">
        <f>Mecanismos!B8*H109</f>
        <v/>
      </c>
      <c r="T109" s="9">
        <f>Mecanismos!B10*H109</f>
        <v/>
      </c>
      <c r="U109" s="9">
        <f>Mecanismos!B8*K109</f>
        <v/>
      </c>
      <c r="V109" s="9">
        <f>Mecanismos!B3*D109</f>
        <v/>
      </c>
      <c r="W109" s="9">
        <f>Parametros!B2+Parametros!B4*(S109+T109+U109+V109)-Parametros!B3*(L109+M109+N109+O109+P109+Q109+R109)</f>
        <v/>
      </c>
      <c r="X109" s="10">
        <f>1/(1+EXP(-W109))</f>
        <v/>
      </c>
      <c r="Y109" s="11">
        <f>IF(Parametros!B6=1,0.15+0.85*(1/(1+EXP(-8*((1-N109)-0.45)))),1)</f>
        <v/>
      </c>
      <c r="Z109" s="11">
        <f>IF(Parametros!B7=1,MAX(0.05,1-L109^1.6),1)</f>
        <v/>
      </c>
      <c r="AA109" s="11">
        <f>IF(Parametros!B8=1,0.2+0.8*(1/(1+EXP(-9*(S109-0.25)))),1)</f>
        <v/>
      </c>
      <c r="AB109" s="10">
        <f>X109*Y109*Z109*AA109</f>
        <v/>
      </c>
    </row>
    <row r="110">
      <c r="A110" t="inlineStr">
        <is>
          <t>2sz6sw</t>
        </is>
      </c>
      <c r="B110" t="inlineStr">
        <is>
          <t>Clara Gonçalves</t>
        </is>
      </c>
      <c r="C110" s="8" t="n">
        <v>0.8605</v>
      </c>
      <c r="D110" s="8" t="n">
        <v>0.4801</v>
      </c>
      <c r="E110" s="8" t="n">
        <v>0.5770999999999999</v>
      </c>
      <c r="F110" s="8" t="n">
        <v>0.1382</v>
      </c>
      <c r="G110" s="8" t="n">
        <v>0.2748</v>
      </c>
      <c r="H110" s="8" t="n">
        <v>0.4693</v>
      </c>
      <c r="I110" s="8" t="n">
        <v>0.2221</v>
      </c>
      <c r="J110" s="8" t="n">
        <v>0.4848</v>
      </c>
      <c r="K110" s="8" t="n">
        <v>0.6083</v>
      </c>
      <c r="L110" s="9">
        <f>1-(1-Mecanismos!B2)*(1-C110)</f>
        <v/>
      </c>
      <c r="M110" s="9">
        <f>Mecanismos!B7*D110</f>
        <v/>
      </c>
      <c r="N110" s="9">
        <f>Mecanismos!B4*(1-E110)</f>
        <v/>
      </c>
      <c r="O110" s="9">
        <f>Mecanismos!B5*(1-F110)</f>
        <v/>
      </c>
      <c r="P110" s="9">
        <f>Mecanismos!B6*(1-I110)</f>
        <v/>
      </c>
      <c r="Q110" s="9">
        <f>Mecanismos!B9*(1-G110)</f>
        <v/>
      </c>
      <c r="R110" s="9">
        <f>Mecanismos!B9*(1-J110)</f>
        <v/>
      </c>
      <c r="S110" s="9">
        <f>Mecanismos!B8*H110</f>
        <v/>
      </c>
      <c r="T110" s="9">
        <f>Mecanismos!B10*H110</f>
        <v/>
      </c>
      <c r="U110" s="9">
        <f>Mecanismos!B8*K110</f>
        <v/>
      </c>
      <c r="V110" s="9">
        <f>Mecanismos!B3*D110</f>
        <v/>
      </c>
      <c r="W110" s="9">
        <f>Parametros!B2+Parametros!B4*(S110+T110+U110+V110)-Parametros!B3*(L110+M110+N110+O110+P110+Q110+R110)</f>
        <v/>
      </c>
      <c r="X110" s="10">
        <f>1/(1+EXP(-W110))</f>
        <v/>
      </c>
      <c r="Y110" s="11">
        <f>IF(Parametros!B6=1,0.15+0.85*(1/(1+EXP(-8*((1-N110)-0.45)))),1)</f>
        <v/>
      </c>
      <c r="Z110" s="11">
        <f>IF(Parametros!B7=1,MAX(0.05,1-L110^1.6),1)</f>
        <v/>
      </c>
      <c r="AA110" s="11">
        <f>IF(Parametros!B8=1,0.2+0.8*(1/(1+EXP(-9*(S110-0.25)))),1)</f>
        <v/>
      </c>
      <c r="AB110" s="10">
        <f>X110*Y110*Z110*AA110</f>
        <v/>
      </c>
    </row>
    <row r="111">
      <c r="A111" t="inlineStr">
        <is>
          <t>h9koao</t>
        </is>
      </c>
      <c r="B111" t="inlineStr">
        <is>
          <t>Clara Nogueira</t>
        </is>
      </c>
      <c r="C111" s="8" t="n">
        <v>0.7727000000000001</v>
      </c>
      <c r="D111" s="8" t="n">
        <v>0.3667</v>
      </c>
      <c r="E111" s="8" t="n">
        <v>0.7867</v>
      </c>
      <c r="F111" s="8" t="n">
        <v>0.502</v>
      </c>
      <c r="G111" s="8" t="n">
        <v>0.4389</v>
      </c>
      <c r="H111" s="8" t="n">
        <v>0.7638</v>
      </c>
      <c r="I111" s="8" t="n">
        <v>0.2257</v>
      </c>
      <c r="J111" s="8" t="n">
        <v>0.6062</v>
      </c>
      <c r="K111" s="8" t="n">
        <v>0.6345</v>
      </c>
      <c r="L111" s="9">
        <f>1-(1-Mecanismos!B2)*(1-C111)</f>
        <v/>
      </c>
      <c r="M111" s="9">
        <f>Mecanismos!B7*D111</f>
        <v/>
      </c>
      <c r="N111" s="9">
        <f>Mecanismos!B4*(1-E111)</f>
        <v/>
      </c>
      <c r="O111" s="9">
        <f>Mecanismos!B5*(1-F111)</f>
        <v/>
      </c>
      <c r="P111" s="9">
        <f>Mecanismos!B6*(1-I111)</f>
        <v/>
      </c>
      <c r="Q111" s="9">
        <f>Mecanismos!B9*(1-G111)</f>
        <v/>
      </c>
      <c r="R111" s="9">
        <f>Mecanismos!B9*(1-J111)</f>
        <v/>
      </c>
      <c r="S111" s="9">
        <f>Mecanismos!B8*H111</f>
        <v/>
      </c>
      <c r="T111" s="9">
        <f>Mecanismos!B10*H111</f>
        <v/>
      </c>
      <c r="U111" s="9">
        <f>Mecanismos!B8*K111</f>
        <v/>
      </c>
      <c r="V111" s="9">
        <f>Mecanismos!B3*D111</f>
        <v/>
      </c>
      <c r="W111" s="9">
        <f>Parametros!B2+Parametros!B4*(S111+T111+U111+V111)-Parametros!B3*(L111+M111+N111+O111+P111+Q111+R111)</f>
        <v/>
      </c>
      <c r="X111" s="10">
        <f>1/(1+EXP(-W111))</f>
        <v/>
      </c>
      <c r="Y111" s="11">
        <f>IF(Parametros!B6=1,0.15+0.85*(1/(1+EXP(-8*((1-N111)-0.45)))),1)</f>
        <v/>
      </c>
      <c r="Z111" s="11">
        <f>IF(Parametros!B7=1,MAX(0.05,1-L111^1.6),1)</f>
        <v/>
      </c>
      <c r="AA111" s="11">
        <f>IF(Parametros!B8=1,0.2+0.8*(1/(1+EXP(-9*(S111-0.25)))),1)</f>
        <v/>
      </c>
      <c r="AB111" s="10">
        <f>X111*Y111*Z111*AA111</f>
        <v/>
      </c>
    </row>
    <row r="112">
      <c r="A112" t="inlineStr">
        <is>
          <t>l84h9q</t>
        </is>
      </c>
      <c r="B112" t="inlineStr">
        <is>
          <t>Clara Siqueira</t>
        </is>
      </c>
      <c r="C112" s="8" t="n">
        <v>0.6395</v>
      </c>
      <c r="D112" s="8" t="n">
        <v>0.4368</v>
      </c>
      <c r="E112" s="8" t="n">
        <v>0.7589</v>
      </c>
      <c r="F112" s="8" t="n">
        <v>0.6509</v>
      </c>
      <c r="G112" s="8" t="n">
        <v>0.4289</v>
      </c>
      <c r="H112" s="8" t="n">
        <v>0.7392</v>
      </c>
      <c r="I112" s="8" t="n">
        <v>0.3839</v>
      </c>
      <c r="J112" s="8" t="n">
        <v>0.7588</v>
      </c>
      <c r="K112" s="8" t="n">
        <v>0.3103</v>
      </c>
      <c r="L112" s="9">
        <f>1-(1-Mecanismos!B2)*(1-C112)</f>
        <v/>
      </c>
      <c r="M112" s="9">
        <f>Mecanismos!B7*D112</f>
        <v/>
      </c>
      <c r="N112" s="9">
        <f>Mecanismos!B4*(1-E112)</f>
        <v/>
      </c>
      <c r="O112" s="9">
        <f>Mecanismos!B5*(1-F112)</f>
        <v/>
      </c>
      <c r="P112" s="9">
        <f>Mecanismos!B6*(1-I112)</f>
        <v/>
      </c>
      <c r="Q112" s="9">
        <f>Mecanismos!B9*(1-G112)</f>
        <v/>
      </c>
      <c r="R112" s="9">
        <f>Mecanismos!B9*(1-J112)</f>
        <v/>
      </c>
      <c r="S112" s="9">
        <f>Mecanismos!B8*H112</f>
        <v/>
      </c>
      <c r="T112" s="9">
        <f>Mecanismos!B10*H112</f>
        <v/>
      </c>
      <c r="U112" s="9">
        <f>Mecanismos!B8*K112</f>
        <v/>
      </c>
      <c r="V112" s="9">
        <f>Mecanismos!B3*D112</f>
        <v/>
      </c>
      <c r="W112" s="9">
        <f>Parametros!B2+Parametros!B4*(S112+T112+U112+V112)-Parametros!B3*(L112+M112+N112+O112+P112+Q112+R112)</f>
        <v/>
      </c>
      <c r="X112" s="10">
        <f>1/(1+EXP(-W112))</f>
        <v/>
      </c>
      <c r="Y112" s="11">
        <f>IF(Parametros!B6=1,0.15+0.85*(1/(1+EXP(-8*((1-N112)-0.45)))),1)</f>
        <v/>
      </c>
      <c r="Z112" s="11">
        <f>IF(Parametros!B7=1,MAX(0.05,1-L112^1.6),1)</f>
        <v/>
      </c>
      <c r="AA112" s="11">
        <f>IF(Parametros!B8=1,0.2+0.8*(1/(1+EXP(-9*(S112-0.25)))),1)</f>
        <v/>
      </c>
      <c r="AB112" s="10">
        <f>X112*Y112*Z112*AA112</f>
        <v/>
      </c>
    </row>
    <row r="113">
      <c r="A113" t="inlineStr">
        <is>
          <t>hkmgw0</t>
        </is>
      </c>
      <c r="B113" t="inlineStr">
        <is>
          <t>Clara da Paz</t>
        </is>
      </c>
      <c r="C113" s="8" t="n">
        <v>0.448</v>
      </c>
      <c r="D113" s="8" t="n">
        <v>0.4333</v>
      </c>
      <c r="E113" s="8" t="n">
        <v>0.5187</v>
      </c>
      <c r="F113" s="8" t="n">
        <v>0.6456</v>
      </c>
      <c r="G113" s="8" t="n">
        <v>0.3267</v>
      </c>
      <c r="H113" s="8" t="n">
        <v>0.7537</v>
      </c>
      <c r="I113" s="8" t="n">
        <v>0.7719</v>
      </c>
      <c r="J113" s="8" t="n">
        <v>0.8493000000000001</v>
      </c>
      <c r="K113" s="8" t="n">
        <v>0.7020999999999999</v>
      </c>
      <c r="L113" s="9">
        <f>1-(1-Mecanismos!B2)*(1-C113)</f>
        <v/>
      </c>
      <c r="M113" s="9">
        <f>Mecanismos!B7*D113</f>
        <v/>
      </c>
      <c r="N113" s="9">
        <f>Mecanismos!B4*(1-E113)</f>
        <v/>
      </c>
      <c r="O113" s="9">
        <f>Mecanismos!B5*(1-F113)</f>
        <v/>
      </c>
      <c r="P113" s="9">
        <f>Mecanismos!B6*(1-I113)</f>
        <v/>
      </c>
      <c r="Q113" s="9">
        <f>Mecanismos!B9*(1-G113)</f>
        <v/>
      </c>
      <c r="R113" s="9">
        <f>Mecanismos!B9*(1-J113)</f>
        <v/>
      </c>
      <c r="S113" s="9">
        <f>Mecanismos!B8*H113</f>
        <v/>
      </c>
      <c r="T113" s="9">
        <f>Mecanismos!B10*H113</f>
        <v/>
      </c>
      <c r="U113" s="9">
        <f>Mecanismos!B8*K113</f>
        <v/>
      </c>
      <c r="V113" s="9">
        <f>Mecanismos!B3*D113</f>
        <v/>
      </c>
      <c r="W113" s="9">
        <f>Parametros!B2+Parametros!B4*(S113+T113+U113+V113)-Parametros!B3*(L113+M113+N113+O113+P113+Q113+R113)</f>
        <v/>
      </c>
      <c r="X113" s="10">
        <f>1/(1+EXP(-W113))</f>
        <v/>
      </c>
      <c r="Y113" s="11">
        <f>IF(Parametros!B6=1,0.15+0.85*(1/(1+EXP(-8*((1-N113)-0.45)))),1)</f>
        <v/>
      </c>
      <c r="Z113" s="11">
        <f>IF(Parametros!B7=1,MAX(0.05,1-L113^1.6),1)</f>
        <v/>
      </c>
      <c r="AA113" s="11">
        <f>IF(Parametros!B8=1,0.2+0.8*(1/(1+EXP(-9*(S113-0.25)))),1)</f>
        <v/>
      </c>
      <c r="AB113" s="10">
        <f>X113*Y113*Z113*AA113</f>
        <v/>
      </c>
    </row>
    <row r="114">
      <c r="A114" t="inlineStr">
        <is>
          <t>8go182</t>
        </is>
      </c>
      <c r="B114" t="inlineStr">
        <is>
          <t>Clarice Almeida</t>
        </is>
      </c>
      <c r="C114" s="8" t="n">
        <v>0.4919</v>
      </c>
      <c r="D114" s="8" t="n">
        <v>0.4602</v>
      </c>
      <c r="E114" s="8" t="n">
        <v>0.6051</v>
      </c>
      <c r="F114" s="8" t="n">
        <v>0.3332</v>
      </c>
      <c r="G114" s="8" t="n">
        <v>0.417</v>
      </c>
      <c r="H114" s="8" t="n">
        <v>0.3693</v>
      </c>
      <c r="I114" s="8" t="n">
        <v>0.4793</v>
      </c>
      <c r="J114" s="8" t="n">
        <v>0.7324000000000001</v>
      </c>
      <c r="K114" s="8" t="n">
        <v>0.5125999999999999</v>
      </c>
      <c r="L114" s="9">
        <f>1-(1-Mecanismos!B2)*(1-C114)</f>
        <v/>
      </c>
      <c r="M114" s="9">
        <f>Mecanismos!B7*D114</f>
        <v/>
      </c>
      <c r="N114" s="9">
        <f>Mecanismos!B4*(1-E114)</f>
        <v/>
      </c>
      <c r="O114" s="9">
        <f>Mecanismos!B5*(1-F114)</f>
        <v/>
      </c>
      <c r="P114" s="9">
        <f>Mecanismos!B6*(1-I114)</f>
        <v/>
      </c>
      <c r="Q114" s="9">
        <f>Mecanismos!B9*(1-G114)</f>
        <v/>
      </c>
      <c r="R114" s="9">
        <f>Mecanismos!B9*(1-J114)</f>
        <v/>
      </c>
      <c r="S114" s="9">
        <f>Mecanismos!B8*H114</f>
        <v/>
      </c>
      <c r="T114" s="9">
        <f>Mecanismos!B10*H114</f>
        <v/>
      </c>
      <c r="U114" s="9">
        <f>Mecanismos!B8*K114</f>
        <v/>
      </c>
      <c r="V114" s="9">
        <f>Mecanismos!B3*D114</f>
        <v/>
      </c>
      <c r="W114" s="9">
        <f>Parametros!B2+Parametros!B4*(S114+T114+U114+V114)-Parametros!B3*(L114+M114+N114+O114+P114+Q114+R114)</f>
        <v/>
      </c>
      <c r="X114" s="10">
        <f>1/(1+EXP(-W114))</f>
        <v/>
      </c>
      <c r="Y114" s="11">
        <f>IF(Parametros!B6=1,0.15+0.85*(1/(1+EXP(-8*((1-N114)-0.45)))),1)</f>
        <v/>
      </c>
      <c r="Z114" s="11">
        <f>IF(Parametros!B7=1,MAX(0.05,1-L114^1.6),1)</f>
        <v/>
      </c>
      <c r="AA114" s="11">
        <f>IF(Parametros!B8=1,0.2+0.8*(1/(1+EXP(-9*(S114-0.25)))),1)</f>
        <v/>
      </c>
      <c r="AB114" s="10">
        <f>X114*Y114*Z114*AA114</f>
        <v/>
      </c>
    </row>
    <row r="115">
      <c r="A115" t="inlineStr">
        <is>
          <t>u60xh1</t>
        </is>
      </c>
      <c r="B115" t="inlineStr">
        <is>
          <t>Clarice Pinto</t>
        </is>
      </c>
      <c r="C115" s="8" t="n">
        <v>0.7234</v>
      </c>
      <c r="D115" s="8" t="n">
        <v>0.6528</v>
      </c>
      <c r="E115" s="8" t="n">
        <v>0.6895</v>
      </c>
      <c r="F115" s="8" t="n">
        <v>0.7274</v>
      </c>
      <c r="G115" s="8" t="n">
        <v>0.3781</v>
      </c>
      <c r="H115" s="8" t="n">
        <v>0.7487</v>
      </c>
      <c r="I115" s="8" t="n">
        <v>0.5124</v>
      </c>
      <c r="J115" s="8" t="n">
        <v>0.7665</v>
      </c>
      <c r="K115" s="8" t="n">
        <v>0.4474</v>
      </c>
      <c r="L115" s="9">
        <f>1-(1-Mecanismos!B2)*(1-C115)</f>
        <v/>
      </c>
      <c r="M115" s="9">
        <f>Mecanismos!B7*D115</f>
        <v/>
      </c>
      <c r="N115" s="9">
        <f>Mecanismos!B4*(1-E115)</f>
        <v/>
      </c>
      <c r="O115" s="9">
        <f>Mecanismos!B5*(1-F115)</f>
        <v/>
      </c>
      <c r="P115" s="9">
        <f>Mecanismos!B6*(1-I115)</f>
        <v/>
      </c>
      <c r="Q115" s="9">
        <f>Mecanismos!B9*(1-G115)</f>
        <v/>
      </c>
      <c r="R115" s="9">
        <f>Mecanismos!B9*(1-J115)</f>
        <v/>
      </c>
      <c r="S115" s="9">
        <f>Mecanismos!B8*H115</f>
        <v/>
      </c>
      <c r="T115" s="9">
        <f>Mecanismos!B10*H115</f>
        <v/>
      </c>
      <c r="U115" s="9">
        <f>Mecanismos!B8*K115</f>
        <v/>
      </c>
      <c r="V115" s="9">
        <f>Mecanismos!B3*D115</f>
        <v/>
      </c>
      <c r="W115" s="9">
        <f>Parametros!B2+Parametros!B4*(S115+T115+U115+V115)-Parametros!B3*(L115+M115+N115+O115+P115+Q115+R115)</f>
        <v/>
      </c>
      <c r="X115" s="10">
        <f>1/(1+EXP(-W115))</f>
        <v/>
      </c>
      <c r="Y115" s="11">
        <f>IF(Parametros!B6=1,0.15+0.85*(1/(1+EXP(-8*((1-N115)-0.45)))),1)</f>
        <v/>
      </c>
      <c r="Z115" s="11">
        <f>IF(Parametros!B7=1,MAX(0.05,1-L115^1.6),1)</f>
        <v/>
      </c>
      <c r="AA115" s="11">
        <f>IF(Parametros!B8=1,0.2+0.8*(1/(1+EXP(-9*(S115-0.25)))),1)</f>
        <v/>
      </c>
      <c r="AB115" s="10">
        <f>X115*Y115*Z115*AA115</f>
        <v/>
      </c>
    </row>
    <row r="116">
      <c r="A116" t="inlineStr">
        <is>
          <t>146hvo</t>
        </is>
      </c>
      <c r="B116" t="inlineStr">
        <is>
          <t>Daniel da Paz</t>
        </is>
      </c>
      <c r="C116" s="8" t="n">
        <v>0.7484</v>
      </c>
      <c r="D116" s="8" t="n">
        <v>0.5135</v>
      </c>
      <c r="E116" s="8" t="n">
        <v>0.6583</v>
      </c>
      <c r="F116" s="8" t="n">
        <v>0.2807</v>
      </c>
      <c r="G116" s="8" t="n">
        <v>0.2516</v>
      </c>
      <c r="H116" s="8" t="n">
        <v>0.5736</v>
      </c>
      <c r="I116" s="8" t="n">
        <v>0.1599</v>
      </c>
      <c r="J116" s="8" t="n">
        <v>0.5088</v>
      </c>
      <c r="K116" s="8" t="n">
        <v>0.6319</v>
      </c>
      <c r="L116" s="9">
        <f>1-(1-Mecanismos!B2)*(1-C116)</f>
        <v/>
      </c>
      <c r="M116" s="9">
        <f>Mecanismos!B7*D116</f>
        <v/>
      </c>
      <c r="N116" s="9">
        <f>Mecanismos!B4*(1-E116)</f>
        <v/>
      </c>
      <c r="O116" s="9">
        <f>Mecanismos!B5*(1-F116)</f>
        <v/>
      </c>
      <c r="P116" s="9">
        <f>Mecanismos!B6*(1-I116)</f>
        <v/>
      </c>
      <c r="Q116" s="9">
        <f>Mecanismos!B9*(1-G116)</f>
        <v/>
      </c>
      <c r="R116" s="9">
        <f>Mecanismos!B9*(1-J116)</f>
        <v/>
      </c>
      <c r="S116" s="9">
        <f>Mecanismos!B8*H116</f>
        <v/>
      </c>
      <c r="T116" s="9">
        <f>Mecanismos!B10*H116</f>
        <v/>
      </c>
      <c r="U116" s="9">
        <f>Mecanismos!B8*K116</f>
        <v/>
      </c>
      <c r="V116" s="9">
        <f>Mecanismos!B3*D116</f>
        <v/>
      </c>
      <c r="W116" s="9">
        <f>Parametros!B2+Parametros!B4*(S116+T116+U116+V116)-Parametros!B3*(L116+M116+N116+O116+P116+Q116+R116)</f>
        <v/>
      </c>
      <c r="X116" s="10">
        <f>1/(1+EXP(-W116))</f>
        <v/>
      </c>
      <c r="Y116" s="11">
        <f>IF(Parametros!B6=1,0.15+0.85*(1/(1+EXP(-8*((1-N116)-0.45)))),1)</f>
        <v/>
      </c>
      <c r="Z116" s="11">
        <f>IF(Parametros!B7=1,MAX(0.05,1-L116^1.6),1)</f>
        <v/>
      </c>
      <c r="AA116" s="11">
        <f>IF(Parametros!B8=1,0.2+0.8*(1/(1+EXP(-9*(S116-0.25)))),1)</f>
        <v/>
      </c>
      <c r="AB116" s="10">
        <f>X116*Y116*Z116*AA116</f>
        <v/>
      </c>
    </row>
    <row r="117">
      <c r="A117" t="inlineStr">
        <is>
          <t>ui72ej</t>
        </is>
      </c>
      <c r="B117" t="inlineStr">
        <is>
          <t>Daniela Rezende</t>
        </is>
      </c>
      <c r="C117" s="8" t="n">
        <v>0.5329</v>
      </c>
      <c r="D117" s="8" t="n">
        <v>0.5037</v>
      </c>
      <c r="E117" s="8" t="n">
        <v>0.5773</v>
      </c>
      <c r="F117" s="8" t="n">
        <v>0.3354</v>
      </c>
      <c r="G117" s="8" t="n">
        <v>0.4995</v>
      </c>
      <c r="H117" s="8" t="n">
        <v>0.483</v>
      </c>
      <c r="I117" s="8" t="n">
        <v>0.3854</v>
      </c>
      <c r="J117" s="8" t="n">
        <v>0.7025</v>
      </c>
      <c r="K117" s="8" t="n">
        <v>0.7563</v>
      </c>
      <c r="L117" s="9">
        <f>1-(1-Mecanismos!B2)*(1-C117)</f>
        <v/>
      </c>
      <c r="M117" s="9">
        <f>Mecanismos!B7*D117</f>
        <v/>
      </c>
      <c r="N117" s="9">
        <f>Mecanismos!B4*(1-E117)</f>
        <v/>
      </c>
      <c r="O117" s="9">
        <f>Mecanismos!B5*(1-F117)</f>
        <v/>
      </c>
      <c r="P117" s="9">
        <f>Mecanismos!B6*(1-I117)</f>
        <v/>
      </c>
      <c r="Q117" s="9">
        <f>Mecanismos!B9*(1-G117)</f>
        <v/>
      </c>
      <c r="R117" s="9">
        <f>Mecanismos!B9*(1-J117)</f>
        <v/>
      </c>
      <c r="S117" s="9">
        <f>Mecanismos!B8*H117</f>
        <v/>
      </c>
      <c r="T117" s="9">
        <f>Mecanismos!B10*H117</f>
        <v/>
      </c>
      <c r="U117" s="9">
        <f>Mecanismos!B8*K117</f>
        <v/>
      </c>
      <c r="V117" s="9">
        <f>Mecanismos!B3*D117</f>
        <v/>
      </c>
      <c r="W117" s="9">
        <f>Parametros!B2+Parametros!B4*(S117+T117+U117+V117)-Parametros!B3*(L117+M117+N117+O117+P117+Q117+R117)</f>
        <v/>
      </c>
      <c r="X117" s="10">
        <f>1/(1+EXP(-W117))</f>
        <v/>
      </c>
      <c r="Y117" s="11">
        <f>IF(Parametros!B6=1,0.15+0.85*(1/(1+EXP(-8*((1-N117)-0.45)))),1)</f>
        <v/>
      </c>
      <c r="Z117" s="11">
        <f>IF(Parametros!B7=1,MAX(0.05,1-L117^1.6),1)</f>
        <v/>
      </c>
      <c r="AA117" s="11">
        <f>IF(Parametros!B8=1,0.2+0.8*(1/(1+EXP(-9*(S117-0.25)))),1)</f>
        <v/>
      </c>
      <c r="AB117" s="10">
        <f>X117*Y117*Z117*AA117</f>
        <v/>
      </c>
    </row>
    <row r="118">
      <c r="A118" t="inlineStr">
        <is>
          <t>ztjvxc</t>
        </is>
      </c>
      <c r="B118" t="inlineStr">
        <is>
          <t>Danilo Albuquerque</t>
        </is>
      </c>
      <c r="C118" s="8" t="n">
        <v>0.5579</v>
      </c>
      <c r="D118" s="8" t="n">
        <v>0.5871</v>
      </c>
      <c r="E118" s="8" t="n">
        <v>0.3835</v>
      </c>
      <c r="F118" s="8" t="n">
        <v>0.4426</v>
      </c>
      <c r="G118" s="8" t="n">
        <v>0.5624</v>
      </c>
      <c r="H118" s="8" t="n">
        <v>0.6448</v>
      </c>
      <c r="I118" s="8" t="n">
        <v>0.7674</v>
      </c>
      <c r="J118" s="8" t="n">
        <v>0.7644</v>
      </c>
      <c r="K118" s="8" t="n">
        <v>0.8421999999999999</v>
      </c>
      <c r="L118" s="9">
        <f>1-(1-Mecanismos!B2)*(1-C118)</f>
        <v/>
      </c>
      <c r="M118" s="9">
        <f>Mecanismos!B7*D118</f>
        <v/>
      </c>
      <c r="N118" s="9">
        <f>Mecanismos!B4*(1-E118)</f>
        <v/>
      </c>
      <c r="O118" s="9">
        <f>Mecanismos!B5*(1-F118)</f>
        <v/>
      </c>
      <c r="P118" s="9">
        <f>Mecanismos!B6*(1-I118)</f>
        <v/>
      </c>
      <c r="Q118" s="9">
        <f>Mecanismos!B9*(1-G118)</f>
        <v/>
      </c>
      <c r="R118" s="9">
        <f>Mecanismos!B9*(1-J118)</f>
        <v/>
      </c>
      <c r="S118" s="9">
        <f>Mecanismos!B8*H118</f>
        <v/>
      </c>
      <c r="T118" s="9">
        <f>Mecanismos!B10*H118</f>
        <v/>
      </c>
      <c r="U118" s="9">
        <f>Mecanismos!B8*K118</f>
        <v/>
      </c>
      <c r="V118" s="9">
        <f>Mecanismos!B3*D118</f>
        <v/>
      </c>
      <c r="W118" s="9">
        <f>Parametros!B2+Parametros!B4*(S118+T118+U118+V118)-Parametros!B3*(L118+M118+N118+O118+P118+Q118+R118)</f>
        <v/>
      </c>
      <c r="X118" s="10">
        <f>1/(1+EXP(-W118))</f>
        <v/>
      </c>
      <c r="Y118" s="11">
        <f>IF(Parametros!B6=1,0.15+0.85*(1/(1+EXP(-8*((1-N118)-0.45)))),1)</f>
        <v/>
      </c>
      <c r="Z118" s="11">
        <f>IF(Parametros!B7=1,MAX(0.05,1-L118^1.6),1)</f>
        <v/>
      </c>
      <c r="AA118" s="11">
        <f>IF(Parametros!B8=1,0.2+0.8*(1/(1+EXP(-9*(S118-0.25)))),1)</f>
        <v/>
      </c>
      <c r="AB118" s="10">
        <f>X118*Y118*Z118*AA118</f>
        <v/>
      </c>
    </row>
    <row r="119">
      <c r="A119" t="inlineStr">
        <is>
          <t>fj3szr</t>
        </is>
      </c>
      <c r="B119" t="inlineStr">
        <is>
          <t>Danilo Correia</t>
        </is>
      </c>
      <c r="C119" s="8" t="n">
        <v>0.7557</v>
      </c>
      <c r="D119" s="8" t="n">
        <v>0.5891</v>
      </c>
      <c r="E119" s="8" t="n">
        <v>0.5376</v>
      </c>
      <c r="F119" s="8" t="n">
        <v>0.4078</v>
      </c>
      <c r="G119" s="8" t="n">
        <v>0.2557</v>
      </c>
      <c r="H119" s="8" t="n">
        <v>0.6886</v>
      </c>
      <c r="I119" s="8" t="n">
        <v>0.5566</v>
      </c>
      <c r="J119" s="8" t="n">
        <v>0.4077</v>
      </c>
      <c r="K119" s="8" t="n">
        <v>0.3262</v>
      </c>
      <c r="L119" s="9">
        <f>1-(1-Mecanismos!B2)*(1-C119)</f>
        <v/>
      </c>
      <c r="M119" s="9">
        <f>Mecanismos!B7*D119</f>
        <v/>
      </c>
      <c r="N119" s="9">
        <f>Mecanismos!B4*(1-E119)</f>
        <v/>
      </c>
      <c r="O119" s="9">
        <f>Mecanismos!B5*(1-F119)</f>
        <v/>
      </c>
      <c r="P119" s="9">
        <f>Mecanismos!B6*(1-I119)</f>
        <v/>
      </c>
      <c r="Q119" s="9">
        <f>Mecanismos!B9*(1-G119)</f>
        <v/>
      </c>
      <c r="R119" s="9">
        <f>Mecanismos!B9*(1-J119)</f>
        <v/>
      </c>
      <c r="S119" s="9">
        <f>Mecanismos!B8*H119</f>
        <v/>
      </c>
      <c r="T119" s="9">
        <f>Mecanismos!B10*H119</f>
        <v/>
      </c>
      <c r="U119" s="9">
        <f>Mecanismos!B8*K119</f>
        <v/>
      </c>
      <c r="V119" s="9">
        <f>Mecanismos!B3*D119</f>
        <v/>
      </c>
      <c r="W119" s="9">
        <f>Parametros!B2+Parametros!B4*(S119+T119+U119+V119)-Parametros!B3*(L119+M119+N119+O119+P119+Q119+R119)</f>
        <v/>
      </c>
      <c r="X119" s="10">
        <f>1/(1+EXP(-W119))</f>
        <v/>
      </c>
      <c r="Y119" s="11">
        <f>IF(Parametros!B6=1,0.15+0.85*(1/(1+EXP(-8*((1-N119)-0.45)))),1)</f>
        <v/>
      </c>
      <c r="Z119" s="11">
        <f>IF(Parametros!B7=1,MAX(0.05,1-L119^1.6),1)</f>
        <v/>
      </c>
      <c r="AA119" s="11">
        <f>IF(Parametros!B8=1,0.2+0.8*(1/(1+EXP(-9*(S119-0.25)))),1)</f>
        <v/>
      </c>
      <c r="AB119" s="10">
        <f>X119*Y119*Z119*AA119</f>
        <v/>
      </c>
    </row>
    <row r="120">
      <c r="A120" t="inlineStr">
        <is>
          <t>bbsn3k</t>
        </is>
      </c>
      <c r="B120" t="inlineStr">
        <is>
          <t>Danilo Souza</t>
        </is>
      </c>
      <c r="C120" s="8" t="n">
        <v>0.6927</v>
      </c>
      <c r="D120" s="8" t="n">
        <v>0.6512</v>
      </c>
      <c r="E120" s="8" t="n">
        <v>0.6576</v>
      </c>
      <c r="F120" s="8" t="n">
        <v>0.4896</v>
      </c>
      <c r="G120" s="8" t="n">
        <v>0.424</v>
      </c>
      <c r="H120" s="8" t="n">
        <v>0.5597</v>
      </c>
      <c r="I120" s="8" t="n">
        <v>0.6899</v>
      </c>
      <c r="J120" s="8" t="n">
        <v>0.9382</v>
      </c>
      <c r="K120" s="8" t="n">
        <v>0.4842</v>
      </c>
      <c r="L120" s="9">
        <f>1-(1-Mecanismos!B2)*(1-C120)</f>
        <v/>
      </c>
      <c r="M120" s="9">
        <f>Mecanismos!B7*D120</f>
        <v/>
      </c>
      <c r="N120" s="9">
        <f>Mecanismos!B4*(1-E120)</f>
        <v/>
      </c>
      <c r="O120" s="9">
        <f>Mecanismos!B5*(1-F120)</f>
        <v/>
      </c>
      <c r="P120" s="9">
        <f>Mecanismos!B6*(1-I120)</f>
        <v/>
      </c>
      <c r="Q120" s="9">
        <f>Mecanismos!B9*(1-G120)</f>
        <v/>
      </c>
      <c r="R120" s="9">
        <f>Mecanismos!B9*(1-J120)</f>
        <v/>
      </c>
      <c r="S120" s="9">
        <f>Mecanismos!B8*H120</f>
        <v/>
      </c>
      <c r="T120" s="9">
        <f>Mecanismos!B10*H120</f>
        <v/>
      </c>
      <c r="U120" s="9">
        <f>Mecanismos!B8*K120</f>
        <v/>
      </c>
      <c r="V120" s="9">
        <f>Mecanismos!B3*D120</f>
        <v/>
      </c>
      <c r="W120" s="9">
        <f>Parametros!B2+Parametros!B4*(S120+T120+U120+V120)-Parametros!B3*(L120+M120+N120+O120+P120+Q120+R120)</f>
        <v/>
      </c>
      <c r="X120" s="10">
        <f>1/(1+EXP(-W120))</f>
        <v/>
      </c>
      <c r="Y120" s="11">
        <f>IF(Parametros!B6=1,0.15+0.85*(1/(1+EXP(-8*((1-N120)-0.45)))),1)</f>
        <v/>
      </c>
      <c r="Z120" s="11">
        <f>IF(Parametros!B7=1,MAX(0.05,1-L120^1.6),1)</f>
        <v/>
      </c>
      <c r="AA120" s="11">
        <f>IF(Parametros!B8=1,0.2+0.8*(1/(1+EXP(-9*(S120-0.25)))),1)</f>
        <v/>
      </c>
      <c r="AB120" s="10">
        <f>X120*Y120*Z120*AA120</f>
        <v/>
      </c>
    </row>
    <row r="121">
      <c r="A121" t="inlineStr">
        <is>
          <t>6fycsd</t>
        </is>
      </c>
      <c r="B121" t="inlineStr">
        <is>
          <t>Danilo da Rocha</t>
        </is>
      </c>
      <c r="C121" s="8" t="n">
        <v>0.3775</v>
      </c>
      <c r="D121" s="8" t="n">
        <v>0.6909</v>
      </c>
      <c r="E121" s="8" t="n">
        <v>0.5809</v>
      </c>
      <c r="F121" s="8" t="n">
        <v>0.8244</v>
      </c>
      <c r="G121" s="8" t="n">
        <v>0.4886</v>
      </c>
      <c r="H121" s="8" t="n">
        <v>0.4765</v>
      </c>
      <c r="I121" s="8" t="n">
        <v>0.83</v>
      </c>
      <c r="J121" s="8" t="n">
        <v>0.8379</v>
      </c>
      <c r="K121" s="8" t="n">
        <v>0.4332</v>
      </c>
      <c r="L121" s="9">
        <f>1-(1-Mecanismos!B2)*(1-C121)</f>
        <v/>
      </c>
      <c r="M121" s="9">
        <f>Mecanismos!B7*D121</f>
        <v/>
      </c>
      <c r="N121" s="9">
        <f>Mecanismos!B4*(1-E121)</f>
        <v/>
      </c>
      <c r="O121" s="9">
        <f>Mecanismos!B5*(1-F121)</f>
        <v/>
      </c>
      <c r="P121" s="9">
        <f>Mecanismos!B6*(1-I121)</f>
        <v/>
      </c>
      <c r="Q121" s="9">
        <f>Mecanismos!B9*(1-G121)</f>
        <v/>
      </c>
      <c r="R121" s="9">
        <f>Mecanismos!B9*(1-J121)</f>
        <v/>
      </c>
      <c r="S121" s="9">
        <f>Mecanismos!B8*H121</f>
        <v/>
      </c>
      <c r="T121" s="9">
        <f>Mecanismos!B10*H121</f>
        <v/>
      </c>
      <c r="U121" s="9">
        <f>Mecanismos!B8*K121</f>
        <v/>
      </c>
      <c r="V121" s="9">
        <f>Mecanismos!B3*D121</f>
        <v/>
      </c>
      <c r="W121" s="9">
        <f>Parametros!B2+Parametros!B4*(S121+T121+U121+V121)-Parametros!B3*(L121+M121+N121+O121+P121+Q121+R121)</f>
        <v/>
      </c>
      <c r="X121" s="10">
        <f>1/(1+EXP(-W121))</f>
        <v/>
      </c>
      <c r="Y121" s="11">
        <f>IF(Parametros!B6=1,0.15+0.85*(1/(1+EXP(-8*((1-N121)-0.45)))),1)</f>
        <v/>
      </c>
      <c r="Z121" s="11">
        <f>IF(Parametros!B7=1,MAX(0.05,1-L121^1.6),1)</f>
        <v/>
      </c>
      <c r="AA121" s="11">
        <f>IF(Parametros!B8=1,0.2+0.8*(1/(1+EXP(-9*(S121-0.25)))),1)</f>
        <v/>
      </c>
      <c r="AB121" s="10">
        <f>X121*Y121*Z121*AA121</f>
        <v/>
      </c>
    </row>
    <row r="122">
      <c r="A122" t="inlineStr">
        <is>
          <t>zi0k8o</t>
        </is>
      </c>
      <c r="B122" t="inlineStr">
        <is>
          <t>Dante Castro</t>
        </is>
      </c>
      <c r="C122" s="8" t="n">
        <v>0.6964</v>
      </c>
      <c r="D122" s="8" t="n">
        <v>0.4974</v>
      </c>
      <c r="E122" s="8" t="n">
        <v>0.7023</v>
      </c>
      <c r="F122" s="8" t="n">
        <v>0.3761</v>
      </c>
      <c r="G122" s="8" t="n">
        <v>0.5278</v>
      </c>
      <c r="H122" s="8" t="n">
        <v>0.5289</v>
      </c>
      <c r="I122" s="8" t="n">
        <v>0.4623</v>
      </c>
      <c r="J122" s="8" t="n">
        <v>0.7333</v>
      </c>
      <c r="K122" s="8" t="n">
        <v>0.5854</v>
      </c>
      <c r="L122" s="9">
        <f>1-(1-Mecanismos!B2)*(1-C122)</f>
        <v/>
      </c>
      <c r="M122" s="9">
        <f>Mecanismos!B7*D122</f>
        <v/>
      </c>
      <c r="N122" s="9">
        <f>Mecanismos!B4*(1-E122)</f>
        <v/>
      </c>
      <c r="O122" s="9">
        <f>Mecanismos!B5*(1-F122)</f>
        <v/>
      </c>
      <c r="P122" s="9">
        <f>Mecanismos!B6*(1-I122)</f>
        <v/>
      </c>
      <c r="Q122" s="9">
        <f>Mecanismos!B9*(1-G122)</f>
        <v/>
      </c>
      <c r="R122" s="9">
        <f>Mecanismos!B9*(1-J122)</f>
        <v/>
      </c>
      <c r="S122" s="9">
        <f>Mecanismos!B8*H122</f>
        <v/>
      </c>
      <c r="T122" s="9">
        <f>Mecanismos!B10*H122</f>
        <v/>
      </c>
      <c r="U122" s="9">
        <f>Mecanismos!B8*K122</f>
        <v/>
      </c>
      <c r="V122" s="9">
        <f>Mecanismos!B3*D122</f>
        <v/>
      </c>
      <c r="W122" s="9">
        <f>Parametros!B2+Parametros!B4*(S122+T122+U122+V122)-Parametros!B3*(L122+M122+N122+O122+P122+Q122+R122)</f>
        <v/>
      </c>
      <c r="X122" s="10">
        <f>1/(1+EXP(-W122))</f>
        <v/>
      </c>
      <c r="Y122" s="11">
        <f>IF(Parametros!B6=1,0.15+0.85*(1/(1+EXP(-8*((1-N122)-0.45)))),1)</f>
        <v/>
      </c>
      <c r="Z122" s="11">
        <f>IF(Parametros!B7=1,MAX(0.05,1-L122^1.6),1)</f>
        <v/>
      </c>
      <c r="AA122" s="11">
        <f>IF(Parametros!B8=1,0.2+0.8*(1/(1+EXP(-9*(S122-0.25)))),1)</f>
        <v/>
      </c>
      <c r="AB122" s="10">
        <f>X122*Y122*Z122*AA122</f>
        <v/>
      </c>
    </row>
    <row r="123">
      <c r="A123" t="inlineStr">
        <is>
          <t>7lsmiq</t>
        </is>
      </c>
      <c r="B123" t="inlineStr">
        <is>
          <t>Dante Cunha</t>
        </is>
      </c>
      <c r="C123" s="8" t="n">
        <v>0.6757</v>
      </c>
      <c r="D123" s="8" t="n">
        <v>0.6264999999999999</v>
      </c>
      <c r="E123" s="8" t="n">
        <v>0.7111</v>
      </c>
      <c r="F123" s="8" t="n">
        <v>0.5743</v>
      </c>
      <c r="G123" s="8" t="n">
        <v>0.7415</v>
      </c>
      <c r="H123" s="8" t="n">
        <v>0.5447</v>
      </c>
      <c r="I123" s="8" t="n">
        <v>0.6481</v>
      </c>
      <c r="J123" s="8" t="n">
        <v>0.845</v>
      </c>
      <c r="K123" s="8" t="n">
        <v>0.7049</v>
      </c>
      <c r="L123" s="9">
        <f>1-(1-Mecanismos!B2)*(1-C123)</f>
        <v/>
      </c>
      <c r="M123" s="9">
        <f>Mecanismos!B7*D123</f>
        <v/>
      </c>
      <c r="N123" s="9">
        <f>Mecanismos!B4*(1-E123)</f>
        <v/>
      </c>
      <c r="O123" s="9">
        <f>Mecanismos!B5*(1-F123)</f>
        <v/>
      </c>
      <c r="P123" s="9">
        <f>Mecanismos!B6*(1-I123)</f>
        <v/>
      </c>
      <c r="Q123" s="9">
        <f>Mecanismos!B9*(1-G123)</f>
        <v/>
      </c>
      <c r="R123" s="9">
        <f>Mecanismos!B9*(1-J123)</f>
        <v/>
      </c>
      <c r="S123" s="9">
        <f>Mecanismos!B8*H123</f>
        <v/>
      </c>
      <c r="T123" s="9">
        <f>Mecanismos!B10*H123</f>
        <v/>
      </c>
      <c r="U123" s="9">
        <f>Mecanismos!B8*K123</f>
        <v/>
      </c>
      <c r="V123" s="9">
        <f>Mecanismos!B3*D123</f>
        <v/>
      </c>
      <c r="W123" s="9">
        <f>Parametros!B2+Parametros!B4*(S123+T123+U123+V123)-Parametros!B3*(L123+M123+N123+O123+P123+Q123+R123)</f>
        <v/>
      </c>
      <c r="X123" s="10">
        <f>1/(1+EXP(-W123))</f>
        <v/>
      </c>
      <c r="Y123" s="11">
        <f>IF(Parametros!B6=1,0.15+0.85*(1/(1+EXP(-8*((1-N123)-0.45)))),1)</f>
        <v/>
      </c>
      <c r="Z123" s="11">
        <f>IF(Parametros!B7=1,MAX(0.05,1-L123^1.6),1)</f>
        <v/>
      </c>
      <c r="AA123" s="11">
        <f>IF(Parametros!B8=1,0.2+0.8*(1/(1+EXP(-9*(S123-0.25)))),1)</f>
        <v/>
      </c>
      <c r="AB123" s="10">
        <f>X123*Y123*Z123*AA123</f>
        <v/>
      </c>
    </row>
    <row r="124">
      <c r="A124" t="inlineStr">
        <is>
          <t>m7ks26</t>
        </is>
      </c>
      <c r="B124" t="inlineStr">
        <is>
          <t>Dante Sousa</t>
        </is>
      </c>
      <c r="C124" s="8" t="n">
        <v>0.6835</v>
      </c>
      <c r="D124" s="8" t="n">
        <v>0.3246</v>
      </c>
      <c r="E124" s="8" t="n">
        <v>0.5355</v>
      </c>
      <c r="F124" s="8" t="n">
        <v>0.3712</v>
      </c>
      <c r="G124" s="8" t="n">
        <v>0.3604</v>
      </c>
      <c r="H124" s="8" t="n">
        <v>0.7489</v>
      </c>
      <c r="I124" s="8" t="n">
        <v>0.5926</v>
      </c>
      <c r="J124" s="8" t="n">
        <v>0.7562</v>
      </c>
      <c r="K124" s="8" t="n">
        <v>0.3178</v>
      </c>
      <c r="L124" s="9">
        <f>1-(1-Mecanismos!B2)*(1-C124)</f>
        <v/>
      </c>
      <c r="M124" s="9">
        <f>Mecanismos!B7*D124</f>
        <v/>
      </c>
      <c r="N124" s="9">
        <f>Mecanismos!B4*(1-E124)</f>
        <v/>
      </c>
      <c r="O124" s="9">
        <f>Mecanismos!B5*(1-F124)</f>
        <v/>
      </c>
      <c r="P124" s="9">
        <f>Mecanismos!B6*(1-I124)</f>
        <v/>
      </c>
      <c r="Q124" s="9">
        <f>Mecanismos!B9*(1-G124)</f>
        <v/>
      </c>
      <c r="R124" s="9">
        <f>Mecanismos!B9*(1-J124)</f>
        <v/>
      </c>
      <c r="S124" s="9">
        <f>Mecanismos!B8*H124</f>
        <v/>
      </c>
      <c r="T124" s="9">
        <f>Mecanismos!B10*H124</f>
        <v/>
      </c>
      <c r="U124" s="9">
        <f>Mecanismos!B8*K124</f>
        <v/>
      </c>
      <c r="V124" s="9">
        <f>Mecanismos!B3*D124</f>
        <v/>
      </c>
      <c r="W124" s="9">
        <f>Parametros!B2+Parametros!B4*(S124+T124+U124+V124)-Parametros!B3*(L124+M124+N124+O124+P124+Q124+R124)</f>
        <v/>
      </c>
      <c r="X124" s="10">
        <f>1/(1+EXP(-W124))</f>
        <v/>
      </c>
      <c r="Y124" s="11">
        <f>IF(Parametros!B6=1,0.15+0.85*(1/(1+EXP(-8*((1-N124)-0.45)))),1)</f>
        <v/>
      </c>
      <c r="Z124" s="11">
        <f>IF(Parametros!B7=1,MAX(0.05,1-L124^1.6),1)</f>
        <v/>
      </c>
      <c r="AA124" s="11">
        <f>IF(Parametros!B8=1,0.2+0.8*(1/(1+EXP(-9*(S124-0.25)))),1)</f>
        <v/>
      </c>
      <c r="AB124" s="10">
        <f>X124*Y124*Z124*AA124</f>
        <v/>
      </c>
    </row>
    <row r="125">
      <c r="A125" t="inlineStr">
        <is>
          <t>2idhxo</t>
        </is>
      </c>
      <c r="B125" t="inlineStr">
        <is>
          <t>Davi Guerra</t>
        </is>
      </c>
      <c r="C125" s="8" t="n">
        <v>0.4258</v>
      </c>
      <c r="D125" s="8" t="n">
        <v>0.5675</v>
      </c>
      <c r="E125" s="8" t="n">
        <v>0.2951</v>
      </c>
      <c r="F125" s="8" t="n">
        <v>0.6371</v>
      </c>
      <c r="G125" s="8" t="n">
        <v>0.3979</v>
      </c>
      <c r="H125" s="8" t="n">
        <v>0.7244</v>
      </c>
      <c r="I125" s="8" t="n">
        <v>0.7325</v>
      </c>
      <c r="J125" s="8" t="n">
        <v>0.8469</v>
      </c>
      <c r="K125" s="8" t="n">
        <v>0.6432</v>
      </c>
      <c r="L125" s="9">
        <f>1-(1-Mecanismos!B2)*(1-C125)</f>
        <v/>
      </c>
      <c r="M125" s="9">
        <f>Mecanismos!B7*D125</f>
        <v/>
      </c>
      <c r="N125" s="9">
        <f>Mecanismos!B4*(1-E125)</f>
        <v/>
      </c>
      <c r="O125" s="9">
        <f>Mecanismos!B5*(1-F125)</f>
        <v/>
      </c>
      <c r="P125" s="9">
        <f>Mecanismos!B6*(1-I125)</f>
        <v/>
      </c>
      <c r="Q125" s="9">
        <f>Mecanismos!B9*(1-G125)</f>
        <v/>
      </c>
      <c r="R125" s="9">
        <f>Mecanismos!B9*(1-J125)</f>
        <v/>
      </c>
      <c r="S125" s="9">
        <f>Mecanismos!B8*H125</f>
        <v/>
      </c>
      <c r="T125" s="9">
        <f>Mecanismos!B10*H125</f>
        <v/>
      </c>
      <c r="U125" s="9">
        <f>Mecanismos!B8*K125</f>
        <v/>
      </c>
      <c r="V125" s="9">
        <f>Mecanismos!B3*D125</f>
        <v/>
      </c>
      <c r="W125" s="9">
        <f>Parametros!B2+Parametros!B4*(S125+T125+U125+V125)-Parametros!B3*(L125+M125+N125+O125+P125+Q125+R125)</f>
        <v/>
      </c>
      <c r="X125" s="10">
        <f>1/(1+EXP(-W125))</f>
        <v/>
      </c>
      <c r="Y125" s="11">
        <f>IF(Parametros!B6=1,0.15+0.85*(1/(1+EXP(-8*((1-N125)-0.45)))),1)</f>
        <v/>
      </c>
      <c r="Z125" s="11">
        <f>IF(Parametros!B7=1,MAX(0.05,1-L125^1.6),1)</f>
        <v/>
      </c>
      <c r="AA125" s="11">
        <f>IF(Parametros!B8=1,0.2+0.8*(1/(1+EXP(-9*(S125-0.25)))),1)</f>
        <v/>
      </c>
      <c r="AB125" s="10">
        <f>X125*Y125*Z125*AA125</f>
        <v/>
      </c>
    </row>
    <row r="126">
      <c r="A126" t="inlineStr">
        <is>
          <t>23c7gi</t>
        </is>
      </c>
      <c r="B126" t="inlineStr">
        <is>
          <t>Davi Lucas da Luz</t>
        </is>
      </c>
      <c r="C126" s="8" t="n">
        <v>0.4437</v>
      </c>
      <c r="D126" s="8" t="n">
        <v>0.4613</v>
      </c>
      <c r="E126" s="8" t="n">
        <v>0.5201</v>
      </c>
      <c r="F126" s="8" t="n">
        <v>0.8024</v>
      </c>
      <c r="G126" s="8" t="n">
        <v>0.4554</v>
      </c>
      <c r="H126" s="8" t="n">
        <v>0.7504999999999999</v>
      </c>
      <c r="I126" s="8" t="n">
        <v>0.6036</v>
      </c>
      <c r="J126" s="8" t="n">
        <v>0.67</v>
      </c>
      <c r="K126" s="8" t="n">
        <v>0.4204</v>
      </c>
      <c r="L126" s="9">
        <f>1-(1-Mecanismos!B2)*(1-C126)</f>
        <v/>
      </c>
      <c r="M126" s="9">
        <f>Mecanismos!B7*D126</f>
        <v/>
      </c>
      <c r="N126" s="9">
        <f>Mecanismos!B4*(1-E126)</f>
        <v/>
      </c>
      <c r="O126" s="9">
        <f>Mecanismos!B5*(1-F126)</f>
        <v/>
      </c>
      <c r="P126" s="9">
        <f>Mecanismos!B6*(1-I126)</f>
        <v/>
      </c>
      <c r="Q126" s="9">
        <f>Mecanismos!B9*(1-G126)</f>
        <v/>
      </c>
      <c r="R126" s="9">
        <f>Mecanismos!B9*(1-J126)</f>
        <v/>
      </c>
      <c r="S126" s="9">
        <f>Mecanismos!B8*H126</f>
        <v/>
      </c>
      <c r="T126" s="9">
        <f>Mecanismos!B10*H126</f>
        <v/>
      </c>
      <c r="U126" s="9">
        <f>Mecanismos!B8*K126</f>
        <v/>
      </c>
      <c r="V126" s="9">
        <f>Mecanismos!B3*D126</f>
        <v/>
      </c>
      <c r="W126" s="9">
        <f>Parametros!B2+Parametros!B4*(S126+T126+U126+V126)-Parametros!B3*(L126+M126+N126+O126+P126+Q126+R126)</f>
        <v/>
      </c>
      <c r="X126" s="10">
        <f>1/(1+EXP(-W126))</f>
        <v/>
      </c>
      <c r="Y126" s="11">
        <f>IF(Parametros!B6=1,0.15+0.85*(1/(1+EXP(-8*((1-N126)-0.45)))),1)</f>
        <v/>
      </c>
      <c r="Z126" s="11">
        <f>IF(Parametros!B7=1,MAX(0.05,1-L126^1.6),1)</f>
        <v/>
      </c>
      <c r="AA126" s="11">
        <f>IF(Parametros!B8=1,0.2+0.8*(1/(1+EXP(-9*(S126-0.25)))),1)</f>
        <v/>
      </c>
      <c r="AB126" s="10">
        <f>X126*Y126*Z126*AA126</f>
        <v/>
      </c>
    </row>
    <row r="127">
      <c r="A127" t="inlineStr">
        <is>
          <t>9od83v</t>
        </is>
      </c>
      <c r="B127" t="inlineStr">
        <is>
          <t>Davi Lucca Albuquerque</t>
        </is>
      </c>
      <c r="C127" s="8" t="n">
        <v>0.6516999999999999</v>
      </c>
      <c r="D127" s="8" t="n">
        <v>0.5839</v>
      </c>
      <c r="E127" s="8" t="n">
        <v>0.5423</v>
      </c>
      <c r="F127" s="8" t="n">
        <v>0.3126</v>
      </c>
      <c r="G127" s="8" t="n">
        <v>0.4918</v>
      </c>
      <c r="H127" s="8" t="n">
        <v>0.6366000000000001</v>
      </c>
      <c r="I127" s="8" t="n">
        <v>0.2162</v>
      </c>
      <c r="J127" s="8" t="n">
        <v>0.2046</v>
      </c>
      <c r="K127" s="8" t="n">
        <v>0.4077</v>
      </c>
      <c r="L127" s="9">
        <f>1-(1-Mecanismos!B2)*(1-C127)</f>
        <v/>
      </c>
      <c r="M127" s="9">
        <f>Mecanismos!B7*D127</f>
        <v/>
      </c>
      <c r="N127" s="9">
        <f>Mecanismos!B4*(1-E127)</f>
        <v/>
      </c>
      <c r="O127" s="9">
        <f>Mecanismos!B5*(1-F127)</f>
        <v/>
      </c>
      <c r="P127" s="9">
        <f>Mecanismos!B6*(1-I127)</f>
        <v/>
      </c>
      <c r="Q127" s="9">
        <f>Mecanismos!B9*(1-G127)</f>
        <v/>
      </c>
      <c r="R127" s="9">
        <f>Mecanismos!B9*(1-J127)</f>
        <v/>
      </c>
      <c r="S127" s="9">
        <f>Mecanismos!B8*H127</f>
        <v/>
      </c>
      <c r="T127" s="9">
        <f>Mecanismos!B10*H127</f>
        <v/>
      </c>
      <c r="U127" s="9">
        <f>Mecanismos!B8*K127</f>
        <v/>
      </c>
      <c r="V127" s="9">
        <f>Mecanismos!B3*D127</f>
        <v/>
      </c>
      <c r="W127" s="9">
        <f>Parametros!B2+Parametros!B4*(S127+T127+U127+V127)-Parametros!B3*(L127+M127+N127+O127+P127+Q127+R127)</f>
        <v/>
      </c>
      <c r="X127" s="10">
        <f>1/(1+EXP(-W127))</f>
        <v/>
      </c>
      <c r="Y127" s="11">
        <f>IF(Parametros!B6=1,0.15+0.85*(1/(1+EXP(-8*((1-N127)-0.45)))),1)</f>
        <v/>
      </c>
      <c r="Z127" s="11">
        <f>IF(Parametros!B7=1,MAX(0.05,1-L127^1.6),1)</f>
        <v/>
      </c>
      <c r="AA127" s="11">
        <f>IF(Parametros!B8=1,0.2+0.8*(1/(1+EXP(-9*(S127-0.25)))),1)</f>
        <v/>
      </c>
      <c r="AB127" s="10">
        <f>X127*Y127*Z127*AA127</f>
        <v/>
      </c>
    </row>
    <row r="128">
      <c r="A128" t="inlineStr">
        <is>
          <t>fulpln</t>
        </is>
      </c>
      <c r="B128" t="inlineStr">
        <is>
          <t>Davi Lucca Marques</t>
        </is>
      </c>
      <c r="C128" s="8" t="n">
        <v>0.7774</v>
      </c>
      <c r="D128" s="8" t="n">
        <v>0.58</v>
      </c>
      <c r="E128" s="8" t="n">
        <v>0.7774</v>
      </c>
      <c r="F128" s="8" t="n">
        <v>0.5165999999999999</v>
      </c>
      <c r="G128" s="8" t="n">
        <v>0.4166</v>
      </c>
      <c r="H128" s="8" t="n">
        <v>0.6098</v>
      </c>
      <c r="I128" s="8" t="n">
        <v>0.2073</v>
      </c>
      <c r="J128" s="8" t="n">
        <v>0.5588</v>
      </c>
      <c r="K128" s="8" t="n">
        <v>0.3068</v>
      </c>
      <c r="L128" s="9">
        <f>1-(1-Mecanismos!B2)*(1-C128)</f>
        <v/>
      </c>
      <c r="M128" s="9">
        <f>Mecanismos!B7*D128</f>
        <v/>
      </c>
      <c r="N128" s="9">
        <f>Mecanismos!B4*(1-E128)</f>
        <v/>
      </c>
      <c r="O128" s="9">
        <f>Mecanismos!B5*(1-F128)</f>
        <v/>
      </c>
      <c r="P128" s="9">
        <f>Mecanismos!B6*(1-I128)</f>
        <v/>
      </c>
      <c r="Q128" s="9">
        <f>Mecanismos!B9*(1-G128)</f>
        <v/>
      </c>
      <c r="R128" s="9">
        <f>Mecanismos!B9*(1-J128)</f>
        <v/>
      </c>
      <c r="S128" s="9">
        <f>Mecanismos!B8*H128</f>
        <v/>
      </c>
      <c r="T128" s="9">
        <f>Mecanismos!B10*H128</f>
        <v/>
      </c>
      <c r="U128" s="9">
        <f>Mecanismos!B8*K128</f>
        <v/>
      </c>
      <c r="V128" s="9">
        <f>Mecanismos!B3*D128</f>
        <v/>
      </c>
      <c r="W128" s="9">
        <f>Parametros!B2+Parametros!B4*(S128+T128+U128+V128)-Parametros!B3*(L128+M128+N128+O128+P128+Q128+R128)</f>
        <v/>
      </c>
      <c r="X128" s="10">
        <f>1/(1+EXP(-W128))</f>
        <v/>
      </c>
      <c r="Y128" s="11">
        <f>IF(Parametros!B6=1,0.15+0.85*(1/(1+EXP(-8*((1-N128)-0.45)))),1)</f>
        <v/>
      </c>
      <c r="Z128" s="11">
        <f>IF(Parametros!B7=1,MAX(0.05,1-L128^1.6),1)</f>
        <v/>
      </c>
      <c r="AA128" s="11">
        <f>IF(Parametros!B8=1,0.2+0.8*(1/(1+EXP(-9*(S128-0.25)))),1)</f>
        <v/>
      </c>
      <c r="AB128" s="10">
        <f>X128*Y128*Z128*AA128</f>
        <v/>
      </c>
    </row>
    <row r="129">
      <c r="A129" t="inlineStr">
        <is>
          <t>1v6bec</t>
        </is>
      </c>
      <c r="B129" t="inlineStr">
        <is>
          <t>Davi Lucca Peixoto</t>
        </is>
      </c>
      <c r="C129" s="8" t="n">
        <v>0.6098</v>
      </c>
      <c r="D129" s="8" t="n">
        <v>0.8549</v>
      </c>
      <c r="E129" s="8" t="n">
        <v>0.5512</v>
      </c>
      <c r="F129" s="8" t="n">
        <v>0.4977</v>
      </c>
      <c r="G129" s="8" t="n">
        <v>0.5063</v>
      </c>
      <c r="H129" s="8" t="n">
        <v>0.5545</v>
      </c>
      <c r="I129" s="8" t="n">
        <v>0.5854</v>
      </c>
      <c r="J129" s="8" t="n">
        <v>0.7891</v>
      </c>
      <c r="K129" s="8" t="n">
        <v>0.2807</v>
      </c>
      <c r="L129" s="9">
        <f>1-(1-Mecanismos!B2)*(1-C129)</f>
        <v/>
      </c>
      <c r="M129" s="9">
        <f>Mecanismos!B7*D129</f>
        <v/>
      </c>
      <c r="N129" s="9">
        <f>Mecanismos!B4*(1-E129)</f>
        <v/>
      </c>
      <c r="O129" s="9">
        <f>Mecanismos!B5*(1-F129)</f>
        <v/>
      </c>
      <c r="P129" s="9">
        <f>Mecanismos!B6*(1-I129)</f>
        <v/>
      </c>
      <c r="Q129" s="9">
        <f>Mecanismos!B9*(1-G129)</f>
        <v/>
      </c>
      <c r="R129" s="9">
        <f>Mecanismos!B9*(1-J129)</f>
        <v/>
      </c>
      <c r="S129" s="9">
        <f>Mecanismos!B8*H129</f>
        <v/>
      </c>
      <c r="T129" s="9">
        <f>Mecanismos!B10*H129</f>
        <v/>
      </c>
      <c r="U129" s="9">
        <f>Mecanismos!B8*K129</f>
        <v/>
      </c>
      <c r="V129" s="9">
        <f>Mecanismos!B3*D129</f>
        <v/>
      </c>
      <c r="W129" s="9">
        <f>Parametros!B2+Parametros!B4*(S129+T129+U129+V129)-Parametros!B3*(L129+M129+N129+O129+P129+Q129+R129)</f>
        <v/>
      </c>
      <c r="X129" s="10">
        <f>1/(1+EXP(-W129))</f>
        <v/>
      </c>
      <c r="Y129" s="11">
        <f>IF(Parametros!B6=1,0.15+0.85*(1/(1+EXP(-8*((1-N129)-0.45)))),1)</f>
        <v/>
      </c>
      <c r="Z129" s="11">
        <f>IF(Parametros!B7=1,MAX(0.05,1-L129^1.6),1)</f>
        <v/>
      </c>
      <c r="AA129" s="11">
        <f>IF(Parametros!B8=1,0.2+0.8*(1/(1+EXP(-9*(S129-0.25)))),1)</f>
        <v/>
      </c>
      <c r="AB129" s="10">
        <f>X129*Y129*Z129*AA129</f>
        <v/>
      </c>
    </row>
    <row r="130">
      <c r="A130" t="inlineStr">
        <is>
          <t>ur0m2p</t>
        </is>
      </c>
      <c r="B130" t="inlineStr">
        <is>
          <t>Davi Luiz Fernandes</t>
        </is>
      </c>
      <c r="C130" s="8" t="n">
        <v>0.7399</v>
      </c>
      <c r="D130" s="8" t="n">
        <v>0.4228</v>
      </c>
      <c r="E130" s="8" t="n">
        <v>0.4915</v>
      </c>
      <c r="F130" s="8" t="n">
        <v>0.312</v>
      </c>
      <c r="G130" s="8" t="n">
        <v>0.3915</v>
      </c>
      <c r="H130" s="8" t="n">
        <v>0.793</v>
      </c>
      <c r="I130" s="8" t="n">
        <v>0.2315</v>
      </c>
      <c r="J130" s="8" t="n">
        <v>0.7558</v>
      </c>
      <c r="K130" s="8" t="n">
        <v>0.4007</v>
      </c>
      <c r="L130" s="9">
        <f>1-(1-Mecanismos!B2)*(1-C130)</f>
        <v/>
      </c>
      <c r="M130" s="9">
        <f>Mecanismos!B7*D130</f>
        <v/>
      </c>
      <c r="N130" s="9">
        <f>Mecanismos!B4*(1-E130)</f>
        <v/>
      </c>
      <c r="O130" s="9">
        <f>Mecanismos!B5*(1-F130)</f>
        <v/>
      </c>
      <c r="P130" s="9">
        <f>Mecanismos!B6*(1-I130)</f>
        <v/>
      </c>
      <c r="Q130" s="9">
        <f>Mecanismos!B9*(1-G130)</f>
        <v/>
      </c>
      <c r="R130" s="9">
        <f>Mecanismos!B9*(1-J130)</f>
        <v/>
      </c>
      <c r="S130" s="9">
        <f>Mecanismos!B8*H130</f>
        <v/>
      </c>
      <c r="T130" s="9">
        <f>Mecanismos!B10*H130</f>
        <v/>
      </c>
      <c r="U130" s="9">
        <f>Mecanismos!B8*K130</f>
        <v/>
      </c>
      <c r="V130" s="9">
        <f>Mecanismos!B3*D130</f>
        <v/>
      </c>
      <c r="W130" s="9">
        <f>Parametros!B2+Parametros!B4*(S130+T130+U130+V130)-Parametros!B3*(L130+M130+N130+O130+P130+Q130+R130)</f>
        <v/>
      </c>
      <c r="X130" s="10">
        <f>1/(1+EXP(-W130))</f>
        <v/>
      </c>
      <c r="Y130" s="11">
        <f>IF(Parametros!B6=1,0.15+0.85*(1/(1+EXP(-8*((1-N130)-0.45)))),1)</f>
        <v/>
      </c>
      <c r="Z130" s="11">
        <f>IF(Parametros!B7=1,MAX(0.05,1-L130^1.6),1)</f>
        <v/>
      </c>
      <c r="AA130" s="11">
        <f>IF(Parametros!B8=1,0.2+0.8*(1/(1+EXP(-9*(S130-0.25)))),1)</f>
        <v/>
      </c>
      <c r="AB130" s="10">
        <f>X130*Y130*Z130*AA130</f>
        <v/>
      </c>
    </row>
    <row r="131">
      <c r="A131" t="inlineStr">
        <is>
          <t>kfy7o9</t>
        </is>
      </c>
      <c r="B131" t="inlineStr">
        <is>
          <t>Davi Luiz Machado</t>
        </is>
      </c>
      <c r="C131" s="8" t="n">
        <v>0.6942</v>
      </c>
      <c r="D131" s="8" t="n">
        <v>0.3582</v>
      </c>
      <c r="E131" s="8" t="n">
        <v>0.3566</v>
      </c>
      <c r="F131" s="8" t="n">
        <v>0.6028</v>
      </c>
      <c r="G131" s="8" t="n">
        <v>0.3566</v>
      </c>
      <c r="H131" s="8" t="n">
        <v>0.8137</v>
      </c>
      <c r="I131" s="8" t="n">
        <v>0.5233</v>
      </c>
      <c r="J131" s="8" t="n">
        <v>0.9026999999999999</v>
      </c>
      <c r="K131" s="8" t="n">
        <v>0.3417</v>
      </c>
      <c r="L131" s="9">
        <f>1-(1-Mecanismos!B2)*(1-C131)</f>
        <v/>
      </c>
      <c r="M131" s="9">
        <f>Mecanismos!B7*D131</f>
        <v/>
      </c>
      <c r="N131" s="9">
        <f>Mecanismos!B4*(1-E131)</f>
        <v/>
      </c>
      <c r="O131" s="9">
        <f>Mecanismos!B5*(1-F131)</f>
        <v/>
      </c>
      <c r="P131" s="9">
        <f>Mecanismos!B6*(1-I131)</f>
        <v/>
      </c>
      <c r="Q131" s="9">
        <f>Mecanismos!B9*(1-G131)</f>
        <v/>
      </c>
      <c r="R131" s="9">
        <f>Mecanismos!B9*(1-J131)</f>
        <v/>
      </c>
      <c r="S131" s="9">
        <f>Mecanismos!B8*H131</f>
        <v/>
      </c>
      <c r="T131" s="9">
        <f>Mecanismos!B10*H131</f>
        <v/>
      </c>
      <c r="U131" s="9">
        <f>Mecanismos!B8*K131</f>
        <v/>
      </c>
      <c r="V131" s="9">
        <f>Mecanismos!B3*D131</f>
        <v/>
      </c>
      <c r="W131" s="9">
        <f>Parametros!B2+Parametros!B4*(S131+T131+U131+V131)-Parametros!B3*(L131+M131+N131+O131+P131+Q131+R131)</f>
        <v/>
      </c>
      <c r="X131" s="10">
        <f>1/(1+EXP(-W131))</f>
        <v/>
      </c>
      <c r="Y131" s="11">
        <f>IF(Parametros!B6=1,0.15+0.85*(1/(1+EXP(-8*((1-N131)-0.45)))),1)</f>
        <v/>
      </c>
      <c r="Z131" s="11">
        <f>IF(Parametros!B7=1,MAX(0.05,1-L131^1.6),1)</f>
        <v/>
      </c>
      <c r="AA131" s="11">
        <f>IF(Parametros!B8=1,0.2+0.8*(1/(1+EXP(-9*(S131-0.25)))),1)</f>
        <v/>
      </c>
      <c r="AB131" s="10">
        <f>X131*Y131*Z131*AA131</f>
        <v/>
      </c>
    </row>
    <row r="132">
      <c r="A132" t="inlineStr">
        <is>
          <t>pplc5b</t>
        </is>
      </c>
      <c r="B132" t="inlineStr">
        <is>
          <t>Davi Miguel Fernandes</t>
        </is>
      </c>
      <c r="C132" s="8" t="n">
        <v>0.4149</v>
      </c>
      <c r="D132" s="8" t="n">
        <v>0.4948</v>
      </c>
      <c r="E132" s="8" t="n">
        <v>0.8191000000000001</v>
      </c>
      <c r="F132" s="8" t="n">
        <v>0.4339</v>
      </c>
      <c r="G132" s="8" t="n">
        <v>0.4581</v>
      </c>
      <c r="H132" s="8" t="n">
        <v>0.3507</v>
      </c>
      <c r="I132" s="8" t="n">
        <v>0.6456</v>
      </c>
      <c r="J132" s="8" t="n">
        <v>0.6741</v>
      </c>
      <c r="K132" s="8" t="n">
        <v>0.7503</v>
      </c>
      <c r="L132" s="9">
        <f>1-(1-Mecanismos!B2)*(1-C132)</f>
        <v/>
      </c>
      <c r="M132" s="9">
        <f>Mecanismos!B7*D132</f>
        <v/>
      </c>
      <c r="N132" s="9">
        <f>Mecanismos!B4*(1-E132)</f>
        <v/>
      </c>
      <c r="O132" s="9">
        <f>Mecanismos!B5*(1-F132)</f>
        <v/>
      </c>
      <c r="P132" s="9">
        <f>Mecanismos!B6*(1-I132)</f>
        <v/>
      </c>
      <c r="Q132" s="9">
        <f>Mecanismos!B9*(1-G132)</f>
        <v/>
      </c>
      <c r="R132" s="9">
        <f>Mecanismos!B9*(1-J132)</f>
        <v/>
      </c>
      <c r="S132" s="9">
        <f>Mecanismos!B8*H132</f>
        <v/>
      </c>
      <c r="T132" s="9">
        <f>Mecanismos!B10*H132</f>
        <v/>
      </c>
      <c r="U132" s="9">
        <f>Mecanismos!B8*K132</f>
        <v/>
      </c>
      <c r="V132" s="9">
        <f>Mecanismos!B3*D132</f>
        <v/>
      </c>
      <c r="W132" s="9">
        <f>Parametros!B2+Parametros!B4*(S132+T132+U132+V132)-Parametros!B3*(L132+M132+N132+O132+P132+Q132+R132)</f>
        <v/>
      </c>
      <c r="X132" s="10">
        <f>1/(1+EXP(-W132))</f>
        <v/>
      </c>
      <c r="Y132" s="11">
        <f>IF(Parametros!B6=1,0.15+0.85*(1/(1+EXP(-8*((1-N132)-0.45)))),1)</f>
        <v/>
      </c>
      <c r="Z132" s="11">
        <f>IF(Parametros!B7=1,MAX(0.05,1-L132^1.6),1)</f>
        <v/>
      </c>
      <c r="AA132" s="11">
        <f>IF(Parametros!B8=1,0.2+0.8*(1/(1+EXP(-9*(S132-0.25)))),1)</f>
        <v/>
      </c>
      <c r="AB132" s="10">
        <f>X132*Y132*Z132*AA132</f>
        <v/>
      </c>
    </row>
    <row r="133">
      <c r="A133" t="inlineStr">
        <is>
          <t>2ur1f1</t>
        </is>
      </c>
      <c r="B133" t="inlineStr">
        <is>
          <t>Davi Miguel da Mata</t>
        </is>
      </c>
      <c r="C133" s="8" t="n">
        <v>0.495</v>
      </c>
      <c r="D133" s="8" t="n">
        <v>0.8764999999999999</v>
      </c>
      <c r="E133" s="8" t="n">
        <v>0.4226</v>
      </c>
      <c r="F133" s="8" t="n">
        <v>0.5661</v>
      </c>
      <c r="G133" s="8" t="n">
        <v>0.4969</v>
      </c>
      <c r="H133" s="8" t="n">
        <v>0.7177</v>
      </c>
      <c r="I133" s="8" t="n">
        <v>0.7496</v>
      </c>
      <c r="J133" s="8" t="n">
        <v>0.7246</v>
      </c>
      <c r="K133" s="8" t="n">
        <v>0.3019</v>
      </c>
      <c r="L133" s="9">
        <f>1-(1-Mecanismos!B2)*(1-C133)</f>
        <v/>
      </c>
      <c r="M133" s="9">
        <f>Mecanismos!B7*D133</f>
        <v/>
      </c>
      <c r="N133" s="9">
        <f>Mecanismos!B4*(1-E133)</f>
        <v/>
      </c>
      <c r="O133" s="9">
        <f>Mecanismos!B5*(1-F133)</f>
        <v/>
      </c>
      <c r="P133" s="9">
        <f>Mecanismos!B6*(1-I133)</f>
        <v/>
      </c>
      <c r="Q133" s="9">
        <f>Mecanismos!B9*(1-G133)</f>
        <v/>
      </c>
      <c r="R133" s="9">
        <f>Mecanismos!B9*(1-J133)</f>
        <v/>
      </c>
      <c r="S133" s="9">
        <f>Mecanismos!B8*H133</f>
        <v/>
      </c>
      <c r="T133" s="9">
        <f>Mecanismos!B10*H133</f>
        <v/>
      </c>
      <c r="U133" s="9">
        <f>Mecanismos!B8*K133</f>
        <v/>
      </c>
      <c r="V133" s="9">
        <f>Mecanismos!B3*D133</f>
        <v/>
      </c>
      <c r="W133" s="9">
        <f>Parametros!B2+Parametros!B4*(S133+T133+U133+V133)-Parametros!B3*(L133+M133+N133+O133+P133+Q133+R133)</f>
        <v/>
      </c>
      <c r="X133" s="10">
        <f>1/(1+EXP(-W133))</f>
        <v/>
      </c>
      <c r="Y133" s="11">
        <f>IF(Parametros!B6=1,0.15+0.85*(1/(1+EXP(-8*((1-N133)-0.45)))),1)</f>
        <v/>
      </c>
      <c r="Z133" s="11">
        <f>IF(Parametros!B7=1,MAX(0.05,1-L133^1.6),1)</f>
        <v/>
      </c>
      <c r="AA133" s="11">
        <f>IF(Parametros!B8=1,0.2+0.8*(1/(1+EXP(-9*(S133-0.25)))),1)</f>
        <v/>
      </c>
      <c r="AB133" s="10">
        <f>X133*Y133*Z133*AA133</f>
        <v/>
      </c>
    </row>
    <row r="134">
      <c r="A134" t="inlineStr">
        <is>
          <t>6zgrfg</t>
        </is>
      </c>
      <c r="B134" t="inlineStr">
        <is>
          <t>Diego Borges</t>
        </is>
      </c>
      <c r="C134" s="8" t="n">
        <v>0.8141</v>
      </c>
      <c r="D134" s="8" t="n">
        <v>0.4329</v>
      </c>
      <c r="E134" s="8" t="n">
        <v>0.5805</v>
      </c>
      <c r="F134" s="8" t="n">
        <v>0.4548</v>
      </c>
      <c r="G134" s="8" t="n">
        <v>0.5607</v>
      </c>
      <c r="H134" s="8" t="n">
        <v>0.6841</v>
      </c>
      <c r="I134" s="8" t="n">
        <v>0.2074</v>
      </c>
      <c r="J134" s="8" t="n">
        <v>0.694</v>
      </c>
      <c r="K134" s="8" t="n">
        <v>0.1365</v>
      </c>
      <c r="L134" s="9">
        <f>1-(1-Mecanismos!B2)*(1-C134)</f>
        <v/>
      </c>
      <c r="M134" s="9">
        <f>Mecanismos!B7*D134</f>
        <v/>
      </c>
      <c r="N134" s="9">
        <f>Mecanismos!B4*(1-E134)</f>
        <v/>
      </c>
      <c r="O134" s="9">
        <f>Mecanismos!B5*(1-F134)</f>
        <v/>
      </c>
      <c r="P134" s="9">
        <f>Mecanismos!B6*(1-I134)</f>
        <v/>
      </c>
      <c r="Q134" s="9">
        <f>Mecanismos!B9*(1-G134)</f>
        <v/>
      </c>
      <c r="R134" s="9">
        <f>Mecanismos!B9*(1-J134)</f>
        <v/>
      </c>
      <c r="S134" s="9">
        <f>Mecanismos!B8*H134</f>
        <v/>
      </c>
      <c r="T134" s="9">
        <f>Mecanismos!B10*H134</f>
        <v/>
      </c>
      <c r="U134" s="9">
        <f>Mecanismos!B8*K134</f>
        <v/>
      </c>
      <c r="V134" s="9">
        <f>Mecanismos!B3*D134</f>
        <v/>
      </c>
      <c r="W134" s="9">
        <f>Parametros!B2+Parametros!B4*(S134+T134+U134+V134)-Parametros!B3*(L134+M134+N134+O134+P134+Q134+R134)</f>
        <v/>
      </c>
      <c r="X134" s="10">
        <f>1/(1+EXP(-W134))</f>
        <v/>
      </c>
      <c r="Y134" s="11">
        <f>IF(Parametros!B6=1,0.15+0.85*(1/(1+EXP(-8*((1-N134)-0.45)))),1)</f>
        <v/>
      </c>
      <c r="Z134" s="11">
        <f>IF(Parametros!B7=1,MAX(0.05,1-L134^1.6),1)</f>
        <v/>
      </c>
      <c r="AA134" s="11">
        <f>IF(Parametros!B8=1,0.2+0.8*(1/(1+EXP(-9*(S134-0.25)))),1)</f>
        <v/>
      </c>
      <c r="AB134" s="10">
        <f>X134*Y134*Z134*AA134</f>
        <v/>
      </c>
    </row>
    <row r="135">
      <c r="A135" t="inlineStr">
        <is>
          <t>s7kbgt</t>
        </is>
      </c>
      <c r="B135" t="inlineStr">
        <is>
          <t>Diego Brito</t>
        </is>
      </c>
      <c r="C135" s="8" t="n">
        <v>0.5117</v>
      </c>
      <c r="D135" s="8" t="n">
        <v>0.5704</v>
      </c>
      <c r="E135" s="8" t="n">
        <v>0.6091</v>
      </c>
      <c r="F135" s="8" t="n">
        <v>0.6707</v>
      </c>
      <c r="G135" s="8" t="n">
        <v>0.5883</v>
      </c>
      <c r="H135" s="8" t="n">
        <v>0.5969</v>
      </c>
      <c r="I135" s="8" t="n">
        <v>0.6766</v>
      </c>
      <c r="J135" s="8" t="n">
        <v>0.8234</v>
      </c>
      <c r="K135" s="8" t="n">
        <v>0.7796</v>
      </c>
      <c r="L135" s="9">
        <f>1-(1-Mecanismos!B2)*(1-C135)</f>
        <v/>
      </c>
      <c r="M135" s="9">
        <f>Mecanismos!B7*D135</f>
        <v/>
      </c>
      <c r="N135" s="9">
        <f>Mecanismos!B4*(1-E135)</f>
        <v/>
      </c>
      <c r="O135" s="9">
        <f>Mecanismos!B5*(1-F135)</f>
        <v/>
      </c>
      <c r="P135" s="9">
        <f>Mecanismos!B6*(1-I135)</f>
        <v/>
      </c>
      <c r="Q135" s="9">
        <f>Mecanismos!B9*(1-G135)</f>
        <v/>
      </c>
      <c r="R135" s="9">
        <f>Mecanismos!B9*(1-J135)</f>
        <v/>
      </c>
      <c r="S135" s="9">
        <f>Mecanismos!B8*H135</f>
        <v/>
      </c>
      <c r="T135" s="9">
        <f>Mecanismos!B10*H135</f>
        <v/>
      </c>
      <c r="U135" s="9">
        <f>Mecanismos!B8*K135</f>
        <v/>
      </c>
      <c r="V135" s="9">
        <f>Mecanismos!B3*D135</f>
        <v/>
      </c>
      <c r="W135" s="9">
        <f>Parametros!B2+Parametros!B4*(S135+T135+U135+V135)-Parametros!B3*(L135+M135+N135+O135+P135+Q135+R135)</f>
        <v/>
      </c>
      <c r="X135" s="10">
        <f>1/(1+EXP(-W135))</f>
        <v/>
      </c>
      <c r="Y135" s="11">
        <f>IF(Parametros!B6=1,0.15+0.85*(1/(1+EXP(-8*((1-N135)-0.45)))),1)</f>
        <v/>
      </c>
      <c r="Z135" s="11">
        <f>IF(Parametros!B7=1,MAX(0.05,1-L135^1.6),1)</f>
        <v/>
      </c>
      <c r="AA135" s="11">
        <f>IF(Parametros!B8=1,0.2+0.8*(1/(1+EXP(-9*(S135-0.25)))),1)</f>
        <v/>
      </c>
      <c r="AB135" s="10">
        <f>X135*Y135*Z135*AA135</f>
        <v/>
      </c>
    </row>
    <row r="136">
      <c r="A136" t="inlineStr">
        <is>
          <t>3ckfu8</t>
        </is>
      </c>
      <c r="B136" t="inlineStr">
        <is>
          <t>Diego Camargo</t>
        </is>
      </c>
      <c r="C136" s="8" t="n">
        <v>0.5983000000000001</v>
      </c>
      <c r="D136" s="8" t="n">
        <v>0.4525</v>
      </c>
      <c r="E136" s="8" t="n">
        <v>0.6995</v>
      </c>
      <c r="F136" s="8" t="n">
        <v>0.6234</v>
      </c>
      <c r="G136" s="8" t="n">
        <v>0.6041</v>
      </c>
      <c r="H136" s="8" t="n">
        <v>0.465</v>
      </c>
      <c r="I136" s="8" t="n">
        <v>0.4412</v>
      </c>
      <c r="J136" s="8" t="n">
        <v>0.8712</v>
      </c>
      <c r="K136" s="8" t="n">
        <v>0.3417</v>
      </c>
      <c r="L136" s="9">
        <f>1-(1-Mecanismos!B2)*(1-C136)</f>
        <v/>
      </c>
      <c r="M136" s="9">
        <f>Mecanismos!B7*D136</f>
        <v/>
      </c>
      <c r="N136" s="9">
        <f>Mecanismos!B4*(1-E136)</f>
        <v/>
      </c>
      <c r="O136" s="9">
        <f>Mecanismos!B5*(1-F136)</f>
        <v/>
      </c>
      <c r="P136" s="9">
        <f>Mecanismos!B6*(1-I136)</f>
        <v/>
      </c>
      <c r="Q136" s="9">
        <f>Mecanismos!B9*(1-G136)</f>
        <v/>
      </c>
      <c r="R136" s="9">
        <f>Mecanismos!B9*(1-J136)</f>
        <v/>
      </c>
      <c r="S136" s="9">
        <f>Mecanismos!B8*H136</f>
        <v/>
      </c>
      <c r="T136" s="9">
        <f>Mecanismos!B10*H136</f>
        <v/>
      </c>
      <c r="U136" s="9">
        <f>Mecanismos!B8*K136</f>
        <v/>
      </c>
      <c r="V136" s="9">
        <f>Mecanismos!B3*D136</f>
        <v/>
      </c>
      <c r="W136" s="9">
        <f>Parametros!B2+Parametros!B4*(S136+T136+U136+V136)-Parametros!B3*(L136+M136+N136+O136+P136+Q136+R136)</f>
        <v/>
      </c>
      <c r="X136" s="10">
        <f>1/(1+EXP(-W136))</f>
        <v/>
      </c>
      <c r="Y136" s="11">
        <f>IF(Parametros!B6=1,0.15+0.85*(1/(1+EXP(-8*((1-N136)-0.45)))),1)</f>
        <v/>
      </c>
      <c r="Z136" s="11">
        <f>IF(Parametros!B7=1,MAX(0.05,1-L136^1.6),1)</f>
        <v/>
      </c>
      <c r="AA136" s="11">
        <f>IF(Parametros!B8=1,0.2+0.8*(1/(1+EXP(-9*(S136-0.25)))),1)</f>
        <v/>
      </c>
      <c r="AB136" s="10">
        <f>X136*Y136*Z136*AA136</f>
        <v/>
      </c>
    </row>
    <row r="137">
      <c r="A137" t="inlineStr">
        <is>
          <t>i59cuj</t>
        </is>
      </c>
      <c r="B137" t="inlineStr">
        <is>
          <t>Diego Siqueira</t>
        </is>
      </c>
      <c r="C137" s="8" t="n">
        <v>0.497</v>
      </c>
      <c r="D137" s="8" t="n">
        <v>0.477</v>
      </c>
      <c r="E137" s="8" t="n">
        <v>0.478</v>
      </c>
      <c r="F137" s="8" t="n">
        <v>0.4626</v>
      </c>
      <c r="G137" s="8" t="n">
        <v>0.2718</v>
      </c>
      <c r="H137" s="8" t="n">
        <v>0.7724</v>
      </c>
      <c r="I137" s="8" t="n">
        <v>0.3446</v>
      </c>
      <c r="J137" s="8" t="n">
        <v>0.6673</v>
      </c>
      <c r="K137" s="8" t="n">
        <v>0.8564000000000001</v>
      </c>
      <c r="L137" s="9">
        <f>1-(1-Mecanismos!B2)*(1-C137)</f>
        <v/>
      </c>
      <c r="M137" s="9">
        <f>Mecanismos!B7*D137</f>
        <v/>
      </c>
      <c r="N137" s="9">
        <f>Mecanismos!B4*(1-E137)</f>
        <v/>
      </c>
      <c r="O137" s="9">
        <f>Mecanismos!B5*(1-F137)</f>
        <v/>
      </c>
      <c r="P137" s="9">
        <f>Mecanismos!B6*(1-I137)</f>
        <v/>
      </c>
      <c r="Q137" s="9">
        <f>Mecanismos!B9*(1-G137)</f>
        <v/>
      </c>
      <c r="R137" s="9">
        <f>Mecanismos!B9*(1-J137)</f>
        <v/>
      </c>
      <c r="S137" s="9">
        <f>Mecanismos!B8*H137</f>
        <v/>
      </c>
      <c r="T137" s="9">
        <f>Mecanismos!B10*H137</f>
        <v/>
      </c>
      <c r="U137" s="9">
        <f>Mecanismos!B8*K137</f>
        <v/>
      </c>
      <c r="V137" s="9">
        <f>Mecanismos!B3*D137</f>
        <v/>
      </c>
      <c r="W137" s="9">
        <f>Parametros!B2+Parametros!B4*(S137+T137+U137+V137)-Parametros!B3*(L137+M137+N137+O137+P137+Q137+R137)</f>
        <v/>
      </c>
      <c r="X137" s="10">
        <f>1/(1+EXP(-W137))</f>
        <v/>
      </c>
      <c r="Y137" s="11">
        <f>IF(Parametros!B6=1,0.15+0.85*(1/(1+EXP(-8*((1-N137)-0.45)))),1)</f>
        <v/>
      </c>
      <c r="Z137" s="11">
        <f>IF(Parametros!B7=1,MAX(0.05,1-L137^1.6),1)</f>
        <v/>
      </c>
      <c r="AA137" s="11">
        <f>IF(Parametros!B8=1,0.2+0.8*(1/(1+EXP(-9*(S137-0.25)))),1)</f>
        <v/>
      </c>
      <c r="AB137" s="10">
        <f>X137*Y137*Z137*AA137</f>
        <v/>
      </c>
    </row>
    <row r="138">
      <c r="A138" t="inlineStr">
        <is>
          <t>7feequ</t>
        </is>
      </c>
      <c r="B138" t="inlineStr">
        <is>
          <t>Diego da Mota</t>
        </is>
      </c>
      <c r="C138" s="8" t="n">
        <v>0.7098</v>
      </c>
      <c r="D138" s="8" t="n">
        <v>0.5471</v>
      </c>
      <c r="E138" s="8" t="n">
        <v>0.5315</v>
      </c>
      <c r="F138" s="8" t="n">
        <v>0.5227000000000001</v>
      </c>
      <c r="G138" s="8" t="n">
        <v>0.2007</v>
      </c>
      <c r="H138" s="8" t="n">
        <v>0.7662</v>
      </c>
      <c r="I138" s="8" t="n">
        <v>0.7572</v>
      </c>
      <c r="J138" s="8" t="n">
        <v>0.6308</v>
      </c>
      <c r="K138" s="8" t="n">
        <v>0.5831</v>
      </c>
      <c r="L138" s="9">
        <f>1-(1-Mecanismos!B2)*(1-C138)</f>
        <v/>
      </c>
      <c r="M138" s="9">
        <f>Mecanismos!B7*D138</f>
        <v/>
      </c>
      <c r="N138" s="9">
        <f>Mecanismos!B4*(1-E138)</f>
        <v/>
      </c>
      <c r="O138" s="9">
        <f>Mecanismos!B5*(1-F138)</f>
        <v/>
      </c>
      <c r="P138" s="9">
        <f>Mecanismos!B6*(1-I138)</f>
        <v/>
      </c>
      <c r="Q138" s="9">
        <f>Mecanismos!B9*(1-G138)</f>
        <v/>
      </c>
      <c r="R138" s="9">
        <f>Mecanismos!B9*(1-J138)</f>
        <v/>
      </c>
      <c r="S138" s="9">
        <f>Mecanismos!B8*H138</f>
        <v/>
      </c>
      <c r="T138" s="9">
        <f>Mecanismos!B10*H138</f>
        <v/>
      </c>
      <c r="U138" s="9">
        <f>Mecanismos!B8*K138</f>
        <v/>
      </c>
      <c r="V138" s="9">
        <f>Mecanismos!B3*D138</f>
        <v/>
      </c>
      <c r="W138" s="9">
        <f>Parametros!B2+Parametros!B4*(S138+T138+U138+V138)-Parametros!B3*(L138+M138+N138+O138+P138+Q138+R138)</f>
        <v/>
      </c>
      <c r="X138" s="10">
        <f>1/(1+EXP(-W138))</f>
        <v/>
      </c>
      <c r="Y138" s="11">
        <f>IF(Parametros!B6=1,0.15+0.85*(1/(1+EXP(-8*((1-N138)-0.45)))),1)</f>
        <v/>
      </c>
      <c r="Z138" s="11">
        <f>IF(Parametros!B7=1,MAX(0.05,1-L138^1.6),1)</f>
        <v/>
      </c>
      <c r="AA138" s="11">
        <f>IF(Parametros!B8=1,0.2+0.8*(1/(1+EXP(-9*(S138-0.25)))),1)</f>
        <v/>
      </c>
      <c r="AB138" s="10">
        <f>X138*Y138*Z138*AA138</f>
        <v/>
      </c>
    </row>
    <row r="139">
      <c r="A139" t="inlineStr">
        <is>
          <t>dker2q</t>
        </is>
      </c>
      <c r="B139" t="inlineStr">
        <is>
          <t>Diogo Barros</t>
        </is>
      </c>
      <c r="C139" s="8" t="n">
        <v>0.2751</v>
      </c>
      <c r="D139" s="8" t="n">
        <v>0.5359</v>
      </c>
      <c r="E139" s="8" t="n">
        <v>0.5847</v>
      </c>
      <c r="F139" s="8" t="n">
        <v>0.6709000000000001</v>
      </c>
      <c r="G139" s="8" t="n">
        <v>0.4909</v>
      </c>
      <c r="H139" s="8" t="n">
        <v>0.5769</v>
      </c>
      <c r="I139" s="8" t="n">
        <v>0.6877</v>
      </c>
      <c r="J139" s="8" t="n">
        <v>0.6455</v>
      </c>
      <c r="K139" s="8" t="n">
        <v>0.5246</v>
      </c>
      <c r="L139" s="9">
        <f>1-(1-Mecanismos!B2)*(1-C139)</f>
        <v/>
      </c>
      <c r="M139" s="9">
        <f>Mecanismos!B7*D139</f>
        <v/>
      </c>
      <c r="N139" s="9">
        <f>Mecanismos!B4*(1-E139)</f>
        <v/>
      </c>
      <c r="O139" s="9">
        <f>Mecanismos!B5*(1-F139)</f>
        <v/>
      </c>
      <c r="P139" s="9">
        <f>Mecanismos!B6*(1-I139)</f>
        <v/>
      </c>
      <c r="Q139" s="9">
        <f>Mecanismos!B9*(1-G139)</f>
        <v/>
      </c>
      <c r="R139" s="9">
        <f>Mecanismos!B9*(1-J139)</f>
        <v/>
      </c>
      <c r="S139" s="9">
        <f>Mecanismos!B8*H139</f>
        <v/>
      </c>
      <c r="T139" s="9">
        <f>Mecanismos!B10*H139</f>
        <v/>
      </c>
      <c r="U139" s="9">
        <f>Mecanismos!B8*K139</f>
        <v/>
      </c>
      <c r="V139" s="9">
        <f>Mecanismos!B3*D139</f>
        <v/>
      </c>
      <c r="W139" s="9">
        <f>Parametros!B2+Parametros!B4*(S139+T139+U139+V139)-Parametros!B3*(L139+M139+N139+O139+P139+Q139+R139)</f>
        <v/>
      </c>
      <c r="X139" s="10">
        <f>1/(1+EXP(-W139))</f>
        <v/>
      </c>
      <c r="Y139" s="11">
        <f>IF(Parametros!B6=1,0.15+0.85*(1/(1+EXP(-8*((1-N139)-0.45)))),1)</f>
        <v/>
      </c>
      <c r="Z139" s="11">
        <f>IF(Parametros!B7=1,MAX(0.05,1-L139^1.6),1)</f>
        <v/>
      </c>
      <c r="AA139" s="11">
        <f>IF(Parametros!B8=1,0.2+0.8*(1/(1+EXP(-9*(S139-0.25)))),1)</f>
        <v/>
      </c>
      <c r="AB139" s="10">
        <f>X139*Y139*Z139*AA139</f>
        <v/>
      </c>
    </row>
    <row r="140">
      <c r="A140" t="inlineStr">
        <is>
          <t>uyxsjr</t>
        </is>
      </c>
      <c r="B140" t="inlineStr">
        <is>
          <t>Diogo Lopes</t>
        </is>
      </c>
      <c r="C140" s="8" t="n">
        <v>0.7782</v>
      </c>
      <c r="D140" s="8" t="n">
        <v>0.374</v>
      </c>
      <c r="E140" s="8" t="n">
        <v>0.5881999999999999</v>
      </c>
      <c r="F140" s="8" t="n">
        <v>0.7877</v>
      </c>
      <c r="G140" s="8" t="n">
        <v>0.6512</v>
      </c>
      <c r="H140" s="8" t="n">
        <v>0.4533</v>
      </c>
      <c r="I140" s="8" t="n">
        <v>0.6187</v>
      </c>
      <c r="J140" s="8" t="n">
        <v>0.8579</v>
      </c>
      <c r="K140" s="8" t="n">
        <v>0.6126</v>
      </c>
      <c r="L140" s="9">
        <f>1-(1-Mecanismos!B2)*(1-C140)</f>
        <v/>
      </c>
      <c r="M140" s="9">
        <f>Mecanismos!B7*D140</f>
        <v/>
      </c>
      <c r="N140" s="9">
        <f>Mecanismos!B4*(1-E140)</f>
        <v/>
      </c>
      <c r="O140" s="9">
        <f>Mecanismos!B5*(1-F140)</f>
        <v/>
      </c>
      <c r="P140" s="9">
        <f>Mecanismos!B6*(1-I140)</f>
        <v/>
      </c>
      <c r="Q140" s="9">
        <f>Mecanismos!B9*(1-G140)</f>
        <v/>
      </c>
      <c r="R140" s="9">
        <f>Mecanismos!B9*(1-J140)</f>
        <v/>
      </c>
      <c r="S140" s="9">
        <f>Mecanismos!B8*H140</f>
        <v/>
      </c>
      <c r="T140" s="9">
        <f>Mecanismos!B10*H140</f>
        <v/>
      </c>
      <c r="U140" s="9">
        <f>Mecanismos!B8*K140</f>
        <v/>
      </c>
      <c r="V140" s="9">
        <f>Mecanismos!B3*D140</f>
        <v/>
      </c>
      <c r="W140" s="9">
        <f>Parametros!B2+Parametros!B4*(S140+T140+U140+V140)-Parametros!B3*(L140+M140+N140+O140+P140+Q140+R140)</f>
        <v/>
      </c>
      <c r="X140" s="10">
        <f>1/(1+EXP(-W140))</f>
        <v/>
      </c>
      <c r="Y140" s="11">
        <f>IF(Parametros!B6=1,0.15+0.85*(1/(1+EXP(-8*((1-N140)-0.45)))),1)</f>
        <v/>
      </c>
      <c r="Z140" s="11">
        <f>IF(Parametros!B7=1,MAX(0.05,1-L140^1.6),1)</f>
        <v/>
      </c>
      <c r="AA140" s="11">
        <f>IF(Parametros!B8=1,0.2+0.8*(1/(1+EXP(-9*(S140-0.25)))),1)</f>
        <v/>
      </c>
      <c r="AB140" s="10">
        <f>X140*Y140*Z140*AA140</f>
        <v/>
      </c>
    </row>
    <row r="141">
      <c r="A141" t="inlineStr">
        <is>
          <t>wclbun</t>
        </is>
      </c>
      <c r="B141" t="inlineStr">
        <is>
          <t>Diogo Sá</t>
        </is>
      </c>
      <c r="C141" s="8" t="n">
        <v>0.3448</v>
      </c>
      <c r="D141" s="8" t="n">
        <v>0.3531</v>
      </c>
      <c r="E141" s="8" t="n">
        <v>0.4411</v>
      </c>
      <c r="F141" s="8" t="n">
        <v>0.3821</v>
      </c>
      <c r="G141" s="8" t="n">
        <v>0.5147</v>
      </c>
      <c r="H141" s="8" t="n">
        <v>0.6437</v>
      </c>
      <c r="I141" s="8" t="n">
        <v>0.5552</v>
      </c>
      <c r="J141" s="8" t="n">
        <v>0.8139999999999999</v>
      </c>
      <c r="K141" s="8" t="n">
        <v>0.4316</v>
      </c>
      <c r="L141" s="9">
        <f>1-(1-Mecanismos!B2)*(1-C141)</f>
        <v/>
      </c>
      <c r="M141" s="9">
        <f>Mecanismos!B7*D141</f>
        <v/>
      </c>
      <c r="N141" s="9">
        <f>Mecanismos!B4*(1-E141)</f>
        <v/>
      </c>
      <c r="O141" s="9">
        <f>Mecanismos!B5*(1-F141)</f>
        <v/>
      </c>
      <c r="P141" s="9">
        <f>Mecanismos!B6*(1-I141)</f>
        <v/>
      </c>
      <c r="Q141" s="9">
        <f>Mecanismos!B9*(1-G141)</f>
        <v/>
      </c>
      <c r="R141" s="9">
        <f>Mecanismos!B9*(1-J141)</f>
        <v/>
      </c>
      <c r="S141" s="9">
        <f>Mecanismos!B8*H141</f>
        <v/>
      </c>
      <c r="T141" s="9">
        <f>Mecanismos!B10*H141</f>
        <v/>
      </c>
      <c r="U141" s="9">
        <f>Mecanismos!B8*K141</f>
        <v/>
      </c>
      <c r="V141" s="9">
        <f>Mecanismos!B3*D141</f>
        <v/>
      </c>
      <c r="W141" s="9">
        <f>Parametros!B2+Parametros!B4*(S141+T141+U141+V141)-Parametros!B3*(L141+M141+N141+O141+P141+Q141+R141)</f>
        <v/>
      </c>
      <c r="X141" s="10">
        <f>1/(1+EXP(-W141))</f>
        <v/>
      </c>
      <c r="Y141" s="11">
        <f>IF(Parametros!B6=1,0.15+0.85*(1/(1+EXP(-8*((1-N141)-0.45)))),1)</f>
        <v/>
      </c>
      <c r="Z141" s="11">
        <f>IF(Parametros!B7=1,MAX(0.05,1-L141^1.6),1)</f>
        <v/>
      </c>
      <c r="AA141" s="11">
        <f>IF(Parametros!B8=1,0.2+0.8*(1/(1+EXP(-9*(S141-0.25)))),1)</f>
        <v/>
      </c>
      <c r="AB141" s="10">
        <f>X141*Y141*Z141*AA141</f>
        <v/>
      </c>
    </row>
    <row r="142">
      <c r="A142" t="inlineStr">
        <is>
          <t>82fpvo</t>
        </is>
      </c>
      <c r="B142" t="inlineStr">
        <is>
          <t>Dom Fernandes</t>
        </is>
      </c>
      <c r="C142" s="8" t="n">
        <v>0.7167</v>
      </c>
      <c r="D142" s="8" t="n">
        <v>0.6667</v>
      </c>
      <c r="E142" s="8" t="n">
        <v>0.3919</v>
      </c>
      <c r="F142" s="8" t="n">
        <v>0.6089</v>
      </c>
      <c r="G142" s="8" t="n">
        <v>0.5396</v>
      </c>
      <c r="H142" s="8" t="n">
        <v>0.4039</v>
      </c>
      <c r="I142" s="8" t="n">
        <v>0.7861</v>
      </c>
      <c r="J142" s="8" t="n">
        <v>0.782</v>
      </c>
      <c r="K142" s="8" t="n">
        <v>0.1473</v>
      </c>
      <c r="L142" s="9">
        <f>1-(1-Mecanismos!B2)*(1-C142)</f>
        <v/>
      </c>
      <c r="M142" s="9">
        <f>Mecanismos!B7*D142</f>
        <v/>
      </c>
      <c r="N142" s="9">
        <f>Mecanismos!B4*(1-E142)</f>
        <v/>
      </c>
      <c r="O142" s="9">
        <f>Mecanismos!B5*(1-F142)</f>
        <v/>
      </c>
      <c r="P142" s="9">
        <f>Mecanismos!B6*(1-I142)</f>
        <v/>
      </c>
      <c r="Q142" s="9">
        <f>Mecanismos!B9*(1-G142)</f>
        <v/>
      </c>
      <c r="R142" s="9">
        <f>Mecanismos!B9*(1-J142)</f>
        <v/>
      </c>
      <c r="S142" s="9">
        <f>Mecanismos!B8*H142</f>
        <v/>
      </c>
      <c r="T142" s="9">
        <f>Mecanismos!B10*H142</f>
        <v/>
      </c>
      <c r="U142" s="9">
        <f>Mecanismos!B8*K142</f>
        <v/>
      </c>
      <c r="V142" s="9">
        <f>Mecanismos!B3*D142</f>
        <v/>
      </c>
      <c r="W142" s="9">
        <f>Parametros!B2+Parametros!B4*(S142+T142+U142+V142)-Parametros!B3*(L142+M142+N142+O142+P142+Q142+R142)</f>
        <v/>
      </c>
      <c r="X142" s="10">
        <f>1/(1+EXP(-W142))</f>
        <v/>
      </c>
      <c r="Y142" s="11">
        <f>IF(Parametros!B6=1,0.15+0.85*(1/(1+EXP(-8*((1-N142)-0.45)))),1)</f>
        <v/>
      </c>
      <c r="Z142" s="11">
        <f>IF(Parametros!B7=1,MAX(0.05,1-L142^1.6),1)</f>
        <v/>
      </c>
      <c r="AA142" s="11">
        <f>IF(Parametros!B8=1,0.2+0.8*(1/(1+EXP(-9*(S142-0.25)))),1)</f>
        <v/>
      </c>
      <c r="AB142" s="10">
        <f>X142*Y142*Z142*AA142</f>
        <v/>
      </c>
    </row>
    <row r="143">
      <c r="A143" t="inlineStr">
        <is>
          <t>hvddbq</t>
        </is>
      </c>
      <c r="B143" t="inlineStr">
        <is>
          <t>Dom Fernandes</t>
        </is>
      </c>
      <c r="C143" s="8" t="n">
        <v>0.2945</v>
      </c>
      <c r="D143" s="8" t="n">
        <v>0.6909</v>
      </c>
      <c r="E143" s="8" t="n">
        <v>0.6065</v>
      </c>
      <c r="F143" s="8" t="n">
        <v>0.7531</v>
      </c>
      <c r="G143" s="8" t="n">
        <v>0.6377</v>
      </c>
      <c r="H143" s="8" t="n">
        <v>0.6017</v>
      </c>
      <c r="I143" s="8" t="n">
        <v>0.737</v>
      </c>
      <c r="J143" s="8" t="n">
        <v>0.6777</v>
      </c>
      <c r="K143" s="8" t="n">
        <v>0.7323</v>
      </c>
      <c r="L143" s="9">
        <f>1-(1-Mecanismos!B2)*(1-C143)</f>
        <v/>
      </c>
      <c r="M143" s="9">
        <f>Mecanismos!B7*D143</f>
        <v/>
      </c>
      <c r="N143" s="9">
        <f>Mecanismos!B4*(1-E143)</f>
        <v/>
      </c>
      <c r="O143" s="9">
        <f>Mecanismos!B5*(1-F143)</f>
        <v/>
      </c>
      <c r="P143" s="9">
        <f>Mecanismos!B6*(1-I143)</f>
        <v/>
      </c>
      <c r="Q143" s="9">
        <f>Mecanismos!B9*(1-G143)</f>
        <v/>
      </c>
      <c r="R143" s="9">
        <f>Mecanismos!B9*(1-J143)</f>
        <v/>
      </c>
      <c r="S143" s="9">
        <f>Mecanismos!B8*H143</f>
        <v/>
      </c>
      <c r="T143" s="9">
        <f>Mecanismos!B10*H143</f>
        <v/>
      </c>
      <c r="U143" s="9">
        <f>Mecanismos!B8*K143</f>
        <v/>
      </c>
      <c r="V143" s="9">
        <f>Mecanismos!B3*D143</f>
        <v/>
      </c>
      <c r="W143" s="9">
        <f>Parametros!B2+Parametros!B4*(S143+T143+U143+V143)-Parametros!B3*(L143+M143+N143+O143+P143+Q143+R143)</f>
        <v/>
      </c>
      <c r="X143" s="10">
        <f>1/(1+EXP(-W143))</f>
        <v/>
      </c>
      <c r="Y143" s="11">
        <f>IF(Parametros!B6=1,0.15+0.85*(1/(1+EXP(-8*((1-N143)-0.45)))),1)</f>
        <v/>
      </c>
      <c r="Z143" s="11">
        <f>IF(Parametros!B7=1,MAX(0.05,1-L143^1.6),1)</f>
        <v/>
      </c>
      <c r="AA143" s="11">
        <f>IF(Parametros!B8=1,0.2+0.8*(1/(1+EXP(-9*(S143-0.25)))),1)</f>
        <v/>
      </c>
      <c r="AB143" s="10">
        <f>X143*Y143*Z143*AA143</f>
        <v/>
      </c>
    </row>
    <row r="144">
      <c r="A144" t="inlineStr">
        <is>
          <t>xxgoet</t>
        </is>
      </c>
      <c r="B144" t="inlineStr">
        <is>
          <t>Dom Fernandes</t>
        </is>
      </c>
      <c r="C144" s="8" t="n">
        <v>0.6362</v>
      </c>
      <c r="D144" s="8" t="n">
        <v>0.6279</v>
      </c>
      <c r="E144" s="8" t="n">
        <v>0.5754</v>
      </c>
      <c r="F144" s="8" t="n">
        <v>0.6394</v>
      </c>
      <c r="G144" s="8" t="n">
        <v>0.501</v>
      </c>
      <c r="H144" s="8" t="n">
        <v>0.6198</v>
      </c>
      <c r="I144" s="8" t="n">
        <v>0.4832</v>
      </c>
      <c r="J144" s="8" t="n">
        <v>0.8726</v>
      </c>
      <c r="K144" s="8" t="n">
        <v>0.407</v>
      </c>
      <c r="L144" s="9">
        <f>1-(1-Mecanismos!B2)*(1-C144)</f>
        <v/>
      </c>
      <c r="M144" s="9">
        <f>Mecanismos!B7*D144</f>
        <v/>
      </c>
      <c r="N144" s="9">
        <f>Mecanismos!B4*(1-E144)</f>
        <v/>
      </c>
      <c r="O144" s="9">
        <f>Mecanismos!B5*(1-F144)</f>
        <v/>
      </c>
      <c r="P144" s="9">
        <f>Mecanismos!B6*(1-I144)</f>
        <v/>
      </c>
      <c r="Q144" s="9">
        <f>Mecanismos!B9*(1-G144)</f>
        <v/>
      </c>
      <c r="R144" s="9">
        <f>Mecanismos!B9*(1-J144)</f>
        <v/>
      </c>
      <c r="S144" s="9">
        <f>Mecanismos!B8*H144</f>
        <v/>
      </c>
      <c r="T144" s="9">
        <f>Mecanismos!B10*H144</f>
        <v/>
      </c>
      <c r="U144" s="9">
        <f>Mecanismos!B8*K144</f>
        <v/>
      </c>
      <c r="V144" s="9">
        <f>Mecanismos!B3*D144</f>
        <v/>
      </c>
      <c r="W144" s="9">
        <f>Parametros!B2+Parametros!B4*(S144+T144+U144+V144)-Parametros!B3*(L144+M144+N144+O144+P144+Q144+R144)</f>
        <v/>
      </c>
      <c r="X144" s="10">
        <f>1/(1+EXP(-W144))</f>
        <v/>
      </c>
      <c r="Y144" s="11">
        <f>IF(Parametros!B6=1,0.15+0.85*(1/(1+EXP(-8*((1-N144)-0.45)))),1)</f>
        <v/>
      </c>
      <c r="Z144" s="11">
        <f>IF(Parametros!B7=1,MAX(0.05,1-L144^1.6),1)</f>
        <v/>
      </c>
      <c r="AA144" s="11">
        <f>IF(Parametros!B8=1,0.2+0.8*(1/(1+EXP(-9*(S144-0.25)))),1)</f>
        <v/>
      </c>
      <c r="AB144" s="10">
        <f>X144*Y144*Z144*AA144</f>
        <v/>
      </c>
    </row>
    <row r="145">
      <c r="A145" t="inlineStr">
        <is>
          <t>scqh8o</t>
        </is>
      </c>
      <c r="B145" t="inlineStr">
        <is>
          <t>Dom Monteiro</t>
        </is>
      </c>
      <c r="C145" s="8" t="n">
        <v>0.6666</v>
      </c>
      <c r="D145" s="8" t="n">
        <v>0.5653</v>
      </c>
      <c r="E145" s="8" t="n">
        <v>0.5247000000000001</v>
      </c>
      <c r="F145" s="8" t="n">
        <v>0.5562</v>
      </c>
      <c r="G145" s="8" t="n">
        <v>0.5832000000000001</v>
      </c>
      <c r="H145" s="8" t="n">
        <v>0.6399</v>
      </c>
      <c r="I145" s="8" t="n">
        <v>0.7337</v>
      </c>
      <c r="J145" s="8" t="n">
        <v>0.7536</v>
      </c>
      <c r="K145" s="8" t="n">
        <v>0.1143</v>
      </c>
      <c r="L145" s="9">
        <f>1-(1-Mecanismos!B2)*(1-C145)</f>
        <v/>
      </c>
      <c r="M145" s="9">
        <f>Mecanismos!B7*D145</f>
        <v/>
      </c>
      <c r="N145" s="9">
        <f>Mecanismos!B4*(1-E145)</f>
        <v/>
      </c>
      <c r="O145" s="9">
        <f>Mecanismos!B5*(1-F145)</f>
        <v/>
      </c>
      <c r="P145" s="9">
        <f>Mecanismos!B6*(1-I145)</f>
        <v/>
      </c>
      <c r="Q145" s="9">
        <f>Mecanismos!B9*(1-G145)</f>
        <v/>
      </c>
      <c r="R145" s="9">
        <f>Mecanismos!B9*(1-J145)</f>
        <v/>
      </c>
      <c r="S145" s="9">
        <f>Mecanismos!B8*H145</f>
        <v/>
      </c>
      <c r="T145" s="9">
        <f>Mecanismos!B10*H145</f>
        <v/>
      </c>
      <c r="U145" s="9">
        <f>Mecanismos!B8*K145</f>
        <v/>
      </c>
      <c r="V145" s="9">
        <f>Mecanismos!B3*D145</f>
        <v/>
      </c>
      <c r="W145" s="9">
        <f>Parametros!B2+Parametros!B4*(S145+T145+U145+V145)-Parametros!B3*(L145+M145+N145+O145+P145+Q145+R145)</f>
        <v/>
      </c>
      <c r="X145" s="10">
        <f>1/(1+EXP(-W145))</f>
        <v/>
      </c>
      <c r="Y145" s="11">
        <f>IF(Parametros!B6=1,0.15+0.85*(1/(1+EXP(-8*((1-N145)-0.45)))),1)</f>
        <v/>
      </c>
      <c r="Z145" s="11">
        <f>IF(Parametros!B7=1,MAX(0.05,1-L145^1.6),1)</f>
        <v/>
      </c>
      <c r="AA145" s="11">
        <f>IF(Parametros!B8=1,0.2+0.8*(1/(1+EXP(-9*(S145-0.25)))),1)</f>
        <v/>
      </c>
      <c r="AB145" s="10">
        <f>X145*Y145*Z145*AA145</f>
        <v/>
      </c>
    </row>
    <row r="146">
      <c r="A146" t="inlineStr">
        <is>
          <t>cw0hmb</t>
        </is>
      </c>
      <c r="B146" t="inlineStr">
        <is>
          <t>Eduarda Nascimento</t>
        </is>
      </c>
      <c r="C146" s="8" t="n">
        <v>0.654</v>
      </c>
      <c r="D146" s="8" t="n">
        <v>0.337</v>
      </c>
      <c r="E146" s="8" t="n">
        <v>0.888</v>
      </c>
      <c r="F146" s="8" t="n">
        <v>0.387</v>
      </c>
      <c r="G146" s="8" t="n">
        <v>0.4598</v>
      </c>
      <c r="H146" s="8" t="n">
        <v>0.3521</v>
      </c>
      <c r="I146" s="8" t="n">
        <v>0.5653</v>
      </c>
      <c r="J146" s="8" t="n">
        <v>0.725</v>
      </c>
      <c r="K146" s="8" t="n">
        <v>0.6197</v>
      </c>
      <c r="L146" s="9">
        <f>1-(1-Mecanismos!B2)*(1-C146)</f>
        <v/>
      </c>
      <c r="M146" s="9">
        <f>Mecanismos!B7*D146</f>
        <v/>
      </c>
      <c r="N146" s="9">
        <f>Mecanismos!B4*(1-E146)</f>
        <v/>
      </c>
      <c r="O146" s="9">
        <f>Mecanismos!B5*(1-F146)</f>
        <v/>
      </c>
      <c r="P146" s="9">
        <f>Mecanismos!B6*(1-I146)</f>
        <v/>
      </c>
      <c r="Q146" s="9">
        <f>Mecanismos!B9*(1-G146)</f>
        <v/>
      </c>
      <c r="R146" s="9">
        <f>Mecanismos!B9*(1-J146)</f>
        <v/>
      </c>
      <c r="S146" s="9">
        <f>Mecanismos!B8*H146</f>
        <v/>
      </c>
      <c r="T146" s="9">
        <f>Mecanismos!B10*H146</f>
        <v/>
      </c>
      <c r="U146" s="9">
        <f>Mecanismos!B8*K146</f>
        <v/>
      </c>
      <c r="V146" s="9">
        <f>Mecanismos!B3*D146</f>
        <v/>
      </c>
      <c r="W146" s="9">
        <f>Parametros!B2+Parametros!B4*(S146+T146+U146+V146)-Parametros!B3*(L146+M146+N146+O146+P146+Q146+R146)</f>
        <v/>
      </c>
      <c r="X146" s="10">
        <f>1/(1+EXP(-W146))</f>
        <v/>
      </c>
      <c r="Y146" s="11">
        <f>IF(Parametros!B6=1,0.15+0.85*(1/(1+EXP(-8*((1-N146)-0.45)))),1)</f>
        <v/>
      </c>
      <c r="Z146" s="11">
        <f>IF(Parametros!B7=1,MAX(0.05,1-L146^1.6),1)</f>
        <v/>
      </c>
      <c r="AA146" s="11">
        <f>IF(Parametros!B8=1,0.2+0.8*(1/(1+EXP(-9*(S146-0.25)))),1)</f>
        <v/>
      </c>
      <c r="AB146" s="10">
        <f>X146*Y146*Z146*AA146</f>
        <v/>
      </c>
    </row>
    <row r="147">
      <c r="A147" t="inlineStr">
        <is>
          <t>ocky6w</t>
        </is>
      </c>
      <c r="B147" t="inlineStr">
        <is>
          <t>Eduarda Santos</t>
        </is>
      </c>
      <c r="C147" s="8" t="n">
        <v>0.7477</v>
      </c>
      <c r="D147" s="8" t="n">
        <v>0.5786</v>
      </c>
      <c r="E147" s="8" t="n">
        <v>0.4091</v>
      </c>
      <c r="F147" s="8" t="n">
        <v>0.6631</v>
      </c>
      <c r="G147" s="8" t="n">
        <v>0.5782</v>
      </c>
      <c r="H147" s="8" t="n">
        <v>0.5147</v>
      </c>
      <c r="I147" s="8" t="n">
        <v>0.6603</v>
      </c>
      <c r="J147" s="8" t="n">
        <v>0.7833</v>
      </c>
      <c r="K147" s="8" t="n">
        <v>0.7812</v>
      </c>
      <c r="L147" s="9">
        <f>1-(1-Mecanismos!B2)*(1-C147)</f>
        <v/>
      </c>
      <c r="M147" s="9">
        <f>Mecanismos!B7*D147</f>
        <v/>
      </c>
      <c r="N147" s="9">
        <f>Mecanismos!B4*(1-E147)</f>
        <v/>
      </c>
      <c r="O147" s="9">
        <f>Mecanismos!B5*(1-F147)</f>
        <v/>
      </c>
      <c r="P147" s="9">
        <f>Mecanismos!B6*(1-I147)</f>
        <v/>
      </c>
      <c r="Q147" s="9">
        <f>Mecanismos!B9*(1-G147)</f>
        <v/>
      </c>
      <c r="R147" s="9">
        <f>Mecanismos!B9*(1-J147)</f>
        <v/>
      </c>
      <c r="S147" s="9">
        <f>Mecanismos!B8*H147</f>
        <v/>
      </c>
      <c r="T147" s="9">
        <f>Mecanismos!B10*H147</f>
        <v/>
      </c>
      <c r="U147" s="9">
        <f>Mecanismos!B8*K147</f>
        <v/>
      </c>
      <c r="V147" s="9">
        <f>Mecanismos!B3*D147</f>
        <v/>
      </c>
      <c r="W147" s="9">
        <f>Parametros!B2+Parametros!B4*(S147+T147+U147+V147)-Parametros!B3*(L147+M147+N147+O147+P147+Q147+R147)</f>
        <v/>
      </c>
      <c r="X147" s="10">
        <f>1/(1+EXP(-W147))</f>
        <v/>
      </c>
      <c r="Y147" s="11">
        <f>IF(Parametros!B6=1,0.15+0.85*(1/(1+EXP(-8*((1-N147)-0.45)))),1)</f>
        <v/>
      </c>
      <c r="Z147" s="11">
        <f>IF(Parametros!B7=1,MAX(0.05,1-L147^1.6),1)</f>
        <v/>
      </c>
      <c r="AA147" s="11">
        <f>IF(Parametros!B8=1,0.2+0.8*(1/(1+EXP(-9*(S147-0.25)))),1)</f>
        <v/>
      </c>
      <c r="AB147" s="10">
        <f>X147*Y147*Z147*AA147</f>
        <v/>
      </c>
    </row>
    <row r="148">
      <c r="A148" t="inlineStr">
        <is>
          <t>opuhn9</t>
        </is>
      </c>
      <c r="B148" t="inlineStr">
        <is>
          <t>Eduarda da Rocha</t>
        </is>
      </c>
      <c r="C148" s="8" t="n">
        <v>0.6605</v>
      </c>
      <c r="D148" s="8" t="n">
        <v>0.7413</v>
      </c>
      <c r="E148" s="8" t="n">
        <v>0.629</v>
      </c>
      <c r="F148" s="8" t="n">
        <v>0.6258</v>
      </c>
      <c r="G148" s="8" t="n">
        <v>0.5536</v>
      </c>
      <c r="H148" s="8" t="n">
        <v>0.5351</v>
      </c>
      <c r="I148" s="8" t="n">
        <v>0.5012</v>
      </c>
      <c r="J148" s="8" t="n">
        <v>0.785</v>
      </c>
      <c r="K148" s="8" t="n">
        <v>0.7281</v>
      </c>
      <c r="L148" s="9">
        <f>1-(1-Mecanismos!B2)*(1-C148)</f>
        <v/>
      </c>
      <c r="M148" s="9">
        <f>Mecanismos!B7*D148</f>
        <v/>
      </c>
      <c r="N148" s="9">
        <f>Mecanismos!B4*(1-E148)</f>
        <v/>
      </c>
      <c r="O148" s="9">
        <f>Mecanismos!B5*(1-F148)</f>
        <v/>
      </c>
      <c r="P148" s="9">
        <f>Mecanismos!B6*(1-I148)</f>
        <v/>
      </c>
      <c r="Q148" s="9">
        <f>Mecanismos!B9*(1-G148)</f>
        <v/>
      </c>
      <c r="R148" s="9">
        <f>Mecanismos!B9*(1-J148)</f>
        <v/>
      </c>
      <c r="S148" s="9">
        <f>Mecanismos!B8*H148</f>
        <v/>
      </c>
      <c r="T148" s="9">
        <f>Mecanismos!B10*H148</f>
        <v/>
      </c>
      <c r="U148" s="9">
        <f>Mecanismos!B8*K148</f>
        <v/>
      </c>
      <c r="V148" s="9">
        <f>Mecanismos!B3*D148</f>
        <v/>
      </c>
      <c r="W148" s="9">
        <f>Parametros!B2+Parametros!B4*(S148+T148+U148+V148)-Parametros!B3*(L148+M148+N148+O148+P148+Q148+R148)</f>
        <v/>
      </c>
      <c r="X148" s="10">
        <f>1/(1+EXP(-W148))</f>
        <v/>
      </c>
      <c r="Y148" s="11">
        <f>IF(Parametros!B6=1,0.15+0.85*(1/(1+EXP(-8*((1-N148)-0.45)))),1)</f>
        <v/>
      </c>
      <c r="Z148" s="11">
        <f>IF(Parametros!B7=1,MAX(0.05,1-L148^1.6),1)</f>
        <v/>
      </c>
      <c r="AA148" s="11">
        <f>IF(Parametros!B8=1,0.2+0.8*(1/(1+EXP(-9*(S148-0.25)))),1)</f>
        <v/>
      </c>
      <c r="AB148" s="10">
        <f>X148*Y148*Z148*AA148</f>
        <v/>
      </c>
    </row>
    <row r="149">
      <c r="A149" t="inlineStr">
        <is>
          <t>vz3ruo</t>
        </is>
      </c>
      <c r="B149" t="inlineStr">
        <is>
          <t>Eduardo Pereira</t>
        </is>
      </c>
      <c r="C149" s="8" t="n">
        <v>0.6289</v>
      </c>
      <c r="D149" s="8" t="n">
        <v>0.6432</v>
      </c>
      <c r="E149" s="8" t="n">
        <v>0.4264</v>
      </c>
      <c r="F149" s="8" t="n">
        <v>0.7214</v>
      </c>
      <c r="G149" s="8" t="n">
        <v>0.5708</v>
      </c>
      <c r="H149" s="8" t="n">
        <v>0.5964</v>
      </c>
      <c r="I149" s="8" t="n">
        <v>0.7971</v>
      </c>
      <c r="J149" s="8" t="n">
        <v>0.8159999999999999</v>
      </c>
      <c r="K149" s="8" t="n">
        <v>0.7471</v>
      </c>
      <c r="L149" s="9">
        <f>1-(1-Mecanismos!B2)*(1-C149)</f>
        <v/>
      </c>
      <c r="M149" s="9">
        <f>Mecanismos!B7*D149</f>
        <v/>
      </c>
      <c r="N149" s="9">
        <f>Mecanismos!B4*(1-E149)</f>
        <v/>
      </c>
      <c r="O149" s="9">
        <f>Mecanismos!B5*(1-F149)</f>
        <v/>
      </c>
      <c r="P149" s="9">
        <f>Mecanismos!B6*(1-I149)</f>
        <v/>
      </c>
      <c r="Q149" s="9">
        <f>Mecanismos!B9*(1-G149)</f>
        <v/>
      </c>
      <c r="R149" s="9">
        <f>Mecanismos!B9*(1-J149)</f>
        <v/>
      </c>
      <c r="S149" s="9">
        <f>Mecanismos!B8*H149</f>
        <v/>
      </c>
      <c r="T149" s="9">
        <f>Mecanismos!B10*H149</f>
        <v/>
      </c>
      <c r="U149" s="9">
        <f>Mecanismos!B8*K149</f>
        <v/>
      </c>
      <c r="V149" s="9">
        <f>Mecanismos!B3*D149</f>
        <v/>
      </c>
      <c r="W149" s="9">
        <f>Parametros!B2+Parametros!B4*(S149+T149+U149+V149)-Parametros!B3*(L149+M149+N149+O149+P149+Q149+R149)</f>
        <v/>
      </c>
      <c r="X149" s="10">
        <f>1/(1+EXP(-W149))</f>
        <v/>
      </c>
      <c r="Y149" s="11">
        <f>IF(Parametros!B6=1,0.15+0.85*(1/(1+EXP(-8*((1-N149)-0.45)))),1)</f>
        <v/>
      </c>
      <c r="Z149" s="11">
        <f>IF(Parametros!B7=1,MAX(0.05,1-L149^1.6),1)</f>
        <v/>
      </c>
      <c r="AA149" s="11">
        <f>IF(Parametros!B8=1,0.2+0.8*(1/(1+EXP(-9*(S149-0.25)))),1)</f>
        <v/>
      </c>
      <c r="AB149" s="10">
        <f>X149*Y149*Z149*AA149</f>
        <v/>
      </c>
    </row>
    <row r="150">
      <c r="A150" t="inlineStr">
        <is>
          <t>ypuhcu</t>
        </is>
      </c>
      <c r="B150" t="inlineStr">
        <is>
          <t>Elisa Guerra</t>
        </is>
      </c>
      <c r="C150" s="8" t="n">
        <v>0.8257</v>
      </c>
      <c r="D150" s="8" t="n">
        <v>0.5318000000000001</v>
      </c>
      <c r="E150" s="8" t="n">
        <v>0.6097</v>
      </c>
      <c r="F150" s="8" t="n">
        <v>0.4258</v>
      </c>
      <c r="G150" s="8" t="n">
        <v>0.3582</v>
      </c>
      <c r="H150" s="8" t="n">
        <v>0.4497</v>
      </c>
      <c r="I150" s="8" t="n">
        <v>0.2254</v>
      </c>
      <c r="J150" s="8" t="n">
        <v>0.4621</v>
      </c>
      <c r="K150" s="8" t="n">
        <v>0.5261</v>
      </c>
      <c r="L150" s="9">
        <f>1-(1-Mecanismos!B2)*(1-C150)</f>
        <v/>
      </c>
      <c r="M150" s="9">
        <f>Mecanismos!B7*D150</f>
        <v/>
      </c>
      <c r="N150" s="9">
        <f>Mecanismos!B4*(1-E150)</f>
        <v/>
      </c>
      <c r="O150" s="9">
        <f>Mecanismos!B5*(1-F150)</f>
        <v/>
      </c>
      <c r="P150" s="9">
        <f>Mecanismos!B6*(1-I150)</f>
        <v/>
      </c>
      <c r="Q150" s="9">
        <f>Mecanismos!B9*(1-G150)</f>
        <v/>
      </c>
      <c r="R150" s="9">
        <f>Mecanismos!B9*(1-J150)</f>
        <v/>
      </c>
      <c r="S150" s="9">
        <f>Mecanismos!B8*H150</f>
        <v/>
      </c>
      <c r="T150" s="9">
        <f>Mecanismos!B10*H150</f>
        <v/>
      </c>
      <c r="U150" s="9">
        <f>Mecanismos!B8*K150</f>
        <v/>
      </c>
      <c r="V150" s="9">
        <f>Mecanismos!B3*D150</f>
        <v/>
      </c>
      <c r="W150" s="9">
        <f>Parametros!B2+Parametros!B4*(S150+T150+U150+V150)-Parametros!B3*(L150+M150+N150+O150+P150+Q150+R150)</f>
        <v/>
      </c>
      <c r="X150" s="10">
        <f>1/(1+EXP(-W150))</f>
        <v/>
      </c>
      <c r="Y150" s="11">
        <f>IF(Parametros!B6=1,0.15+0.85*(1/(1+EXP(-8*((1-N150)-0.45)))),1)</f>
        <v/>
      </c>
      <c r="Z150" s="11">
        <f>IF(Parametros!B7=1,MAX(0.05,1-L150^1.6),1)</f>
        <v/>
      </c>
      <c r="AA150" s="11">
        <f>IF(Parametros!B8=1,0.2+0.8*(1/(1+EXP(-9*(S150-0.25)))),1)</f>
        <v/>
      </c>
      <c r="AB150" s="10">
        <f>X150*Y150*Z150*AA150</f>
        <v/>
      </c>
    </row>
    <row r="151">
      <c r="A151" t="inlineStr">
        <is>
          <t>kjr3a3</t>
        </is>
      </c>
      <c r="B151" t="inlineStr">
        <is>
          <t>Eloah Rezende</t>
        </is>
      </c>
      <c r="C151" s="8" t="n">
        <v>0.5562</v>
      </c>
      <c r="D151" s="8" t="n">
        <v>0.55</v>
      </c>
      <c r="E151" s="8" t="n">
        <v>0.2837</v>
      </c>
      <c r="F151" s="8" t="n">
        <v>0.6795</v>
      </c>
      <c r="G151" s="8" t="n">
        <v>0.6654</v>
      </c>
      <c r="H151" s="8" t="n">
        <v>0.5348000000000001</v>
      </c>
      <c r="I151" s="8" t="n">
        <v>0.7068</v>
      </c>
      <c r="J151" s="8" t="n">
        <v>0.8958</v>
      </c>
      <c r="K151" s="8" t="n">
        <v>0.5682</v>
      </c>
      <c r="L151" s="9">
        <f>1-(1-Mecanismos!B2)*(1-C151)</f>
        <v/>
      </c>
      <c r="M151" s="9">
        <f>Mecanismos!B7*D151</f>
        <v/>
      </c>
      <c r="N151" s="9">
        <f>Mecanismos!B4*(1-E151)</f>
        <v/>
      </c>
      <c r="O151" s="9">
        <f>Mecanismos!B5*(1-F151)</f>
        <v/>
      </c>
      <c r="P151" s="9">
        <f>Mecanismos!B6*(1-I151)</f>
        <v/>
      </c>
      <c r="Q151" s="9">
        <f>Mecanismos!B9*(1-G151)</f>
        <v/>
      </c>
      <c r="R151" s="9">
        <f>Mecanismos!B9*(1-J151)</f>
        <v/>
      </c>
      <c r="S151" s="9">
        <f>Mecanismos!B8*H151</f>
        <v/>
      </c>
      <c r="T151" s="9">
        <f>Mecanismos!B10*H151</f>
        <v/>
      </c>
      <c r="U151" s="9">
        <f>Mecanismos!B8*K151</f>
        <v/>
      </c>
      <c r="V151" s="9">
        <f>Mecanismos!B3*D151</f>
        <v/>
      </c>
      <c r="W151" s="9">
        <f>Parametros!B2+Parametros!B4*(S151+T151+U151+V151)-Parametros!B3*(L151+M151+N151+O151+P151+Q151+R151)</f>
        <v/>
      </c>
      <c r="X151" s="10">
        <f>1/(1+EXP(-W151))</f>
        <v/>
      </c>
      <c r="Y151" s="11">
        <f>IF(Parametros!B6=1,0.15+0.85*(1/(1+EXP(-8*((1-N151)-0.45)))),1)</f>
        <v/>
      </c>
      <c r="Z151" s="11">
        <f>IF(Parametros!B7=1,MAX(0.05,1-L151^1.6),1)</f>
        <v/>
      </c>
      <c r="AA151" s="11">
        <f>IF(Parametros!B8=1,0.2+0.8*(1/(1+EXP(-9*(S151-0.25)))),1)</f>
        <v/>
      </c>
      <c r="AB151" s="10">
        <f>X151*Y151*Z151*AA151</f>
        <v/>
      </c>
    </row>
    <row r="152">
      <c r="A152" t="inlineStr">
        <is>
          <t>o21i8n</t>
        </is>
      </c>
      <c r="B152" t="inlineStr">
        <is>
          <t>Emanuel Novais</t>
        </is>
      </c>
      <c r="C152" s="8" t="n">
        <v>0.5414</v>
      </c>
      <c r="D152" s="8" t="n">
        <v>0.408</v>
      </c>
      <c r="E152" s="8" t="n">
        <v>0.6968</v>
      </c>
      <c r="F152" s="8" t="n">
        <v>0.6394</v>
      </c>
      <c r="G152" s="8" t="n">
        <v>0.5151</v>
      </c>
      <c r="H152" s="8" t="n">
        <v>0.6298</v>
      </c>
      <c r="I152" s="8" t="n">
        <v>0.752</v>
      </c>
      <c r="J152" s="8" t="n">
        <v>0.9147</v>
      </c>
      <c r="K152" s="8" t="n">
        <v>0.5259</v>
      </c>
      <c r="L152" s="9">
        <f>1-(1-Mecanismos!B2)*(1-C152)</f>
        <v/>
      </c>
      <c r="M152" s="9">
        <f>Mecanismos!B7*D152</f>
        <v/>
      </c>
      <c r="N152" s="9">
        <f>Mecanismos!B4*(1-E152)</f>
        <v/>
      </c>
      <c r="O152" s="9">
        <f>Mecanismos!B5*(1-F152)</f>
        <v/>
      </c>
      <c r="P152" s="9">
        <f>Mecanismos!B6*(1-I152)</f>
        <v/>
      </c>
      <c r="Q152" s="9">
        <f>Mecanismos!B9*(1-G152)</f>
        <v/>
      </c>
      <c r="R152" s="9">
        <f>Mecanismos!B9*(1-J152)</f>
        <v/>
      </c>
      <c r="S152" s="9">
        <f>Mecanismos!B8*H152</f>
        <v/>
      </c>
      <c r="T152" s="9">
        <f>Mecanismos!B10*H152</f>
        <v/>
      </c>
      <c r="U152" s="9">
        <f>Mecanismos!B8*K152</f>
        <v/>
      </c>
      <c r="V152" s="9">
        <f>Mecanismos!B3*D152</f>
        <v/>
      </c>
      <c r="W152" s="9">
        <f>Parametros!B2+Parametros!B4*(S152+T152+U152+V152)-Parametros!B3*(L152+M152+N152+O152+P152+Q152+R152)</f>
        <v/>
      </c>
      <c r="X152" s="10">
        <f>1/(1+EXP(-W152))</f>
        <v/>
      </c>
      <c r="Y152" s="11">
        <f>IF(Parametros!B6=1,0.15+0.85*(1/(1+EXP(-8*((1-N152)-0.45)))),1)</f>
        <v/>
      </c>
      <c r="Z152" s="11">
        <f>IF(Parametros!B7=1,MAX(0.05,1-L152^1.6),1)</f>
        <v/>
      </c>
      <c r="AA152" s="11">
        <f>IF(Parametros!B8=1,0.2+0.8*(1/(1+EXP(-9*(S152-0.25)))),1)</f>
        <v/>
      </c>
      <c r="AB152" s="10">
        <f>X152*Y152*Z152*AA152</f>
        <v/>
      </c>
    </row>
    <row r="153">
      <c r="A153" t="inlineStr">
        <is>
          <t>fir9gj</t>
        </is>
      </c>
      <c r="B153" t="inlineStr">
        <is>
          <t>Emanuel Pereira</t>
        </is>
      </c>
      <c r="C153" s="8" t="n">
        <v>0.6015</v>
      </c>
      <c r="D153" s="8" t="n">
        <v>0.3494</v>
      </c>
      <c r="E153" s="8" t="n">
        <v>0.3933</v>
      </c>
      <c r="F153" s="8" t="n">
        <v>0.5984</v>
      </c>
      <c r="G153" s="8" t="n">
        <v>0.6201</v>
      </c>
      <c r="H153" s="8" t="n">
        <v>0.8152</v>
      </c>
      <c r="I153" s="8" t="n">
        <v>0.4425</v>
      </c>
      <c r="J153" s="8" t="n">
        <v>0.8922</v>
      </c>
      <c r="K153" s="8" t="n">
        <v>0.5137</v>
      </c>
      <c r="L153" s="9">
        <f>1-(1-Mecanismos!B2)*(1-C153)</f>
        <v/>
      </c>
      <c r="M153" s="9">
        <f>Mecanismos!B7*D153</f>
        <v/>
      </c>
      <c r="N153" s="9">
        <f>Mecanismos!B4*(1-E153)</f>
        <v/>
      </c>
      <c r="O153" s="9">
        <f>Mecanismos!B5*(1-F153)</f>
        <v/>
      </c>
      <c r="P153" s="9">
        <f>Mecanismos!B6*(1-I153)</f>
        <v/>
      </c>
      <c r="Q153" s="9">
        <f>Mecanismos!B9*(1-G153)</f>
        <v/>
      </c>
      <c r="R153" s="9">
        <f>Mecanismos!B9*(1-J153)</f>
        <v/>
      </c>
      <c r="S153" s="9">
        <f>Mecanismos!B8*H153</f>
        <v/>
      </c>
      <c r="T153" s="9">
        <f>Mecanismos!B10*H153</f>
        <v/>
      </c>
      <c r="U153" s="9">
        <f>Mecanismos!B8*K153</f>
        <v/>
      </c>
      <c r="V153" s="9">
        <f>Mecanismos!B3*D153</f>
        <v/>
      </c>
      <c r="W153" s="9">
        <f>Parametros!B2+Parametros!B4*(S153+T153+U153+V153)-Parametros!B3*(L153+M153+N153+O153+P153+Q153+R153)</f>
        <v/>
      </c>
      <c r="X153" s="10">
        <f>1/(1+EXP(-W153))</f>
        <v/>
      </c>
      <c r="Y153" s="11">
        <f>IF(Parametros!B6=1,0.15+0.85*(1/(1+EXP(-8*((1-N153)-0.45)))),1)</f>
        <v/>
      </c>
      <c r="Z153" s="11">
        <f>IF(Parametros!B7=1,MAX(0.05,1-L153^1.6),1)</f>
        <v/>
      </c>
      <c r="AA153" s="11">
        <f>IF(Parametros!B8=1,0.2+0.8*(1/(1+EXP(-9*(S153-0.25)))),1)</f>
        <v/>
      </c>
      <c r="AB153" s="10">
        <f>X153*Y153*Z153*AA153</f>
        <v/>
      </c>
    </row>
    <row r="154">
      <c r="A154" t="inlineStr">
        <is>
          <t>mudyvf</t>
        </is>
      </c>
      <c r="B154" t="inlineStr">
        <is>
          <t>Emanuel da Conceição</t>
        </is>
      </c>
      <c r="C154" s="8" t="n">
        <v>0.6292</v>
      </c>
      <c r="D154" s="8" t="n">
        <v>0.6031</v>
      </c>
      <c r="E154" s="8" t="n">
        <v>0.5664</v>
      </c>
      <c r="F154" s="8" t="n">
        <v>0.623</v>
      </c>
      <c r="G154" s="8" t="n">
        <v>0.5014</v>
      </c>
      <c r="H154" s="8" t="n">
        <v>0.829</v>
      </c>
      <c r="I154" s="8" t="n">
        <v>0.1915</v>
      </c>
      <c r="J154" s="8" t="n">
        <v>0.8673</v>
      </c>
      <c r="K154" s="8" t="n">
        <v>0.4229</v>
      </c>
      <c r="L154" s="9">
        <f>1-(1-Mecanismos!B2)*(1-C154)</f>
        <v/>
      </c>
      <c r="M154" s="9">
        <f>Mecanismos!B7*D154</f>
        <v/>
      </c>
      <c r="N154" s="9">
        <f>Mecanismos!B4*(1-E154)</f>
        <v/>
      </c>
      <c r="O154" s="9">
        <f>Mecanismos!B5*(1-F154)</f>
        <v/>
      </c>
      <c r="P154" s="9">
        <f>Mecanismos!B6*(1-I154)</f>
        <v/>
      </c>
      <c r="Q154" s="9">
        <f>Mecanismos!B9*(1-G154)</f>
        <v/>
      </c>
      <c r="R154" s="9">
        <f>Mecanismos!B9*(1-J154)</f>
        <v/>
      </c>
      <c r="S154" s="9">
        <f>Mecanismos!B8*H154</f>
        <v/>
      </c>
      <c r="T154" s="9">
        <f>Mecanismos!B10*H154</f>
        <v/>
      </c>
      <c r="U154" s="9">
        <f>Mecanismos!B8*K154</f>
        <v/>
      </c>
      <c r="V154" s="9">
        <f>Mecanismos!B3*D154</f>
        <v/>
      </c>
      <c r="W154" s="9">
        <f>Parametros!B2+Parametros!B4*(S154+T154+U154+V154)-Parametros!B3*(L154+M154+N154+O154+P154+Q154+R154)</f>
        <v/>
      </c>
      <c r="X154" s="10">
        <f>1/(1+EXP(-W154))</f>
        <v/>
      </c>
      <c r="Y154" s="11">
        <f>IF(Parametros!B6=1,0.15+0.85*(1/(1+EXP(-8*((1-N154)-0.45)))),1)</f>
        <v/>
      </c>
      <c r="Z154" s="11">
        <f>IF(Parametros!B7=1,MAX(0.05,1-L154^1.6),1)</f>
        <v/>
      </c>
      <c r="AA154" s="11">
        <f>IF(Parametros!B8=1,0.2+0.8*(1/(1+EXP(-9*(S154-0.25)))),1)</f>
        <v/>
      </c>
      <c r="AB154" s="10">
        <f>X154*Y154*Z154*AA154</f>
        <v/>
      </c>
    </row>
    <row r="155">
      <c r="A155" t="inlineStr">
        <is>
          <t>33sydu</t>
        </is>
      </c>
      <c r="B155" t="inlineStr">
        <is>
          <t>Emanuella Casa Grande</t>
        </is>
      </c>
      <c r="C155" s="8" t="n">
        <v>0.4654</v>
      </c>
      <c r="D155" s="8" t="n">
        <v>0.6553</v>
      </c>
      <c r="E155" s="8" t="n">
        <v>0.6897</v>
      </c>
      <c r="F155" s="8" t="n">
        <v>0.6071</v>
      </c>
      <c r="G155" s="8" t="n">
        <v>0.4183</v>
      </c>
      <c r="H155" s="8" t="n">
        <v>0.4957</v>
      </c>
      <c r="I155" s="8" t="n">
        <v>0.787</v>
      </c>
      <c r="J155" s="8" t="n">
        <v>0.8692</v>
      </c>
      <c r="K155" s="8" t="n">
        <v>0.03</v>
      </c>
      <c r="L155" s="9">
        <f>1-(1-Mecanismos!B2)*(1-C155)</f>
        <v/>
      </c>
      <c r="M155" s="9">
        <f>Mecanismos!B7*D155</f>
        <v/>
      </c>
      <c r="N155" s="9">
        <f>Mecanismos!B4*(1-E155)</f>
        <v/>
      </c>
      <c r="O155" s="9">
        <f>Mecanismos!B5*(1-F155)</f>
        <v/>
      </c>
      <c r="P155" s="9">
        <f>Mecanismos!B6*(1-I155)</f>
        <v/>
      </c>
      <c r="Q155" s="9">
        <f>Mecanismos!B9*(1-G155)</f>
        <v/>
      </c>
      <c r="R155" s="9">
        <f>Mecanismos!B9*(1-J155)</f>
        <v/>
      </c>
      <c r="S155" s="9">
        <f>Mecanismos!B8*H155</f>
        <v/>
      </c>
      <c r="T155" s="9">
        <f>Mecanismos!B10*H155</f>
        <v/>
      </c>
      <c r="U155" s="9">
        <f>Mecanismos!B8*K155</f>
        <v/>
      </c>
      <c r="V155" s="9">
        <f>Mecanismos!B3*D155</f>
        <v/>
      </c>
      <c r="W155" s="9">
        <f>Parametros!B2+Parametros!B4*(S155+T155+U155+V155)-Parametros!B3*(L155+M155+N155+O155+P155+Q155+R155)</f>
        <v/>
      </c>
      <c r="X155" s="10">
        <f>1/(1+EXP(-W155))</f>
        <v/>
      </c>
      <c r="Y155" s="11">
        <f>IF(Parametros!B6=1,0.15+0.85*(1/(1+EXP(-8*((1-N155)-0.45)))),1)</f>
        <v/>
      </c>
      <c r="Z155" s="11">
        <f>IF(Parametros!B7=1,MAX(0.05,1-L155^1.6),1)</f>
        <v/>
      </c>
      <c r="AA155" s="11">
        <f>IF(Parametros!B8=1,0.2+0.8*(1/(1+EXP(-9*(S155-0.25)))),1)</f>
        <v/>
      </c>
      <c r="AB155" s="10">
        <f>X155*Y155*Z155*AA155</f>
        <v/>
      </c>
    </row>
    <row r="156">
      <c r="A156" t="inlineStr">
        <is>
          <t>e76ati</t>
        </is>
      </c>
      <c r="B156" t="inlineStr">
        <is>
          <t>Emanuella Montenegro</t>
        </is>
      </c>
      <c r="C156" s="8" t="n">
        <v>0.5481</v>
      </c>
      <c r="D156" s="8" t="n">
        <v>0.4915</v>
      </c>
      <c r="E156" s="8" t="n">
        <v>0.6139</v>
      </c>
      <c r="F156" s="8" t="n">
        <v>0.6008</v>
      </c>
      <c r="G156" s="8" t="n">
        <v>0.4926</v>
      </c>
      <c r="H156" s="8" t="n">
        <v>0.401</v>
      </c>
      <c r="I156" s="8" t="n">
        <v>0.6045</v>
      </c>
      <c r="J156" s="8" t="n">
        <v>0.7495000000000001</v>
      </c>
      <c r="K156" s="8" t="n">
        <v>0.4558</v>
      </c>
      <c r="L156" s="9">
        <f>1-(1-Mecanismos!B2)*(1-C156)</f>
        <v/>
      </c>
      <c r="M156" s="9">
        <f>Mecanismos!B7*D156</f>
        <v/>
      </c>
      <c r="N156" s="9">
        <f>Mecanismos!B4*(1-E156)</f>
        <v/>
      </c>
      <c r="O156" s="9">
        <f>Mecanismos!B5*(1-F156)</f>
        <v/>
      </c>
      <c r="P156" s="9">
        <f>Mecanismos!B6*(1-I156)</f>
        <v/>
      </c>
      <c r="Q156" s="9">
        <f>Mecanismos!B9*(1-G156)</f>
        <v/>
      </c>
      <c r="R156" s="9">
        <f>Mecanismos!B9*(1-J156)</f>
        <v/>
      </c>
      <c r="S156" s="9">
        <f>Mecanismos!B8*H156</f>
        <v/>
      </c>
      <c r="T156" s="9">
        <f>Mecanismos!B10*H156</f>
        <v/>
      </c>
      <c r="U156" s="9">
        <f>Mecanismos!B8*K156</f>
        <v/>
      </c>
      <c r="V156" s="9">
        <f>Mecanismos!B3*D156</f>
        <v/>
      </c>
      <c r="W156" s="9">
        <f>Parametros!B2+Parametros!B4*(S156+T156+U156+V156)-Parametros!B3*(L156+M156+N156+O156+P156+Q156+R156)</f>
        <v/>
      </c>
      <c r="X156" s="10">
        <f>1/(1+EXP(-W156))</f>
        <v/>
      </c>
      <c r="Y156" s="11">
        <f>IF(Parametros!B6=1,0.15+0.85*(1/(1+EXP(-8*((1-N156)-0.45)))),1)</f>
        <v/>
      </c>
      <c r="Z156" s="11">
        <f>IF(Parametros!B7=1,MAX(0.05,1-L156^1.6),1)</f>
        <v/>
      </c>
      <c r="AA156" s="11">
        <f>IF(Parametros!B8=1,0.2+0.8*(1/(1+EXP(-9*(S156-0.25)))),1)</f>
        <v/>
      </c>
      <c r="AB156" s="10">
        <f>X156*Y156*Z156*AA156</f>
        <v/>
      </c>
    </row>
    <row r="157">
      <c r="A157" t="inlineStr">
        <is>
          <t>r8btc3</t>
        </is>
      </c>
      <c r="B157" t="inlineStr">
        <is>
          <t>Emanuelly Novaes</t>
        </is>
      </c>
      <c r="C157" s="8" t="n">
        <v>0.6259</v>
      </c>
      <c r="D157" s="8" t="n">
        <v>0.7386</v>
      </c>
      <c r="E157" s="8" t="n">
        <v>0.67</v>
      </c>
      <c r="F157" s="8" t="n">
        <v>0.4218</v>
      </c>
      <c r="G157" s="8" t="n">
        <v>0.7010999999999999</v>
      </c>
      <c r="H157" s="8" t="n">
        <v>0.5381</v>
      </c>
      <c r="I157" s="8" t="n">
        <v>0.7050999999999999</v>
      </c>
      <c r="J157" s="8" t="n">
        <v>0.7638</v>
      </c>
      <c r="K157" s="8" t="n">
        <v>0.505</v>
      </c>
      <c r="L157" s="9">
        <f>1-(1-Mecanismos!B2)*(1-C157)</f>
        <v/>
      </c>
      <c r="M157" s="9">
        <f>Mecanismos!B7*D157</f>
        <v/>
      </c>
      <c r="N157" s="9">
        <f>Mecanismos!B4*(1-E157)</f>
        <v/>
      </c>
      <c r="O157" s="9">
        <f>Mecanismos!B5*(1-F157)</f>
        <v/>
      </c>
      <c r="P157" s="9">
        <f>Mecanismos!B6*(1-I157)</f>
        <v/>
      </c>
      <c r="Q157" s="9">
        <f>Mecanismos!B9*(1-G157)</f>
        <v/>
      </c>
      <c r="R157" s="9">
        <f>Mecanismos!B9*(1-J157)</f>
        <v/>
      </c>
      <c r="S157" s="9">
        <f>Mecanismos!B8*H157</f>
        <v/>
      </c>
      <c r="T157" s="9">
        <f>Mecanismos!B10*H157</f>
        <v/>
      </c>
      <c r="U157" s="9">
        <f>Mecanismos!B8*K157</f>
        <v/>
      </c>
      <c r="V157" s="9">
        <f>Mecanismos!B3*D157</f>
        <v/>
      </c>
      <c r="W157" s="9">
        <f>Parametros!B2+Parametros!B4*(S157+T157+U157+V157)-Parametros!B3*(L157+M157+N157+O157+P157+Q157+R157)</f>
        <v/>
      </c>
      <c r="X157" s="10">
        <f>1/(1+EXP(-W157))</f>
        <v/>
      </c>
      <c r="Y157" s="11">
        <f>IF(Parametros!B6=1,0.15+0.85*(1/(1+EXP(-8*((1-N157)-0.45)))),1)</f>
        <v/>
      </c>
      <c r="Z157" s="11">
        <f>IF(Parametros!B7=1,MAX(0.05,1-L157^1.6),1)</f>
        <v/>
      </c>
      <c r="AA157" s="11">
        <f>IF(Parametros!B8=1,0.2+0.8*(1/(1+EXP(-9*(S157-0.25)))),1)</f>
        <v/>
      </c>
      <c r="AB157" s="10">
        <f>X157*Y157*Z157*AA157</f>
        <v/>
      </c>
    </row>
    <row r="158">
      <c r="A158" t="inlineStr">
        <is>
          <t>vhr19y</t>
        </is>
      </c>
      <c r="B158" t="inlineStr">
        <is>
          <t>Emanuelly da Mota</t>
        </is>
      </c>
      <c r="C158" s="8" t="n">
        <v>0.4539</v>
      </c>
      <c r="D158" s="8" t="n">
        <v>0.3886</v>
      </c>
      <c r="E158" s="8" t="n">
        <v>0.7478</v>
      </c>
      <c r="F158" s="8" t="n">
        <v>0.3486</v>
      </c>
      <c r="G158" s="8" t="n">
        <v>0.2849</v>
      </c>
      <c r="H158" s="8" t="n">
        <v>0.7088</v>
      </c>
      <c r="I158" s="8" t="n">
        <v>0.6206</v>
      </c>
      <c r="J158" s="8" t="n">
        <v>0.487</v>
      </c>
      <c r="K158" s="8" t="n">
        <v>0.7255</v>
      </c>
      <c r="L158" s="9">
        <f>1-(1-Mecanismos!B2)*(1-C158)</f>
        <v/>
      </c>
      <c r="M158" s="9">
        <f>Mecanismos!B7*D158</f>
        <v/>
      </c>
      <c r="N158" s="9">
        <f>Mecanismos!B4*(1-E158)</f>
        <v/>
      </c>
      <c r="O158" s="9">
        <f>Mecanismos!B5*(1-F158)</f>
        <v/>
      </c>
      <c r="P158" s="9">
        <f>Mecanismos!B6*(1-I158)</f>
        <v/>
      </c>
      <c r="Q158" s="9">
        <f>Mecanismos!B9*(1-G158)</f>
        <v/>
      </c>
      <c r="R158" s="9">
        <f>Mecanismos!B9*(1-J158)</f>
        <v/>
      </c>
      <c r="S158" s="9">
        <f>Mecanismos!B8*H158</f>
        <v/>
      </c>
      <c r="T158" s="9">
        <f>Mecanismos!B10*H158</f>
        <v/>
      </c>
      <c r="U158" s="9">
        <f>Mecanismos!B8*K158</f>
        <v/>
      </c>
      <c r="V158" s="9">
        <f>Mecanismos!B3*D158</f>
        <v/>
      </c>
      <c r="W158" s="9">
        <f>Parametros!B2+Parametros!B4*(S158+T158+U158+V158)-Parametros!B3*(L158+M158+N158+O158+P158+Q158+R158)</f>
        <v/>
      </c>
      <c r="X158" s="10">
        <f>1/(1+EXP(-W158))</f>
        <v/>
      </c>
      <c r="Y158" s="11">
        <f>IF(Parametros!B6=1,0.15+0.85*(1/(1+EXP(-8*((1-N158)-0.45)))),1)</f>
        <v/>
      </c>
      <c r="Z158" s="11">
        <f>IF(Parametros!B7=1,MAX(0.05,1-L158^1.6),1)</f>
        <v/>
      </c>
      <c r="AA158" s="11">
        <f>IF(Parametros!B8=1,0.2+0.8*(1/(1+EXP(-9*(S158-0.25)))),1)</f>
        <v/>
      </c>
      <c r="AB158" s="10">
        <f>X158*Y158*Z158*AA158</f>
        <v/>
      </c>
    </row>
    <row r="159">
      <c r="A159" t="inlineStr">
        <is>
          <t>ad0ux1</t>
        </is>
      </c>
      <c r="B159" t="inlineStr">
        <is>
          <t>Emanuelly da Rosa</t>
        </is>
      </c>
      <c r="C159" s="8" t="n">
        <v>0.6074000000000001</v>
      </c>
      <c r="D159" s="8" t="n">
        <v>0.6656</v>
      </c>
      <c r="E159" s="8" t="n">
        <v>0.6435999999999999</v>
      </c>
      <c r="F159" s="8" t="n">
        <v>0.3917</v>
      </c>
      <c r="G159" s="8" t="n">
        <v>0.5235</v>
      </c>
      <c r="H159" s="8" t="n">
        <v>0.6807</v>
      </c>
      <c r="I159" s="8" t="n">
        <v>0.6239</v>
      </c>
      <c r="J159" s="8" t="n">
        <v>0.9071</v>
      </c>
      <c r="K159" s="8" t="n">
        <v>0.7</v>
      </c>
      <c r="L159" s="9">
        <f>1-(1-Mecanismos!B2)*(1-C159)</f>
        <v/>
      </c>
      <c r="M159" s="9">
        <f>Mecanismos!B7*D159</f>
        <v/>
      </c>
      <c r="N159" s="9">
        <f>Mecanismos!B4*(1-E159)</f>
        <v/>
      </c>
      <c r="O159" s="9">
        <f>Mecanismos!B5*(1-F159)</f>
        <v/>
      </c>
      <c r="P159" s="9">
        <f>Mecanismos!B6*(1-I159)</f>
        <v/>
      </c>
      <c r="Q159" s="9">
        <f>Mecanismos!B9*(1-G159)</f>
        <v/>
      </c>
      <c r="R159" s="9">
        <f>Mecanismos!B9*(1-J159)</f>
        <v/>
      </c>
      <c r="S159" s="9">
        <f>Mecanismos!B8*H159</f>
        <v/>
      </c>
      <c r="T159" s="9">
        <f>Mecanismos!B10*H159</f>
        <v/>
      </c>
      <c r="U159" s="9">
        <f>Mecanismos!B8*K159</f>
        <v/>
      </c>
      <c r="V159" s="9">
        <f>Mecanismos!B3*D159</f>
        <v/>
      </c>
      <c r="W159" s="9">
        <f>Parametros!B2+Parametros!B4*(S159+T159+U159+V159)-Parametros!B3*(L159+M159+N159+O159+P159+Q159+R159)</f>
        <v/>
      </c>
      <c r="X159" s="10">
        <f>1/(1+EXP(-W159))</f>
        <v/>
      </c>
      <c r="Y159" s="11">
        <f>IF(Parametros!B6=1,0.15+0.85*(1/(1+EXP(-8*((1-N159)-0.45)))),1)</f>
        <v/>
      </c>
      <c r="Z159" s="11">
        <f>IF(Parametros!B7=1,MAX(0.05,1-L159^1.6),1)</f>
        <v/>
      </c>
      <c r="AA159" s="11">
        <f>IF(Parametros!B8=1,0.2+0.8*(1/(1+EXP(-9*(S159-0.25)))),1)</f>
        <v/>
      </c>
      <c r="AB159" s="10">
        <f>X159*Y159*Z159*AA159</f>
        <v/>
      </c>
    </row>
    <row r="160">
      <c r="A160" t="inlineStr">
        <is>
          <t>7k1huj</t>
        </is>
      </c>
      <c r="B160" t="inlineStr">
        <is>
          <t>Emilly Mendes</t>
        </is>
      </c>
      <c r="C160" s="8" t="n">
        <v>0.5109</v>
      </c>
      <c r="D160" s="8" t="n">
        <v>0.744</v>
      </c>
      <c r="E160" s="8" t="n">
        <v>0.5786</v>
      </c>
      <c r="F160" s="8" t="n">
        <v>0.4781</v>
      </c>
      <c r="G160" s="8" t="n">
        <v>0.536</v>
      </c>
      <c r="H160" s="8" t="n">
        <v>0.3828</v>
      </c>
      <c r="I160" s="8" t="n">
        <v>0.6843</v>
      </c>
      <c r="J160" s="8" t="n">
        <v>0.8954</v>
      </c>
      <c r="K160" s="8" t="n">
        <v>0.9524</v>
      </c>
      <c r="L160" s="9">
        <f>1-(1-Mecanismos!B2)*(1-C160)</f>
        <v/>
      </c>
      <c r="M160" s="9">
        <f>Mecanismos!B7*D160</f>
        <v/>
      </c>
      <c r="N160" s="9">
        <f>Mecanismos!B4*(1-E160)</f>
        <v/>
      </c>
      <c r="O160" s="9">
        <f>Mecanismos!B5*(1-F160)</f>
        <v/>
      </c>
      <c r="P160" s="9">
        <f>Mecanismos!B6*(1-I160)</f>
        <v/>
      </c>
      <c r="Q160" s="9">
        <f>Mecanismos!B9*(1-G160)</f>
        <v/>
      </c>
      <c r="R160" s="9">
        <f>Mecanismos!B9*(1-J160)</f>
        <v/>
      </c>
      <c r="S160" s="9">
        <f>Mecanismos!B8*H160</f>
        <v/>
      </c>
      <c r="T160" s="9">
        <f>Mecanismos!B10*H160</f>
        <v/>
      </c>
      <c r="U160" s="9">
        <f>Mecanismos!B8*K160</f>
        <v/>
      </c>
      <c r="V160" s="9">
        <f>Mecanismos!B3*D160</f>
        <v/>
      </c>
      <c r="W160" s="9">
        <f>Parametros!B2+Parametros!B4*(S160+T160+U160+V160)-Parametros!B3*(L160+M160+N160+O160+P160+Q160+R160)</f>
        <v/>
      </c>
      <c r="X160" s="10">
        <f>1/(1+EXP(-W160))</f>
        <v/>
      </c>
      <c r="Y160" s="11">
        <f>IF(Parametros!B6=1,0.15+0.85*(1/(1+EXP(-8*((1-N160)-0.45)))),1)</f>
        <v/>
      </c>
      <c r="Z160" s="11">
        <f>IF(Parametros!B7=1,MAX(0.05,1-L160^1.6),1)</f>
        <v/>
      </c>
      <c r="AA160" s="11">
        <f>IF(Parametros!B8=1,0.2+0.8*(1/(1+EXP(-9*(S160-0.25)))),1)</f>
        <v/>
      </c>
      <c r="AB160" s="10">
        <f>X160*Y160*Z160*AA160</f>
        <v/>
      </c>
    </row>
    <row r="161">
      <c r="A161" t="inlineStr">
        <is>
          <t>stc14u</t>
        </is>
      </c>
      <c r="B161" t="inlineStr">
        <is>
          <t>Enrico Cunha</t>
        </is>
      </c>
      <c r="C161" s="8" t="n">
        <v>0.5094</v>
      </c>
      <c r="D161" s="8" t="n">
        <v>0.347</v>
      </c>
      <c r="E161" s="8" t="n">
        <v>0.7249</v>
      </c>
      <c r="F161" s="8" t="n">
        <v>0.5044</v>
      </c>
      <c r="G161" s="8" t="n">
        <v>0.5687</v>
      </c>
      <c r="H161" s="8" t="n">
        <v>0.5032</v>
      </c>
      <c r="I161" s="8" t="n">
        <v>0.7735</v>
      </c>
      <c r="J161" s="8" t="n">
        <v>0.8656</v>
      </c>
      <c r="K161" s="8" t="n">
        <v>0.2388</v>
      </c>
      <c r="L161" s="9">
        <f>1-(1-Mecanismos!B2)*(1-C161)</f>
        <v/>
      </c>
      <c r="M161" s="9">
        <f>Mecanismos!B7*D161</f>
        <v/>
      </c>
      <c r="N161" s="9">
        <f>Mecanismos!B4*(1-E161)</f>
        <v/>
      </c>
      <c r="O161" s="9">
        <f>Mecanismos!B5*(1-F161)</f>
        <v/>
      </c>
      <c r="P161" s="9">
        <f>Mecanismos!B6*(1-I161)</f>
        <v/>
      </c>
      <c r="Q161" s="9">
        <f>Mecanismos!B9*(1-G161)</f>
        <v/>
      </c>
      <c r="R161" s="9">
        <f>Mecanismos!B9*(1-J161)</f>
        <v/>
      </c>
      <c r="S161" s="9">
        <f>Mecanismos!B8*H161</f>
        <v/>
      </c>
      <c r="T161" s="9">
        <f>Mecanismos!B10*H161</f>
        <v/>
      </c>
      <c r="U161" s="9">
        <f>Mecanismos!B8*K161</f>
        <v/>
      </c>
      <c r="V161" s="9">
        <f>Mecanismos!B3*D161</f>
        <v/>
      </c>
      <c r="W161" s="9">
        <f>Parametros!B2+Parametros!B4*(S161+T161+U161+V161)-Parametros!B3*(L161+M161+N161+O161+P161+Q161+R161)</f>
        <v/>
      </c>
      <c r="X161" s="10">
        <f>1/(1+EXP(-W161))</f>
        <v/>
      </c>
      <c r="Y161" s="11">
        <f>IF(Parametros!B6=1,0.15+0.85*(1/(1+EXP(-8*((1-N161)-0.45)))),1)</f>
        <v/>
      </c>
      <c r="Z161" s="11">
        <f>IF(Parametros!B7=1,MAX(0.05,1-L161^1.6),1)</f>
        <v/>
      </c>
      <c r="AA161" s="11">
        <f>IF(Parametros!B8=1,0.2+0.8*(1/(1+EXP(-9*(S161-0.25)))),1)</f>
        <v/>
      </c>
      <c r="AB161" s="10">
        <f>X161*Y161*Z161*AA161</f>
        <v/>
      </c>
    </row>
    <row r="162">
      <c r="A162" t="inlineStr">
        <is>
          <t>31qc8o</t>
        </is>
      </c>
      <c r="B162" t="inlineStr">
        <is>
          <t>Enrico da Rosa</t>
        </is>
      </c>
      <c r="C162" s="8" t="n">
        <v>0.4991</v>
      </c>
      <c r="D162" s="8" t="n">
        <v>0.392</v>
      </c>
      <c r="E162" s="8" t="n">
        <v>0.4955</v>
      </c>
      <c r="F162" s="8" t="n">
        <v>0.6633</v>
      </c>
      <c r="G162" s="8" t="n">
        <v>0.5001</v>
      </c>
      <c r="H162" s="8" t="n">
        <v>0.4766</v>
      </c>
      <c r="I162" s="8" t="n">
        <v>0.7224</v>
      </c>
      <c r="J162" s="8" t="n">
        <v>0.7225</v>
      </c>
      <c r="K162" s="8" t="n">
        <v>0.5626</v>
      </c>
      <c r="L162" s="9">
        <f>1-(1-Mecanismos!B2)*(1-C162)</f>
        <v/>
      </c>
      <c r="M162" s="9">
        <f>Mecanismos!B7*D162</f>
        <v/>
      </c>
      <c r="N162" s="9">
        <f>Mecanismos!B4*(1-E162)</f>
        <v/>
      </c>
      <c r="O162" s="9">
        <f>Mecanismos!B5*(1-F162)</f>
        <v/>
      </c>
      <c r="P162" s="9">
        <f>Mecanismos!B6*(1-I162)</f>
        <v/>
      </c>
      <c r="Q162" s="9">
        <f>Mecanismos!B9*(1-G162)</f>
        <v/>
      </c>
      <c r="R162" s="9">
        <f>Mecanismos!B9*(1-J162)</f>
        <v/>
      </c>
      <c r="S162" s="9">
        <f>Mecanismos!B8*H162</f>
        <v/>
      </c>
      <c r="T162" s="9">
        <f>Mecanismos!B10*H162</f>
        <v/>
      </c>
      <c r="U162" s="9">
        <f>Mecanismos!B8*K162</f>
        <v/>
      </c>
      <c r="V162" s="9">
        <f>Mecanismos!B3*D162</f>
        <v/>
      </c>
      <c r="W162" s="9">
        <f>Parametros!B2+Parametros!B4*(S162+T162+U162+V162)-Parametros!B3*(L162+M162+N162+O162+P162+Q162+R162)</f>
        <v/>
      </c>
      <c r="X162" s="10">
        <f>1/(1+EXP(-W162))</f>
        <v/>
      </c>
      <c r="Y162" s="11">
        <f>IF(Parametros!B6=1,0.15+0.85*(1/(1+EXP(-8*((1-N162)-0.45)))),1)</f>
        <v/>
      </c>
      <c r="Z162" s="11">
        <f>IF(Parametros!B7=1,MAX(0.05,1-L162^1.6),1)</f>
        <v/>
      </c>
      <c r="AA162" s="11">
        <f>IF(Parametros!B8=1,0.2+0.8*(1/(1+EXP(-9*(S162-0.25)))),1)</f>
        <v/>
      </c>
      <c r="AB162" s="10">
        <f>X162*Y162*Z162*AA162</f>
        <v/>
      </c>
    </row>
    <row r="163">
      <c r="A163" t="inlineStr">
        <is>
          <t>2aq9k8</t>
        </is>
      </c>
      <c r="B163" t="inlineStr">
        <is>
          <t>Enzo Cavalcante</t>
        </is>
      </c>
      <c r="C163" s="8" t="n">
        <v>0.7748</v>
      </c>
      <c r="D163" s="8" t="n">
        <v>0.3734</v>
      </c>
      <c r="E163" s="8" t="n">
        <v>0.6239</v>
      </c>
      <c r="F163" s="8" t="n">
        <v>0.8465</v>
      </c>
      <c r="G163" s="8" t="n">
        <v>0.4155</v>
      </c>
      <c r="H163" s="8" t="n">
        <v>0.7915</v>
      </c>
      <c r="I163" s="8" t="n">
        <v>0.7659</v>
      </c>
      <c r="J163" s="8" t="n">
        <v>0.8386</v>
      </c>
      <c r="K163" s="8" t="n">
        <v>0.2527</v>
      </c>
      <c r="L163" s="9">
        <f>1-(1-Mecanismos!B2)*(1-C163)</f>
        <v/>
      </c>
      <c r="M163" s="9">
        <f>Mecanismos!B7*D163</f>
        <v/>
      </c>
      <c r="N163" s="9">
        <f>Mecanismos!B4*(1-E163)</f>
        <v/>
      </c>
      <c r="O163" s="9">
        <f>Mecanismos!B5*(1-F163)</f>
        <v/>
      </c>
      <c r="P163" s="9">
        <f>Mecanismos!B6*(1-I163)</f>
        <v/>
      </c>
      <c r="Q163" s="9">
        <f>Mecanismos!B9*(1-G163)</f>
        <v/>
      </c>
      <c r="R163" s="9">
        <f>Mecanismos!B9*(1-J163)</f>
        <v/>
      </c>
      <c r="S163" s="9">
        <f>Mecanismos!B8*H163</f>
        <v/>
      </c>
      <c r="T163" s="9">
        <f>Mecanismos!B10*H163</f>
        <v/>
      </c>
      <c r="U163" s="9">
        <f>Mecanismos!B8*K163</f>
        <v/>
      </c>
      <c r="V163" s="9">
        <f>Mecanismos!B3*D163</f>
        <v/>
      </c>
      <c r="W163" s="9">
        <f>Parametros!B2+Parametros!B4*(S163+T163+U163+V163)-Parametros!B3*(L163+M163+N163+O163+P163+Q163+R163)</f>
        <v/>
      </c>
      <c r="X163" s="10">
        <f>1/(1+EXP(-W163))</f>
        <v/>
      </c>
      <c r="Y163" s="11">
        <f>IF(Parametros!B6=1,0.15+0.85*(1/(1+EXP(-8*((1-N163)-0.45)))),1)</f>
        <v/>
      </c>
      <c r="Z163" s="11">
        <f>IF(Parametros!B7=1,MAX(0.05,1-L163^1.6),1)</f>
        <v/>
      </c>
      <c r="AA163" s="11">
        <f>IF(Parametros!B8=1,0.2+0.8*(1/(1+EXP(-9*(S163-0.25)))),1)</f>
        <v/>
      </c>
      <c r="AB163" s="10">
        <f>X163*Y163*Z163*AA163</f>
        <v/>
      </c>
    </row>
    <row r="164">
      <c r="A164" t="inlineStr">
        <is>
          <t>gs7bci</t>
        </is>
      </c>
      <c r="B164" t="inlineStr">
        <is>
          <t>Enzo Gabriel Vasconcelos</t>
        </is>
      </c>
      <c r="C164" s="8" t="n">
        <v>0.5101</v>
      </c>
      <c r="D164" s="8" t="n">
        <v>0.5105</v>
      </c>
      <c r="E164" s="8" t="n">
        <v>0.6269</v>
      </c>
      <c r="F164" s="8" t="n">
        <v>0.5649999999999999</v>
      </c>
      <c r="G164" s="8" t="n">
        <v>0.6449</v>
      </c>
      <c r="H164" s="8" t="n">
        <v>0.3883</v>
      </c>
      <c r="I164" s="8" t="n">
        <v>0.6091</v>
      </c>
      <c r="J164" s="8" t="n">
        <v>0.8298</v>
      </c>
      <c r="K164" s="8" t="n">
        <v>0.7008</v>
      </c>
      <c r="L164" s="9">
        <f>1-(1-Mecanismos!B2)*(1-C164)</f>
        <v/>
      </c>
      <c r="M164" s="9">
        <f>Mecanismos!B7*D164</f>
        <v/>
      </c>
      <c r="N164" s="9">
        <f>Mecanismos!B4*(1-E164)</f>
        <v/>
      </c>
      <c r="O164" s="9">
        <f>Mecanismos!B5*(1-F164)</f>
        <v/>
      </c>
      <c r="P164" s="9">
        <f>Mecanismos!B6*(1-I164)</f>
        <v/>
      </c>
      <c r="Q164" s="9">
        <f>Mecanismos!B9*(1-G164)</f>
        <v/>
      </c>
      <c r="R164" s="9">
        <f>Mecanismos!B9*(1-J164)</f>
        <v/>
      </c>
      <c r="S164" s="9">
        <f>Mecanismos!B8*H164</f>
        <v/>
      </c>
      <c r="T164" s="9">
        <f>Mecanismos!B10*H164</f>
        <v/>
      </c>
      <c r="U164" s="9">
        <f>Mecanismos!B8*K164</f>
        <v/>
      </c>
      <c r="V164" s="9">
        <f>Mecanismos!B3*D164</f>
        <v/>
      </c>
      <c r="W164" s="9">
        <f>Parametros!B2+Parametros!B4*(S164+T164+U164+V164)-Parametros!B3*(L164+M164+N164+O164+P164+Q164+R164)</f>
        <v/>
      </c>
      <c r="X164" s="10">
        <f>1/(1+EXP(-W164))</f>
        <v/>
      </c>
      <c r="Y164" s="11">
        <f>IF(Parametros!B6=1,0.15+0.85*(1/(1+EXP(-8*((1-N164)-0.45)))),1)</f>
        <v/>
      </c>
      <c r="Z164" s="11">
        <f>IF(Parametros!B7=1,MAX(0.05,1-L164^1.6),1)</f>
        <v/>
      </c>
      <c r="AA164" s="11">
        <f>IF(Parametros!B8=1,0.2+0.8*(1/(1+EXP(-9*(S164-0.25)))),1)</f>
        <v/>
      </c>
      <c r="AB164" s="10">
        <f>X164*Y164*Z164*AA164</f>
        <v/>
      </c>
    </row>
    <row r="165">
      <c r="A165" t="inlineStr">
        <is>
          <t>0u5fff</t>
        </is>
      </c>
      <c r="B165" t="inlineStr">
        <is>
          <t>Enzo Lima</t>
        </is>
      </c>
      <c r="C165" s="8" t="n">
        <v>0.6566</v>
      </c>
      <c r="D165" s="8" t="n">
        <v>0.6</v>
      </c>
      <c r="E165" s="8" t="n">
        <v>0.3814</v>
      </c>
      <c r="F165" s="8" t="n">
        <v>0.3161</v>
      </c>
      <c r="G165" s="8" t="n">
        <v>0.668</v>
      </c>
      <c r="H165" s="8" t="n">
        <v>0.5992</v>
      </c>
      <c r="I165" s="8" t="n">
        <v>0.6918</v>
      </c>
      <c r="J165" s="8" t="n">
        <v>0.6337</v>
      </c>
      <c r="K165" s="8" t="n">
        <v>0.4018</v>
      </c>
      <c r="L165" s="9">
        <f>1-(1-Mecanismos!B2)*(1-C165)</f>
        <v/>
      </c>
      <c r="M165" s="9">
        <f>Mecanismos!B7*D165</f>
        <v/>
      </c>
      <c r="N165" s="9">
        <f>Mecanismos!B4*(1-E165)</f>
        <v/>
      </c>
      <c r="O165" s="9">
        <f>Mecanismos!B5*(1-F165)</f>
        <v/>
      </c>
      <c r="P165" s="9">
        <f>Mecanismos!B6*(1-I165)</f>
        <v/>
      </c>
      <c r="Q165" s="9">
        <f>Mecanismos!B9*(1-G165)</f>
        <v/>
      </c>
      <c r="R165" s="9">
        <f>Mecanismos!B9*(1-J165)</f>
        <v/>
      </c>
      <c r="S165" s="9">
        <f>Mecanismos!B8*H165</f>
        <v/>
      </c>
      <c r="T165" s="9">
        <f>Mecanismos!B10*H165</f>
        <v/>
      </c>
      <c r="U165" s="9">
        <f>Mecanismos!B8*K165</f>
        <v/>
      </c>
      <c r="V165" s="9">
        <f>Mecanismos!B3*D165</f>
        <v/>
      </c>
      <c r="W165" s="9">
        <f>Parametros!B2+Parametros!B4*(S165+T165+U165+V165)-Parametros!B3*(L165+M165+N165+O165+P165+Q165+R165)</f>
        <v/>
      </c>
      <c r="X165" s="10">
        <f>1/(1+EXP(-W165))</f>
        <v/>
      </c>
      <c r="Y165" s="11">
        <f>IF(Parametros!B6=1,0.15+0.85*(1/(1+EXP(-8*((1-N165)-0.45)))),1)</f>
        <v/>
      </c>
      <c r="Z165" s="11">
        <f>IF(Parametros!B7=1,MAX(0.05,1-L165^1.6),1)</f>
        <v/>
      </c>
      <c r="AA165" s="11">
        <f>IF(Parametros!B8=1,0.2+0.8*(1/(1+EXP(-9*(S165-0.25)))),1)</f>
        <v/>
      </c>
      <c r="AB165" s="10">
        <f>X165*Y165*Z165*AA165</f>
        <v/>
      </c>
    </row>
    <row r="166">
      <c r="A166" t="inlineStr">
        <is>
          <t>dwr3x9</t>
        </is>
      </c>
      <c r="B166" t="inlineStr">
        <is>
          <t>Erick Fonseca</t>
        </is>
      </c>
      <c r="C166" s="8" t="n">
        <v>0.6711</v>
      </c>
      <c r="D166" s="8" t="n">
        <v>0.596</v>
      </c>
      <c r="E166" s="8" t="n">
        <v>0.3871</v>
      </c>
      <c r="F166" s="8" t="n">
        <v>0.6213</v>
      </c>
      <c r="G166" s="8" t="n">
        <v>0.5563</v>
      </c>
      <c r="H166" s="8" t="n">
        <v>0.7594</v>
      </c>
      <c r="I166" s="8" t="n">
        <v>0.6647</v>
      </c>
      <c r="J166" s="8" t="n">
        <v>0.7151</v>
      </c>
      <c r="K166" s="8" t="n">
        <v>0.4137</v>
      </c>
      <c r="L166" s="9">
        <f>1-(1-Mecanismos!B2)*(1-C166)</f>
        <v/>
      </c>
      <c r="M166" s="9">
        <f>Mecanismos!B7*D166</f>
        <v/>
      </c>
      <c r="N166" s="9">
        <f>Mecanismos!B4*(1-E166)</f>
        <v/>
      </c>
      <c r="O166" s="9">
        <f>Mecanismos!B5*(1-F166)</f>
        <v/>
      </c>
      <c r="P166" s="9">
        <f>Mecanismos!B6*(1-I166)</f>
        <v/>
      </c>
      <c r="Q166" s="9">
        <f>Mecanismos!B9*(1-G166)</f>
        <v/>
      </c>
      <c r="R166" s="9">
        <f>Mecanismos!B9*(1-J166)</f>
        <v/>
      </c>
      <c r="S166" s="9">
        <f>Mecanismos!B8*H166</f>
        <v/>
      </c>
      <c r="T166" s="9">
        <f>Mecanismos!B10*H166</f>
        <v/>
      </c>
      <c r="U166" s="9">
        <f>Mecanismos!B8*K166</f>
        <v/>
      </c>
      <c r="V166" s="9">
        <f>Mecanismos!B3*D166</f>
        <v/>
      </c>
      <c r="W166" s="9">
        <f>Parametros!B2+Parametros!B4*(S166+T166+U166+V166)-Parametros!B3*(L166+M166+N166+O166+P166+Q166+R166)</f>
        <v/>
      </c>
      <c r="X166" s="10">
        <f>1/(1+EXP(-W166))</f>
        <v/>
      </c>
      <c r="Y166" s="11">
        <f>IF(Parametros!B6=1,0.15+0.85*(1/(1+EXP(-8*((1-N166)-0.45)))),1)</f>
        <v/>
      </c>
      <c r="Z166" s="11">
        <f>IF(Parametros!B7=1,MAX(0.05,1-L166^1.6),1)</f>
        <v/>
      </c>
      <c r="AA166" s="11">
        <f>IF(Parametros!B8=1,0.2+0.8*(1/(1+EXP(-9*(S166-0.25)))),1)</f>
        <v/>
      </c>
      <c r="AB166" s="10">
        <f>X166*Y166*Z166*AA166</f>
        <v/>
      </c>
    </row>
    <row r="167">
      <c r="A167" t="inlineStr">
        <is>
          <t>3k7sb7</t>
        </is>
      </c>
      <c r="B167" t="inlineStr">
        <is>
          <t>Erick Rios</t>
        </is>
      </c>
      <c r="C167" s="8" t="n">
        <v>0.6735</v>
      </c>
      <c r="D167" s="8" t="n">
        <v>0.4864</v>
      </c>
      <c r="E167" s="8" t="n">
        <v>0.5153</v>
      </c>
      <c r="F167" s="8" t="n">
        <v>0.7166</v>
      </c>
      <c r="G167" s="8" t="n">
        <v>0.7209</v>
      </c>
      <c r="H167" s="8" t="n">
        <v>0.5656</v>
      </c>
      <c r="I167" s="8" t="n">
        <v>0.6086</v>
      </c>
      <c r="J167" s="8" t="n">
        <v>0.7799</v>
      </c>
      <c r="K167" s="8" t="n">
        <v>0.4421</v>
      </c>
      <c r="L167" s="9">
        <f>1-(1-Mecanismos!B2)*(1-C167)</f>
        <v/>
      </c>
      <c r="M167" s="9">
        <f>Mecanismos!B7*D167</f>
        <v/>
      </c>
      <c r="N167" s="9">
        <f>Mecanismos!B4*(1-E167)</f>
        <v/>
      </c>
      <c r="O167" s="9">
        <f>Mecanismos!B5*(1-F167)</f>
        <v/>
      </c>
      <c r="P167" s="9">
        <f>Mecanismos!B6*(1-I167)</f>
        <v/>
      </c>
      <c r="Q167" s="9">
        <f>Mecanismos!B9*(1-G167)</f>
        <v/>
      </c>
      <c r="R167" s="9">
        <f>Mecanismos!B9*(1-J167)</f>
        <v/>
      </c>
      <c r="S167" s="9">
        <f>Mecanismos!B8*H167</f>
        <v/>
      </c>
      <c r="T167" s="9">
        <f>Mecanismos!B10*H167</f>
        <v/>
      </c>
      <c r="U167" s="9">
        <f>Mecanismos!B8*K167</f>
        <v/>
      </c>
      <c r="V167" s="9">
        <f>Mecanismos!B3*D167</f>
        <v/>
      </c>
      <c r="W167" s="9">
        <f>Parametros!B2+Parametros!B4*(S167+T167+U167+V167)-Parametros!B3*(L167+M167+N167+O167+P167+Q167+R167)</f>
        <v/>
      </c>
      <c r="X167" s="10">
        <f>1/(1+EXP(-W167))</f>
        <v/>
      </c>
      <c r="Y167" s="11">
        <f>IF(Parametros!B6=1,0.15+0.85*(1/(1+EXP(-8*((1-N167)-0.45)))),1)</f>
        <v/>
      </c>
      <c r="Z167" s="11">
        <f>IF(Parametros!B7=1,MAX(0.05,1-L167^1.6),1)</f>
        <v/>
      </c>
      <c r="AA167" s="11">
        <f>IF(Parametros!B8=1,0.2+0.8*(1/(1+EXP(-9*(S167-0.25)))),1)</f>
        <v/>
      </c>
      <c r="AB167" s="10">
        <f>X167*Y167*Z167*AA167</f>
        <v/>
      </c>
    </row>
    <row r="168">
      <c r="A168" t="inlineStr">
        <is>
          <t>kvkcpi</t>
        </is>
      </c>
      <c r="B168" t="inlineStr">
        <is>
          <t>Erick Sales</t>
        </is>
      </c>
      <c r="C168" s="8" t="n">
        <v>0.5976</v>
      </c>
      <c r="D168" s="8" t="n">
        <v>0.4828</v>
      </c>
      <c r="E168" s="8" t="n">
        <v>0.7576000000000001</v>
      </c>
      <c r="F168" s="8" t="n">
        <v>0.594</v>
      </c>
      <c r="G168" s="8" t="n">
        <v>0.583</v>
      </c>
      <c r="H168" s="8" t="n">
        <v>0.5387999999999999</v>
      </c>
      <c r="I168" s="8" t="n">
        <v>0.539</v>
      </c>
      <c r="J168" s="8" t="n">
        <v>0.9308</v>
      </c>
      <c r="K168" s="8" t="n">
        <v>0.148</v>
      </c>
      <c r="L168" s="9">
        <f>1-(1-Mecanismos!B2)*(1-C168)</f>
        <v/>
      </c>
      <c r="M168" s="9">
        <f>Mecanismos!B7*D168</f>
        <v/>
      </c>
      <c r="N168" s="9">
        <f>Mecanismos!B4*(1-E168)</f>
        <v/>
      </c>
      <c r="O168" s="9">
        <f>Mecanismos!B5*(1-F168)</f>
        <v/>
      </c>
      <c r="P168" s="9">
        <f>Mecanismos!B6*(1-I168)</f>
        <v/>
      </c>
      <c r="Q168" s="9">
        <f>Mecanismos!B9*(1-G168)</f>
        <v/>
      </c>
      <c r="R168" s="9">
        <f>Mecanismos!B9*(1-J168)</f>
        <v/>
      </c>
      <c r="S168" s="9">
        <f>Mecanismos!B8*H168</f>
        <v/>
      </c>
      <c r="T168" s="9">
        <f>Mecanismos!B10*H168</f>
        <v/>
      </c>
      <c r="U168" s="9">
        <f>Mecanismos!B8*K168</f>
        <v/>
      </c>
      <c r="V168" s="9">
        <f>Mecanismos!B3*D168</f>
        <v/>
      </c>
      <c r="W168" s="9">
        <f>Parametros!B2+Parametros!B4*(S168+T168+U168+V168)-Parametros!B3*(L168+M168+N168+O168+P168+Q168+R168)</f>
        <v/>
      </c>
      <c r="X168" s="10">
        <f>1/(1+EXP(-W168))</f>
        <v/>
      </c>
      <c r="Y168" s="11">
        <f>IF(Parametros!B6=1,0.15+0.85*(1/(1+EXP(-8*((1-N168)-0.45)))),1)</f>
        <v/>
      </c>
      <c r="Z168" s="11">
        <f>IF(Parametros!B7=1,MAX(0.05,1-L168^1.6),1)</f>
        <v/>
      </c>
      <c r="AA168" s="11">
        <f>IF(Parametros!B8=1,0.2+0.8*(1/(1+EXP(-9*(S168-0.25)))),1)</f>
        <v/>
      </c>
      <c r="AB168" s="10">
        <f>X168*Y168*Z168*AA168</f>
        <v/>
      </c>
    </row>
    <row r="169">
      <c r="A169" t="inlineStr">
        <is>
          <t>ung2id</t>
        </is>
      </c>
      <c r="B169" t="inlineStr">
        <is>
          <t>Ester Cunha</t>
        </is>
      </c>
      <c r="C169" s="8" t="n">
        <v>0.4582</v>
      </c>
      <c r="D169" s="8" t="n">
        <v>0.325</v>
      </c>
      <c r="E169" s="8" t="n">
        <v>0.5629999999999999</v>
      </c>
      <c r="F169" s="8" t="n">
        <v>0.7304</v>
      </c>
      <c r="G169" s="8" t="n">
        <v>0.3106</v>
      </c>
      <c r="H169" s="8" t="n">
        <v>0.5681</v>
      </c>
      <c r="I169" s="8" t="n">
        <v>0.7101</v>
      </c>
      <c r="J169" s="8" t="n">
        <v>0.8199</v>
      </c>
      <c r="K169" s="8" t="n">
        <v>0.4202</v>
      </c>
      <c r="L169" s="9">
        <f>1-(1-Mecanismos!B2)*(1-C169)</f>
        <v/>
      </c>
      <c r="M169" s="9">
        <f>Mecanismos!B7*D169</f>
        <v/>
      </c>
      <c r="N169" s="9">
        <f>Mecanismos!B4*(1-E169)</f>
        <v/>
      </c>
      <c r="O169" s="9">
        <f>Mecanismos!B5*(1-F169)</f>
        <v/>
      </c>
      <c r="P169" s="9">
        <f>Mecanismos!B6*(1-I169)</f>
        <v/>
      </c>
      <c r="Q169" s="9">
        <f>Mecanismos!B9*(1-G169)</f>
        <v/>
      </c>
      <c r="R169" s="9">
        <f>Mecanismos!B9*(1-J169)</f>
        <v/>
      </c>
      <c r="S169" s="9">
        <f>Mecanismos!B8*H169</f>
        <v/>
      </c>
      <c r="T169" s="9">
        <f>Mecanismos!B10*H169</f>
        <v/>
      </c>
      <c r="U169" s="9">
        <f>Mecanismos!B8*K169</f>
        <v/>
      </c>
      <c r="V169" s="9">
        <f>Mecanismos!B3*D169</f>
        <v/>
      </c>
      <c r="W169" s="9">
        <f>Parametros!B2+Parametros!B4*(S169+T169+U169+V169)-Parametros!B3*(L169+M169+N169+O169+P169+Q169+R169)</f>
        <v/>
      </c>
      <c r="X169" s="10">
        <f>1/(1+EXP(-W169))</f>
        <v/>
      </c>
      <c r="Y169" s="11">
        <f>IF(Parametros!B6=1,0.15+0.85*(1/(1+EXP(-8*((1-N169)-0.45)))),1)</f>
        <v/>
      </c>
      <c r="Z169" s="11">
        <f>IF(Parametros!B7=1,MAX(0.05,1-L169^1.6),1)</f>
        <v/>
      </c>
      <c r="AA169" s="11">
        <f>IF(Parametros!B8=1,0.2+0.8*(1/(1+EXP(-9*(S169-0.25)))),1)</f>
        <v/>
      </c>
      <c r="AB169" s="10">
        <f>X169*Y169*Z169*AA169</f>
        <v/>
      </c>
    </row>
    <row r="170">
      <c r="A170" t="inlineStr">
        <is>
          <t>qt14ax</t>
        </is>
      </c>
      <c r="B170" t="inlineStr">
        <is>
          <t>Esther Cassiano</t>
        </is>
      </c>
      <c r="C170" s="8" t="n">
        <v>0.6529</v>
      </c>
      <c r="D170" s="8" t="n">
        <v>0.7827</v>
      </c>
      <c r="E170" s="8" t="n">
        <v>0.6942</v>
      </c>
      <c r="F170" s="8" t="n">
        <v>0.7524</v>
      </c>
      <c r="G170" s="8" t="n">
        <v>0.721</v>
      </c>
      <c r="H170" s="8" t="n">
        <v>0.6618000000000001</v>
      </c>
      <c r="I170" s="8" t="n">
        <v>0.6696</v>
      </c>
      <c r="J170" s="8" t="n">
        <v>0.7657</v>
      </c>
      <c r="K170" s="8" t="n">
        <v>0.1481</v>
      </c>
      <c r="L170" s="9">
        <f>1-(1-Mecanismos!B2)*(1-C170)</f>
        <v/>
      </c>
      <c r="M170" s="9">
        <f>Mecanismos!B7*D170</f>
        <v/>
      </c>
      <c r="N170" s="9">
        <f>Mecanismos!B4*(1-E170)</f>
        <v/>
      </c>
      <c r="O170" s="9">
        <f>Mecanismos!B5*(1-F170)</f>
        <v/>
      </c>
      <c r="P170" s="9">
        <f>Mecanismos!B6*(1-I170)</f>
        <v/>
      </c>
      <c r="Q170" s="9">
        <f>Mecanismos!B9*(1-G170)</f>
        <v/>
      </c>
      <c r="R170" s="9">
        <f>Mecanismos!B9*(1-J170)</f>
        <v/>
      </c>
      <c r="S170" s="9">
        <f>Mecanismos!B8*H170</f>
        <v/>
      </c>
      <c r="T170" s="9">
        <f>Mecanismos!B10*H170</f>
        <v/>
      </c>
      <c r="U170" s="9">
        <f>Mecanismos!B8*K170</f>
        <v/>
      </c>
      <c r="V170" s="9">
        <f>Mecanismos!B3*D170</f>
        <v/>
      </c>
      <c r="W170" s="9">
        <f>Parametros!B2+Parametros!B4*(S170+T170+U170+V170)-Parametros!B3*(L170+M170+N170+O170+P170+Q170+R170)</f>
        <v/>
      </c>
      <c r="X170" s="10">
        <f>1/(1+EXP(-W170))</f>
        <v/>
      </c>
      <c r="Y170" s="11">
        <f>IF(Parametros!B6=1,0.15+0.85*(1/(1+EXP(-8*((1-N170)-0.45)))),1)</f>
        <v/>
      </c>
      <c r="Z170" s="11">
        <f>IF(Parametros!B7=1,MAX(0.05,1-L170^1.6),1)</f>
        <v/>
      </c>
      <c r="AA170" s="11">
        <f>IF(Parametros!B8=1,0.2+0.8*(1/(1+EXP(-9*(S170-0.25)))),1)</f>
        <v/>
      </c>
      <c r="AB170" s="10">
        <f>X170*Y170*Z170*AA170</f>
        <v/>
      </c>
    </row>
    <row r="171">
      <c r="A171" t="inlineStr">
        <is>
          <t>uugxqd</t>
        </is>
      </c>
      <c r="B171" t="inlineStr">
        <is>
          <t>Esther Ramos</t>
        </is>
      </c>
      <c r="C171" s="8" t="n">
        <v>0.7492</v>
      </c>
      <c r="D171" s="8" t="n">
        <v>0.3937</v>
      </c>
      <c r="E171" s="8" t="n">
        <v>0.4049</v>
      </c>
      <c r="F171" s="8" t="n">
        <v>0.2621</v>
      </c>
      <c r="G171" s="8" t="n">
        <v>0.3908</v>
      </c>
      <c r="H171" s="8" t="n">
        <v>0.6838</v>
      </c>
      <c r="I171" s="8" t="n">
        <v>0.5379</v>
      </c>
      <c r="J171" s="8" t="n">
        <v>0.866</v>
      </c>
      <c r="K171" s="8" t="n">
        <v>0.8151</v>
      </c>
      <c r="L171" s="9">
        <f>1-(1-Mecanismos!B2)*(1-C171)</f>
        <v/>
      </c>
      <c r="M171" s="9">
        <f>Mecanismos!B7*D171</f>
        <v/>
      </c>
      <c r="N171" s="9">
        <f>Mecanismos!B4*(1-E171)</f>
        <v/>
      </c>
      <c r="O171" s="9">
        <f>Mecanismos!B5*(1-F171)</f>
        <v/>
      </c>
      <c r="P171" s="9">
        <f>Mecanismos!B6*(1-I171)</f>
        <v/>
      </c>
      <c r="Q171" s="9">
        <f>Mecanismos!B9*(1-G171)</f>
        <v/>
      </c>
      <c r="R171" s="9">
        <f>Mecanismos!B9*(1-J171)</f>
        <v/>
      </c>
      <c r="S171" s="9">
        <f>Mecanismos!B8*H171</f>
        <v/>
      </c>
      <c r="T171" s="9">
        <f>Mecanismos!B10*H171</f>
        <v/>
      </c>
      <c r="U171" s="9">
        <f>Mecanismos!B8*K171</f>
        <v/>
      </c>
      <c r="V171" s="9">
        <f>Mecanismos!B3*D171</f>
        <v/>
      </c>
      <c r="W171" s="9">
        <f>Parametros!B2+Parametros!B4*(S171+T171+U171+V171)-Parametros!B3*(L171+M171+N171+O171+P171+Q171+R171)</f>
        <v/>
      </c>
      <c r="X171" s="10">
        <f>1/(1+EXP(-W171))</f>
        <v/>
      </c>
      <c r="Y171" s="11">
        <f>IF(Parametros!B6=1,0.15+0.85*(1/(1+EXP(-8*((1-N171)-0.45)))),1)</f>
        <v/>
      </c>
      <c r="Z171" s="11">
        <f>IF(Parametros!B7=1,MAX(0.05,1-L171^1.6),1)</f>
        <v/>
      </c>
      <c r="AA171" s="11">
        <f>IF(Parametros!B8=1,0.2+0.8*(1/(1+EXP(-9*(S171-0.25)))),1)</f>
        <v/>
      </c>
      <c r="AB171" s="10">
        <f>X171*Y171*Z171*AA171</f>
        <v/>
      </c>
    </row>
    <row r="172">
      <c r="A172" t="inlineStr">
        <is>
          <t>oikueg</t>
        </is>
      </c>
      <c r="B172" t="inlineStr">
        <is>
          <t>Esther Viana</t>
        </is>
      </c>
      <c r="C172" s="8" t="n">
        <v>0.6928</v>
      </c>
      <c r="D172" s="8" t="n">
        <v>0.5982</v>
      </c>
      <c r="E172" s="8" t="n">
        <v>0.495</v>
      </c>
      <c r="F172" s="8" t="n">
        <v>0.5875</v>
      </c>
      <c r="G172" s="8" t="n">
        <v>0.4775</v>
      </c>
      <c r="H172" s="8" t="n">
        <v>0.614</v>
      </c>
      <c r="I172" s="8" t="n">
        <v>0.8287</v>
      </c>
      <c r="J172" s="8" t="n">
        <v>0.8265</v>
      </c>
      <c r="K172" s="8" t="n">
        <v>0.6676</v>
      </c>
      <c r="L172" s="9">
        <f>1-(1-Mecanismos!B2)*(1-C172)</f>
        <v/>
      </c>
      <c r="M172" s="9">
        <f>Mecanismos!B7*D172</f>
        <v/>
      </c>
      <c r="N172" s="9">
        <f>Mecanismos!B4*(1-E172)</f>
        <v/>
      </c>
      <c r="O172" s="9">
        <f>Mecanismos!B5*(1-F172)</f>
        <v/>
      </c>
      <c r="P172" s="9">
        <f>Mecanismos!B6*(1-I172)</f>
        <v/>
      </c>
      <c r="Q172" s="9">
        <f>Mecanismos!B9*(1-G172)</f>
        <v/>
      </c>
      <c r="R172" s="9">
        <f>Mecanismos!B9*(1-J172)</f>
        <v/>
      </c>
      <c r="S172" s="9">
        <f>Mecanismos!B8*H172</f>
        <v/>
      </c>
      <c r="T172" s="9">
        <f>Mecanismos!B10*H172</f>
        <v/>
      </c>
      <c r="U172" s="9">
        <f>Mecanismos!B8*K172</f>
        <v/>
      </c>
      <c r="V172" s="9">
        <f>Mecanismos!B3*D172</f>
        <v/>
      </c>
      <c r="W172" s="9">
        <f>Parametros!B2+Parametros!B4*(S172+T172+U172+V172)-Parametros!B3*(L172+M172+N172+O172+P172+Q172+R172)</f>
        <v/>
      </c>
      <c r="X172" s="10">
        <f>1/(1+EXP(-W172))</f>
        <v/>
      </c>
      <c r="Y172" s="11">
        <f>IF(Parametros!B6=1,0.15+0.85*(1/(1+EXP(-8*((1-N172)-0.45)))),1)</f>
        <v/>
      </c>
      <c r="Z172" s="11">
        <f>IF(Parametros!B7=1,MAX(0.05,1-L172^1.6),1)</f>
        <v/>
      </c>
      <c r="AA172" s="11">
        <f>IF(Parametros!B8=1,0.2+0.8*(1/(1+EXP(-9*(S172-0.25)))),1)</f>
        <v/>
      </c>
      <c r="AB172" s="10">
        <f>X172*Y172*Z172*AA172</f>
        <v/>
      </c>
    </row>
    <row r="173">
      <c r="A173" t="inlineStr">
        <is>
          <t>jugp92</t>
        </is>
      </c>
      <c r="B173" t="inlineStr">
        <is>
          <t>Evelyn Nunes</t>
        </is>
      </c>
      <c r="C173" s="8" t="n">
        <v>0.7259</v>
      </c>
      <c r="D173" s="8" t="n">
        <v>0.6109</v>
      </c>
      <c r="E173" s="8" t="n">
        <v>0.6843</v>
      </c>
      <c r="F173" s="8" t="n">
        <v>0.4371</v>
      </c>
      <c r="G173" s="8" t="n">
        <v>0.5916</v>
      </c>
      <c r="H173" s="8" t="n">
        <v>0.7406</v>
      </c>
      <c r="I173" s="8" t="n">
        <v>0.2891</v>
      </c>
      <c r="J173" s="8" t="n">
        <v>0.6048</v>
      </c>
      <c r="K173" s="8" t="n">
        <v>0.6998</v>
      </c>
      <c r="L173" s="9">
        <f>1-(1-Mecanismos!B2)*(1-C173)</f>
        <v/>
      </c>
      <c r="M173" s="9">
        <f>Mecanismos!B7*D173</f>
        <v/>
      </c>
      <c r="N173" s="9">
        <f>Mecanismos!B4*(1-E173)</f>
        <v/>
      </c>
      <c r="O173" s="9">
        <f>Mecanismos!B5*(1-F173)</f>
        <v/>
      </c>
      <c r="P173" s="9">
        <f>Mecanismos!B6*(1-I173)</f>
        <v/>
      </c>
      <c r="Q173" s="9">
        <f>Mecanismos!B9*(1-G173)</f>
        <v/>
      </c>
      <c r="R173" s="9">
        <f>Mecanismos!B9*(1-J173)</f>
        <v/>
      </c>
      <c r="S173" s="9">
        <f>Mecanismos!B8*H173</f>
        <v/>
      </c>
      <c r="T173" s="9">
        <f>Mecanismos!B10*H173</f>
        <v/>
      </c>
      <c r="U173" s="9">
        <f>Mecanismos!B8*K173</f>
        <v/>
      </c>
      <c r="V173" s="9">
        <f>Mecanismos!B3*D173</f>
        <v/>
      </c>
      <c r="W173" s="9">
        <f>Parametros!B2+Parametros!B4*(S173+T173+U173+V173)-Parametros!B3*(L173+M173+N173+O173+P173+Q173+R173)</f>
        <v/>
      </c>
      <c r="X173" s="10">
        <f>1/(1+EXP(-W173))</f>
        <v/>
      </c>
      <c r="Y173" s="11">
        <f>IF(Parametros!B6=1,0.15+0.85*(1/(1+EXP(-8*((1-N173)-0.45)))),1)</f>
        <v/>
      </c>
      <c r="Z173" s="11">
        <f>IF(Parametros!B7=1,MAX(0.05,1-L173^1.6),1)</f>
        <v/>
      </c>
      <c r="AA173" s="11">
        <f>IF(Parametros!B8=1,0.2+0.8*(1/(1+EXP(-9*(S173-0.25)))),1)</f>
        <v/>
      </c>
      <c r="AB173" s="10">
        <f>X173*Y173*Z173*AA173</f>
        <v/>
      </c>
    </row>
    <row r="174">
      <c r="A174" t="inlineStr">
        <is>
          <t>gojczz</t>
        </is>
      </c>
      <c r="B174" t="inlineStr">
        <is>
          <t>Fernanda Novais</t>
        </is>
      </c>
      <c r="C174" s="8" t="n">
        <v>0.4873</v>
      </c>
      <c r="D174" s="8" t="n">
        <v>0.6193</v>
      </c>
      <c r="E174" s="8" t="n">
        <v>0.3406</v>
      </c>
      <c r="F174" s="8" t="n">
        <v>0.6667</v>
      </c>
      <c r="G174" s="8" t="n">
        <v>0.7137</v>
      </c>
      <c r="H174" s="8" t="n">
        <v>0.4083</v>
      </c>
      <c r="I174" s="8" t="n">
        <v>0.7151999999999999</v>
      </c>
      <c r="J174" s="8" t="n">
        <v>0.7581</v>
      </c>
      <c r="K174" s="8" t="n">
        <v>0.295</v>
      </c>
      <c r="L174" s="9">
        <f>1-(1-Mecanismos!B2)*(1-C174)</f>
        <v/>
      </c>
      <c r="M174" s="9">
        <f>Mecanismos!B7*D174</f>
        <v/>
      </c>
      <c r="N174" s="9">
        <f>Mecanismos!B4*(1-E174)</f>
        <v/>
      </c>
      <c r="O174" s="9">
        <f>Mecanismos!B5*(1-F174)</f>
        <v/>
      </c>
      <c r="P174" s="9">
        <f>Mecanismos!B6*(1-I174)</f>
        <v/>
      </c>
      <c r="Q174" s="9">
        <f>Mecanismos!B9*(1-G174)</f>
        <v/>
      </c>
      <c r="R174" s="9">
        <f>Mecanismos!B9*(1-J174)</f>
        <v/>
      </c>
      <c r="S174" s="9">
        <f>Mecanismos!B8*H174</f>
        <v/>
      </c>
      <c r="T174" s="9">
        <f>Mecanismos!B10*H174</f>
        <v/>
      </c>
      <c r="U174" s="9">
        <f>Mecanismos!B8*K174</f>
        <v/>
      </c>
      <c r="V174" s="9">
        <f>Mecanismos!B3*D174</f>
        <v/>
      </c>
      <c r="W174" s="9">
        <f>Parametros!B2+Parametros!B4*(S174+T174+U174+V174)-Parametros!B3*(L174+M174+N174+O174+P174+Q174+R174)</f>
        <v/>
      </c>
      <c r="X174" s="10">
        <f>1/(1+EXP(-W174))</f>
        <v/>
      </c>
      <c r="Y174" s="11">
        <f>IF(Parametros!B6=1,0.15+0.85*(1/(1+EXP(-8*((1-N174)-0.45)))),1)</f>
        <v/>
      </c>
      <c r="Z174" s="11">
        <f>IF(Parametros!B7=1,MAX(0.05,1-L174^1.6),1)</f>
        <v/>
      </c>
      <c r="AA174" s="11">
        <f>IF(Parametros!B8=1,0.2+0.8*(1/(1+EXP(-9*(S174-0.25)))),1)</f>
        <v/>
      </c>
      <c r="AB174" s="10">
        <f>X174*Y174*Z174*AA174</f>
        <v/>
      </c>
    </row>
    <row r="175">
      <c r="A175" t="inlineStr">
        <is>
          <t>0nnz6v</t>
        </is>
      </c>
      <c r="B175" t="inlineStr">
        <is>
          <t>Fernanda Sampaio</t>
        </is>
      </c>
      <c r="C175" s="8" t="n">
        <v>0.6796</v>
      </c>
      <c r="D175" s="8" t="n">
        <v>0.371</v>
      </c>
      <c r="E175" s="8" t="n">
        <v>0.551</v>
      </c>
      <c r="F175" s="8" t="n">
        <v>0.4004</v>
      </c>
      <c r="G175" s="8" t="n">
        <v>0.3459</v>
      </c>
      <c r="H175" s="8" t="n">
        <v>0.5795</v>
      </c>
      <c r="I175" s="8" t="n">
        <v>0.2484</v>
      </c>
      <c r="J175" s="8" t="n">
        <v>0.4181</v>
      </c>
      <c r="K175" s="8" t="n">
        <v>0.3171</v>
      </c>
      <c r="L175" s="9">
        <f>1-(1-Mecanismos!B2)*(1-C175)</f>
        <v/>
      </c>
      <c r="M175" s="9">
        <f>Mecanismos!B7*D175</f>
        <v/>
      </c>
      <c r="N175" s="9">
        <f>Mecanismos!B4*(1-E175)</f>
        <v/>
      </c>
      <c r="O175" s="9">
        <f>Mecanismos!B5*(1-F175)</f>
        <v/>
      </c>
      <c r="P175" s="9">
        <f>Mecanismos!B6*(1-I175)</f>
        <v/>
      </c>
      <c r="Q175" s="9">
        <f>Mecanismos!B9*(1-G175)</f>
        <v/>
      </c>
      <c r="R175" s="9">
        <f>Mecanismos!B9*(1-J175)</f>
        <v/>
      </c>
      <c r="S175" s="9">
        <f>Mecanismos!B8*H175</f>
        <v/>
      </c>
      <c r="T175" s="9">
        <f>Mecanismos!B10*H175</f>
        <v/>
      </c>
      <c r="U175" s="9">
        <f>Mecanismos!B8*K175</f>
        <v/>
      </c>
      <c r="V175" s="9">
        <f>Mecanismos!B3*D175</f>
        <v/>
      </c>
      <c r="W175" s="9">
        <f>Parametros!B2+Parametros!B4*(S175+T175+U175+V175)-Parametros!B3*(L175+M175+N175+O175+P175+Q175+R175)</f>
        <v/>
      </c>
      <c r="X175" s="10">
        <f>1/(1+EXP(-W175))</f>
        <v/>
      </c>
      <c r="Y175" s="11">
        <f>IF(Parametros!B6=1,0.15+0.85*(1/(1+EXP(-8*((1-N175)-0.45)))),1)</f>
        <v/>
      </c>
      <c r="Z175" s="11">
        <f>IF(Parametros!B7=1,MAX(0.05,1-L175^1.6),1)</f>
        <v/>
      </c>
      <c r="AA175" s="11">
        <f>IF(Parametros!B8=1,0.2+0.8*(1/(1+EXP(-9*(S175-0.25)))),1)</f>
        <v/>
      </c>
      <c r="AB175" s="10">
        <f>X175*Y175*Z175*AA175</f>
        <v/>
      </c>
    </row>
    <row r="176">
      <c r="A176" t="inlineStr">
        <is>
          <t>6n859q</t>
        </is>
      </c>
      <c r="B176" t="inlineStr">
        <is>
          <t>Fernando Alves</t>
        </is>
      </c>
      <c r="C176" s="8" t="n">
        <v>0.7703</v>
      </c>
      <c r="D176" s="8" t="n">
        <v>0.4153</v>
      </c>
      <c r="E176" s="8" t="n">
        <v>0.5759</v>
      </c>
      <c r="F176" s="8" t="n">
        <v>0.3282</v>
      </c>
      <c r="G176" s="8" t="n">
        <v>0.4259</v>
      </c>
      <c r="H176" s="8" t="n">
        <v>0.5212</v>
      </c>
      <c r="I176" s="8" t="n">
        <v>0.2068</v>
      </c>
      <c r="J176" s="8" t="n">
        <v>0.2667</v>
      </c>
      <c r="K176" s="8" t="n">
        <v>0.3426</v>
      </c>
      <c r="L176" s="9">
        <f>1-(1-Mecanismos!B2)*(1-C176)</f>
        <v/>
      </c>
      <c r="M176" s="9">
        <f>Mecanismos!B7*D176</f>
        <v/>
      </c>
      <c r="N176" s="9">
        <f>Mecanismos!B4*(1-E176)</f>
        <v/>
      </c>
      <c r="O176" s="9">
        <f>Mecanismos!B5*(1-F176)</f>
        <v/>
      </c>
      <c r="P176" s="9">
        <f>Mecanismos!B6*(1-I176)</f>
        <v/>
      </c>
      <c r="Q176" s="9">
        <f>Mecanismos!B9*(1-G176)</f>
        <v/>
      </c>
      <c r="R176" s="9">
        <f>Mecanismos!B9*(1-J176)</f>
        <v/>
      </c>
      <c r="S176" s="9">
        <f>Mecanismos!B8*H176</f>
        <v/>
      </c>
      <c r="T176" s="9">
        <f>Mecanismos!B10*H176</f>
        <v/>
      </c>
      <c r="U176" s="9">
        <f>Mecanismos!B8*K176</f>
        <v/>
      </c>
      <c r="V176" s="9">
        <f>Mecanismos!B3*D176</f>
        <v/>
      </c>
      <c r="W176" s="9">
        <f>Parametros!B2+Parametros!B4*(S176+T176+U176+V176)-Parametros!B3*(L176+M176+N176+O176+P176+Q176+R176)</f>
        <v/>
      </c>
      <c r="X176" s="10">
        <f>1/(1+EXP(-W176))</f>
        <v/>
      </c>
      <c r="Y176" s="11">
        <f>IF(Parametros!B6=1,0.15+0.85*(1/(1+EXP(-8*((1-N176)-0.45)))),1)</f>
        <v/>
      </c>
      <c r="Z176" s="11">
        <f>IF(Parametros!B7=1,MAX(0.05,1-L176^1.6),1)</f>
        <v/>
      </c>
      <c r="AA176" s="11">
        <f>IF(Parametros!B8=1,0.2+0.8*(1/(1+EXP(-9*(S176-0.25)))),1)</f>
        <v/>
      </c>
      <c r="AB176" s="10">
        <f>X176*Y176*Z176*AA176</f>
        <v/>
      </c>
    </row>
    <row r="177">
      <c r="A177" t="inlineStr">
        <is>
          <t>nahmv2</t>
        </is>
      </c>
      <c r="B177" t="inlineStr">
        <is>
          <t>Fernando Duarte</t>
        </is>
      </c>
      <c r="C177" s="8" t="n">
        <v>0.8459</v>
      </c>
      <c r="D177" s="8" t="n">
        <v>0.4997</v>
      </c>
      <c r="E177" s="8" t="n">
        <v>0.6473</v>
      </c>
      <c r="F177" s="8" t="n">
        <v>0.4596</v>
      </c>
      <c r="G177" s="8" t="n">
        <v>0.6883</v>
      </c>
      <c r="H177" s="8" t="n">
        <v>0.5145</v>
      </c>
      <c r="I177" s="8" t="n">
        <v>0.3363</v>
      </c>
      <c r="J177" s="8" t="n">
        <v>0.8162</v>
      </c>
      <c r="K177" s="8" t="n">
        <v>0.377</v>
      </c>
      <c r="L177" s="9">
        <f>1-(1-Mecanismos!B2)*(1-C177)</f>
        <v/>
      </c>
      <c r="M177" s="9">
        <f>Mecanismos!B7*D177</f>
        <v/>
      </c>
      <c r="N177" s="9">
        <f>Mecanismos!B4*(1-E177)</f>
        <v/>
      </c>
      <c r="O177" s="9">
        <f>Mecanismos!B5*(1-F177)</f>
        <v/>
      </c>
      <c r="P177" s="9">
        <f>Mecanismos!B6*(1-I177)</f>
        <v/>
      </c>
      <c r="Q177" s="9">
        <f>Mecanismos!B9*(1-G177)</f>
        <v/>
      </c>
      <c r="R177" s="9">
        <f>Mecanismos!B9*(1-J177)</f>
        <v/>
      </c>
      <c r="S177" s="9">
        <f>Mecanismos!B8*H177</f>
        <v/>
      </c>
      <c r="T177" s="9">
        <f>Mecanismos!B10*H177</f>
        <v/>
      </c>
      <c r="U177" s="9">
        <f>Mecanismos!B8*K177</f>
        <v/>
      </c>
      <c r="V177" s="9">
        <f>Mecanismos!B3*D177</f>
        <v/>
      </c>
      <c r="W177" s="9">
        <f>Parametros!B2+Parametros!B4*(S177+T177+U177+V177)-Parametros!B3*(L177+M177+N177+O177+P177+Q177+R177)</f>
        <v/>
      </c>
      <c r="X177" s="10">
        <f>1/(1+EXP(-W177))</f>
        <v/>
      </c>
      <c r="Y177" s="11">
        <f>IF(Parametros!B6=1,0.15+0.85*(1/(1+EXP(-8*((1-N177)-0.45)))),1)</f>
        <v/>
      </c>
      <c r="Z177" s="11">
        <f>IF(Parametros!B7=1,MAX(0.05,1-L177^1.6),1)</f>
        <v/>
      </c>
      <c r="AA177" s="11">
        <f>IF(Parametros!B8=1,0.2+0.8*(1/(1+EXP(-9*(S177-0.25)))),1)</f>
        <v/>
      </c>
      <c r="AB177" s="10">
        <f>X177*Y177*Z177*AA177</f>
        <v/>
      </c>
    </row>
    <row r="178">
      <c r="A178" t="inlineStr">
        <is>
          <t>0kwpcx</t>
        </is>
      </c>
      <c r="B178" t="inlineStr">
        <is>
          <t>Fernando Monteiro</t>
        </is>
      </c>
      <c r="C178" s="8" t="n">
        <v>0.5615</v>
      </c>
      <c r="D178" s="8" t="n">
        <v>0.4388</v>
      </c>
      <c r="E178" s="8" t="n">
        <v>0.5483</v>
      </c>
      <c r="F178" s="8" t="n">
        <v>0.193</v>
      </c>
      <c r="G178" s="8" t="n">
        <v>0.6133</v>
      </c>
      <c r="H178" s="8" t="n">
        <v>0.6091</v>
      </c>
      <c r="I178" s="8" t="n">
        <v>0.1623</v>
      </c>
      <c r="J178" s="8" t="n">
        <v>0.5590000000000001</v>
      </c>
      <c r="K178" s="8" t="n">
        <v>0.1486</v>
      </c>
      <c r="L178" s="9">
        <f>1-(1-Mecanismos!B2)*(1-C178)</f>
        <v/>
      </c>
      <c r="M178" s="9">
        <f>Mecanismos!B7*D178</f>
        <v/>
      </c>
      <c r="N178" s="9">
        <f>Mecanismos!B4*(1-E178)</f>
        <v/>
      </c>
      <c r="O178" s="9">
        <f>Mecanismos!B5*(1-F178)</f>
        <v/>
      </c>
      <c r="P178" s="9">
        <f>Mecanismos!B6*(1-I178)</f>
        <v/>
      </c>
      <c r="Q178" s="9">
        <f>Mecanismos!B9*(1-G178)</f>
        <v/>
      </c>
      <c r="R178" s="9">
        <f>Mecanismos!B9*(1-J178)</f>
        <v/>
      </c>
      <c r="S178" s="9">
        <f>Mecanismos!B8*H178</f>
        <v/>
      </c>
      <c r="T178" s="9">
        <f>Mecanismos!B10*H178</f>
        <v/>
      </c>
      <c r="U178" s="9">
        <f>Mecanismos!B8*K178</f>
        <v/>
      </c>
      <c r="V178" s="9">
        <f>Mecanismos!B3*D178</f>
        <v/>
      </c>
      <c r="W178" s="9">
        <f>Parametros!B2+Parametros!B4*(S178+T178+U178+V178)-Parametros!B3*(L178+M178+N178+O178+P178+Q178+R178)</f>
        <v/>
      </c>
      <c r="X178" s="10">
        <f>1/(1+EXP(-W178))</f>
        <v/>
      </c>
      <c r="Y178" s="11">
        <f>IF(Parametros!B6=1,0.15+0.85*(1/(1+EXP(-8*((1-N178)-0.45)))),1)</f>
        <v/>
      </c>
      <c r="Z178" s="11">
        <f>IF(Parametros!B7=1,MAX(0.05,1-L178^1.6),1)</f>
        <v/>
      </c>
      <c r="AA178" s="11">
        <f>IF(Parametros!B8=1,0.2+0.8*(1/(1+EXP(-9*(S178-0.25)))),1)</f>
        <v/>
      </c>
      <c r="AB178" s="10">
        <f>X178*Y178*Z178*AA178</f>
        <v/>
      </c>
    </row>
    <row r="179">
      <c r="A179" t="inlineStr">
        <is>
          <t>h1dnvl</t>
        </is>
      </c>
      <c r="B179" t="inlineStr">
        <is>
          <t>Gabriel Barros</t>
        </is>
      </c>
      <c r="C179" s="8" t="n">
        <v>0.8898</v>
      </c>
      <c r="D179" s="8" t="n">
        <v>0.3473</v>
      </c>
      <c r="E179" s="8" t="n">
        <v>0.7708</v>
      </c>
      <c r="F179" s="8" t="n">
        <v>0.4602</v>
      </c>
      <c r="G179" s="8" t="n">
        <v>0.4799</v>
      </c>
      <c r="H179" s="8" t="n">
        <v>0.6341</v>
      </c>
      <c r="I179" s="8" t="n">
        <v>0.2373</v>
      </c>
      <c r="J179" s="8" t="n">
        <v>0.7013</v>
      </c>
      <c r="K179" s="8" t="n">
        <v>0.3428</v>
      </c>
      <c r="L179" s="9">
        <f>1-(1-Mecanismos!B2)*(1-C179)</f>
        <v/>
      </c>
      <c r="M179" s="9">
        <f>Mecanismos!B7*D179</f>
        <v/>
      </c>
      <c r="N179" s="9">
        <f>Mecanismos!B4*(1-E179)</f>
        <v/>
      </c>
      <c r="O179" s="9">
        <f>Mecanismos!B5*(1-F179)</f>
        <v/>
      </c>
      <c r="P179" s="9">
        <f>Mecanismos!B6*(1-I179)</f>
        <v/>
      </c>
      <c r="Q179" s="9">
        <f>Mecanismos!B9*(1-G179)</f>
        <v/>
      </c>
      <c r="R179" s="9">
        <f>Mecanismos!B9*(1-J179)</f>
        <v/>
      </c>
      <c r="S179" s="9">
        <f>Mecanismos!B8*H179</f>
        <v/>
      </c>
      <c r="T179" s="9">
        <f>Mecanismos!B10*H179</f>
        <v/>
      </c>
      <c r="U179" s="9">
        <f>Mecanismos!B8*K179</f>
        <v/>
      </c>
      <c r="V179" s="9">
        <f>Mecanismos!B3*D179</f>
        <v/>
      </c>
      <c r="W179" s="9">
        <f>Parametros!B2+Parametros!B4*(S179+T179+U179+V179)-Parametros!B3*(L179+M179+N179+O179+P179+Q179+R179)</f>
        <v/>
      </c>
      <c r="X179" s="10">
        <f>1/(1+EXP(-W179))</f>
        <v/>
      </c>
      <c r="Y179" s="11">
        <f>IF(Parametros!B6=1,0.15+0.85*(1/(1+EXP(-8*((1-N179)-0.45)))),1)</f>
        <v/>
      </c>
      <c r="Z179" s="11">
        <f>IF(Parametros!B7=1,MAX(0.05,1-L179^1.6),1)</f>
        <v/>
      </c>
      <c r="AA179" s="11">
        <f>IF(Parametros!B8=1,0.2+0.8*(1/(1+EXP(-9*(S179-0.25)))),1)</f>
        <v/>
      </c>
      <c r="AB179" s="10">
        <f>X179*Y179*Z179*AA179</f>
        <v/>
      </c>
    </row>
    <row r="180">
      <c r="A180" t="inlineStr">
        <is>
          <t>pc6sd4</t>
        </is>
      </c>
      <c r="B180" t="inlineStr">
        <is>
          <t>Gabriela Castro</t>
        </is>
      </c>
      <c r="C180" s="8" t="n">
        <v>0.504</v>
      </c>
      <c r="D180" s="8" t="n">
        <v>0.1633</v>
      </c>
      <c r="E180" s="8" t="n">
        <v>0.6834</v>
      </c>
      <c r="F180" s="8" t="n">
        <v>0.4957</v>
      </c>
      <c r="G180" s="8" t="n">
        <v>0.3858</v>
      </c>
      <c r="H180" s="8" t="n">
        <v>0.6229</v>
      </c>
      <c r="I180" s="8" t="n">
        <v>0.7247</v>
      </c>
      <c r="J180" s="8" t="n">
        <v>0.7705</v>
      </c>
      <c r="K180" s="8" t="n">
        <v>0.5753</v>
      </c>
      <c r="L180" s="9">
        <f>1-(1-Mecanismos!B2)*(1-C180)</f>
        <v/>
      </c>
      <c r="M180" s="9">
        <f>Mecanismos!B7*D180</f>
        <v/>
      </c>
      <c r="N180" s="9">
        <f>Mecanismos!B4*(1-E180)</f>
        <v/>
      </c>
      <c r="O180" s="9">
        <f>Mecanismos!B5*(1-F180)</f>
        <v/>
      </c>
      <c r="P180" s="9">
        <f>Mecanismos!B6*(1-I180)</f>
        <v/>
      </c>
      <c r="Q180" s="9">
        <f>Mecanismos!B9*(1-G180)</f>
        <v/>
      </c>
      <c r="R180" s="9">
        <f>Mecanismos!B9*(1-J180)</f>
        <v/>
      </c>
      <c r="S180" s="9">
        <f>Mecanismos!B8*H180</f>
        <v/>
      </c>
      <c r="T180" s="9">
        <f>Mecanismos!B10*H180</f>
        <v/>
      </c>
      <c r="U180" s="9">
        <f>Mecanismos!B8*K180</f>
        <v/>
      </c>
      <c r="V180" s="9">
        <f>Mecanismos!B3*D180</f>
        <v/>
      </c>
      <c r="W180" s="9">
        <f>Parametros!B2+Parametros!B4*(S180+T180+U180+V180)-Parametros!B3*(L180+M180+N180+O180+P180+Q180+R180)</f>
        <v/>
      </c>
      <c r="X180" s="10">
        <f>1/(1+EXP(-W180))</f>
        <v/>
      </c>
      <c r="Y180" s="11">
        <f>IF(Parametros!B6=1,0.15+0.85*(1/(1+EXP(-8*((1-N180)-0.45)))),1)</f>
        <v/>
      </c>
      <c r="Z180" s="11">
        <f>IF(Parametros!B7=1,MAX(0.05,1-L180^1.6),1)</f>
        <v/>
      </c>
      <c r="AA180" s="11">
        <f>IF(Parametros!B8=1,0.2+0.8*(1/(1+EXP(-9*(S180-0.25)))),1)</f>
        <v/>
      </c>
      <c r="AB180" s="10">
        <f>X180*Y180*Z180*AA180</f>
        <v/>
      </c>
    </row>
    <row r="181">
      <c r="A181" t="inlineStr">
        <is>
          <t>j7b8fb</t>
        </is>
      </c>
      <c r="B181" t="inlineStr">
        <is>
          <t>Gabriela Costela</t>
        </is>
      </c>
      <c r="C181" s="8" t="n">
        <v>0.4665</v>
      </c>
      <c r="D181" s="8" t="n">
        <v>0.6063</v>
      </c>
      <c r="E181" s="8" t="n">
        <v>0.379</v>
      </c>
      <c r="F181" s="8" t="n">
        <v>0.674</v>
      </c>
      <c r="G181" s="8" t="n">
        <v>0.4501</v>
      </c>
      <c r="H181" s="8" t="n">
        <v>0.4668</v>
      </c>
      <c r="I181" s="8" t="n">
        <v>0.7417</v>
      </c>
      <c r="J181" s="8" t="n">
        <v>0.7292</v>
      </c>
      <c r="K181" s="8" t="n">
        <v>0.5767</v>
      </c>
      <c r="L181" s="9">
        <f>1-(1-Mecanismos!B2)*(1-C181)</f>
        <v/>
      </c>
      <c r="M181" s="9">
        <f>Mecanismos!B7*D181</f>
        <v/>
      </c>
      <c r="N181" s="9">
        <f>Mecanismos!B4*(1-E181)</f>
        <v/>
      </c>
      <c r="O181" s="9">
        <f>Mecanismos!B5*(1-F181)</f>
        <v/>
      </c>
      <c r="P181" s="9">
        <f>Mecanismos!B6*(1-I181)</f>
        <v/>
      </c>
      <c r="Q181" s="9">
        <f>Mecanismos!B9*(1-G181)</f>
        <v/>
      </c>
      <c r="R181" s="9">
        <f>Mecanismos!B9*(1-J181)</f>
        <v/>
      </c>
      <c r="S181" s="9">
        <f>Mecanismos!B8*H181</f>
        <v/>
      </c>
      <c r="T181" s="9">
        <f>Mecanismos!B10*H181</f>
        <v/>
      </c>
      <c r="U181" s="9">
        <f>Mecanismos!B8*K181</f>
        <v/>
      </c>
      <c r="V181" s="9">
        <f>Mecanismos!B3*D181</f>
        <v/>
      </c>
      <c r="W181" s="9">
        <f>Parametros!B2+Parametros!B4*(S181+T181+U181+V181)-Parametros!B3*(L181+M181+N181+O181+P181+Q181+R181)</f>
        <v/>
      </c>
      <c r="X181" s="10">
        <f>1/(1+EXP(-W181))</f>
        <v/>
      </c>
      <c r="Y181" s="11">
        <f>IF(Parametros!B6=1,0.15+0.85*(1/(1+EXP(-8*((1-N181)-0.45)))),1)</f>
        <v/>
      </c>
      <c r="Z181" s="11">
        <f>IF(Parametros!B7=1,MAX(0.05,1-L181^1.6),1)</f>
        <v/>
      </c>
      <c r="AA181" s="11">
        <f>IF(Parametros!B8=1,0.2+0.8*(1/(1+EXP(-9*(S181-0.25)))),1)</f>
        <v/>
      </c>
      <c r="AB181" s="10">
        <f>X181*Y181*Z181*AA181</f>
        <v/>
      </c>
    </row>
    <row r="182">
      <c r="A182" t="inlineStr">
        <is>
          <t>ktnh74</t>
        </is>
      </c>
      <c r="B182" t="inlineStr">
        <is>
          <t>Gabriela Fernandes</t>
        </is>
      </c>
      <c r="C182" s="8" t="n">
        <v>0.4536</v>
      </c>
      <c r="D182" s="8" t="n">
        <v>0.5188</v>
      </c>
      <c r="E182" s="8" t="n">
        <v>0.7073</v>
      </c>
      <c r="F182" s="8" t="n">
        <v>0.6212</v>
      </c>
      <c r="G182" s="8" t="n">
        <v>0.3598</v>
      </c>
      <c r="H182" s="8" t="n">
        <v>0.7749</v>
      </c>
      <c r="I182" s="8" t="n">
        <v>0.5004999999999999</v>
      </c>
      <c r="J182" s="8" t="n">
        <v>0.7478</v>
      </c>
      <c r="K182" s="8" t="n">
        <v>0.6061</v>
      </c>
      <c r="L182" s="9">
        <f>1-(1-Mecanismos!B2)*(1-C182)</f>
        <v/>
      </c>
      <c r="M182" s="9">
        <f>Mecanismos!B7*D182</f>
        <v/>
      </c>
      <c r="N182" s="9">
        <f>Mecanismos!B4*(1-E182)</f>
        <v/>
      </c>
      <c r="O182" s="9">
        <f>Mecanismos!B5*(1-F182)</f>
        <v/>
      </c>
      <c r="P182" s="9">
        <f>Mecanismos!B6*(1-I182)</f>
        <v/>
      </c>
      <c r="Q182" s="9">
        <f>Mecanismos!B9*(1-G182)</f>
        <v/>
      </c>
      <c r="R182" s="9">
        <f>Mecanismos!B9*(1-J182)</f>
        <v/>
      </c>
      <c r="S182" s="9">
        <f>Mecanismos!B8*H182</f>
        <v/>
      </c>
      <c r="T182" s="9">
        <f>Mecanismos!B10*H182</f>
        <v/>
      </c>
      <c r="U182" s="9">
        <f>Mecanismos!B8*K182</f>
        <v/>
      </c>
      <c r="V182" s="9">
        <f>Mecanismos!B3*D182</f>
        <v/>
      </c>
      <c r="W182" s="9">
        <f>Parametros!B2+Parametros!B4*(S182+T182+U182+V182)-Parametros!B3*(L182+M182+N182+O182+P182+Q182+R182)</f>
        <v/>
      </c>
      <c r="X182" s="10">
        <f>1/(1+EXP(-W182))</f>
        <v/>
      </c>
      <c r="Y182" s="11">
        <f>IF(Parametros!B6=1,0.15+0.85*(1/(1+EXP(-8*((1-N182)-0.45)))),1)</f>
        <v/>
      </c>
      <c r="Z182" s="11">
        <f>IF(Parametros!B7=1,MAX(0.05,1-L182^1.6),1)</f>
        <v/>
      </c>
      <c r="AA182" s="11">
        <f>IF(Parametros!B8=1,0.2+0.8*(1/(1+EXP(-9*(S182-0.25)))),1)</f>
        <v/>
      </c>
      <c r="AB182" s="10">
        <f>X182*Y182*Z182*AA182</f>
        <v/>
      </c>
    </row>
    <row r="183">
      <c r="A183" t="inlineStr">
        <is>
          <t>zv8lys</t>
        </is>
      </c>
      <c r="B183" t="inlineStr">
        <is>
          <t>Gabriela da Mota</t>
        </is>
      </c>
      <c r="C183" s="8" t="n">
        <v>0.645</v>
      </c>
      <c r="D183" s="8" t="n">
        <v>0.6159</v>
      </c>
      <c r="E183" s="8" t="n">
        <v>0.4228</v>
      </c>
      <c r="F183" s="8" t="n">
        <v>0.7383</v>
      </c>
      <c r="G183" s="8" t="n">
        <v>0.6316000000000001</v>
      </c>
      <c r="H183" s="8" t="n">
        <v>0.5512</v>
      </c>
      <c r="I183" s="8" t="n">
        <v>0.8544</v>
      </c>
      <c r="J183" s="8" t="n">
        <v>0.5622</v>
      </c>
      <c r="K183" s="8" t="n">
        <v>0.598</v>
      </c>
      <c r="L183" s="9">
        <f>1-(1-Mecanismos!B2)*(1-C183)</f>
        <v/>
      </c>
      <c r="M183" s="9">
        <f>Mecanismos!B7*D183</f>
        <v/>
      </c>
      <c r="N183" s="9">
        <f>Mecanismos!B4*(1-E183)</f>
        <v/>
      </c>
      <c r="O183" s="9">
        <f>Mecanismos!B5*(1-F183)</f>
        <v/>
      </c>
      <c r="P183" s="9">
        <f>Mecanismos!B6*(1-I183)</f>
        <v/>
      </c>
      <c r="Q183" s="9">
        <f>Mecanismos!B9*(1-G183)</f>
        <v/>
      </c>
      <c r="R183" s="9">
        <f>Mecanismos!B9*(1-J183)</f>
        <v/>
      </c>
      <c r="S183" s="9">
        <f>Mecanismos!B8*H183</f>
        <v/>
      </c>
      <c r="T183" s="9">
        <f>Mecanismos!B10*H183</f>
        <v/>
      </c>
      <c r="U183" s="9">
        <f>Mecanismos!B8*K183</f>
        <v/>
      </c>
      <c r="V183" s="9">
        <f>Mecanismos!B3*D183</f>
        <v/>
      </c>
      <c r="W183" s="9">
        <f>Parametros!B2+Parametros!B4*(S183+T183+U183+V183)-Parametros!B3*(L183+M183+N183+O183+P183+Q183+R183)</f>
        <v/>
      </c>
      <c r="X183" s="10">
        <f>1/(1+EXP(-W183))</f>
        <v/>
      </c>
      <c r="Y183" s="11">
        <f>IF(Parametros!B6=1,0.15+0.85*(1/(1+EXP(-8*((1-N183)-0.45)))),1)</f>
        <v/>
      </c>
      <c r="Z183" s="11">
        <f>IF(Parametros!B7=1,MAX(0.05,1-L183^1.6),1)</f>
        <v/>
      </c>
      <c r="AA183" s="11">
        <f>IF(Parametros!B8=1,0.2+0.8*(1/(1+EXP(-9*(S183-0.25)))),1)</f>
        <v/>
      </c>
      <c r="AB183" s="10">
        <f>X183*Y183*Z183*AA183</f>
        <v/>
      </c>
    </row>
    <row r="184">
      <c r="A184" t="inlineStr">
        <is>
          <t>iqaxry</t>
        </is>
      </c>
      <c r="B184" t="inlineStr">
        <is>
          <t>Gabrielly Jesus</t>
        </is>
      </c>
      <c r="C184" s="8" t="n">
        <v>0.7048</v>
      </c>
      <c r="D184" s="8" t="n">
        <v>0.5137</v>
      </c>
      <c r="E184" s="8" t="n">
        <v>0.6037</v>
      </c>
      <c r="F184" s="8" t="n">
        <v>0.5713</v>
      </c>
      <c r="G184" s="8" t="n">
        <v>0.6269</v>
      </c>
      <c r="H184" s="8" t="n">
        <v>0.5474</v>
      </c>
      <c r="I184" s="8" t="n">
        <v>0.4342</v>
      </c>
      <c r="J184" s="8" t="n">
        <v>0.8848</v>
      </c>
      <c r="K184" s="8" t="n">
        <v>0.751</v>
      </c>
      <c r="L184" s="9">
        <f>1-(1-Mecanismos!B2)*(1-C184)</f>
        <v/>
      </c>
      <c r="M184" s="9">
        <f>Mecanismos!B7*D184</f>
        <v/>
      </c>
      <c r="N184" s="9">
        <f>Mecanismos!B4*(1-E184)</f>
        <v/>
      </c>
      <c r="O184" s="9">
        <f>Mecanismos!B5*(1-F184)</f>
        <v/>
      </c>
      <c r="P184" s="9">
        <f>Mecanismos!B6*(1-I184)</f>
        <v/>
      </c>
      <c r="Q184" s="9">
        <f>Mecanismos!B9*(1-G184)</f>
        <v/>
      </c>
      <c r="R184" s="9">
        <f>Mecanismos!B9*(1-J184)</f>
        <v/>
      </c>
      <c r="S184" s="9">
        <f>Mecanismos!B8*H184</f>
        <v/>
      </c>
      <c r="T184" s="9">
        <f>Mecanismos!B10*H184</f>
        <v/>
      </c>
      <c r="U184" s="9">
        <f>Mecanismos!B8*K184</f>
        <v/>
      </c>
      <c r="V184" s="9">
        <f>Mecanismos!B3*D184</f>
        <v/>
      </c>
      <c r="W184" s="9">
        <f>Parametros!B2+Parametros!B4*(S184+T184+U184+V184)-Parametros!B3*(L184+M184+N184+O184+P184+Q184+R184)</f>
        <v/>
      </c>
      <c r="X184" s="10">
        <f>1/(1+EXP(-W184))</f>
        <v/>
      </c>
      <c r="Y184" s="11">
        <f>IF(Parametros!B6=1,0.15+0.85*(1/(1+EXP(-8*((1-N184)-0.45)))),1)</f>
        <v/>
      </c>
      <c r="Z184" s="11">
        <f>IF(Parametros!B7=1,MAX(0.05,1-L184^1.6),1)</f>
        <v/>
      </c>
      <c r="AA184" s="11">
        <f>IF(Parametros!B8=1,0.2+0.8*(1/(1+EXP(-9*(S184-0.25)))),1)</f>
        <v/>
      </c>
      <c r="AB184" s="10">
        <f>X184*Y184*Z184*AA184</f>
        <v/>
      </c>
    </row>
    <row r="185">
      <c r="A185" t="inlineStr">
        <is>
          <t>g4tzet</t>
        </is>
      </c>
      <c r="B185" t="inlineStr">
        <is>
          <t>Gael Henrique Farias</t>
        </is>
      </c>
      <c r="C185" s="8" t="n">
        <v>0.8298</v>
      </c>
      <c r="D185" s="8" t="n">
        <v>0.2366</v>
      </c>
      <c r="E185" s="8" t="n">
        <v>0.7223000000000001</v>
      </c>
      <c r="F185" s="8" t="n">
        <v>0.6697</v>
      </c>
      <c r="G185" s="8" t="n">
        <v>0.3304</v>
      </c>
      <c r="H185" s="8" t="n">
        <v>0.786</v>
      </c>
      <c r="I185" s="8" t="n">
        <v>0.8474</v>
      </c>
      <c r="J185" s="8" t="n">
        <v>0.6025</v>
      </c>
      <c r="K185" s="8" t="n">
        <v>0.4338</v>
      </c>
      <c r="L185" s="9">
        <f>1-(1-Mecanismos!B2)*(1-C185)</f>
        <v/>
      </c>
      <c r="M185" s="9">
        <f>Mecanismos!B7*D185</f>
        <v/>
      </c>
      <c r="N185" s="9">
        <f>Mecanismos!B4*(1-E185)</f>
        <v/>
      </c>
      <c r="O185" s="9">
        <f>Mecanismos!B5*(1-F185)</f>
        <v/>
      </c>
      <c r="P185" s="9">
        <f>Mecanismos!B6*(1-I185)</f>
        <v/>
      </c>
      <c r="Q185" s="9">
        <f>Mecanismos!B9*(1-G185)</f>
        <v/>
      </c>
      <c r="R185" s="9">
        <f>Mecanismos!B9*(1-J185)</f>
        <v/>
      </c>
      <c r="S185" s="9">
        <f>Mecanismos!B8*H185</f>
        <v/>
      </c>
      <c r="T185" s="9">
        <f>Mecanismos!B10*H185</f>
        <v/>
      </c>
      <c r="U185" s="9">
        <f>Mecanismos!B8*K185</f>
        <v/>
      </c>
      <c r="V185" s="9">
        <f>Mecanismos!B3*D185</f>
        <v/>
      </c>
      <c r="W185" s="9">
        <f>Parametros!B2+Parametros!B4*(S185+T185+U185+V185)-Parametros!B3*(L185+M185+N185+O185+P185+Q185+R185)</f>
        <v/>
      </c>
      <c r="X185" s="10">
        <f>1/(1+EXP(-W185))</f>
        <v/>
      </c>
      <c r="Y185" s="11">
        <f>IF(Parametros!B6=1,0.15+0.85*(1/(1+EXP(-8*((1-N185)-0.45)))),1)</f>
        <v/>
      </c>
      <c r="Z185" s="11">
        <f>IF(Parametros!B7=1,MAX(0.05,1-L185^1.6),1)</f>
        <v/>
      </c>
      <c r="AA185" s="11">
        <f>IF(Parametros!B8=1,0.2+0.8*(1/(1+EXP(-9*(S185-0.25)))),1)</f>
        <v/>
      </c>
      <c r="AB185" s="10">
        <f>X185*Y185*Z185*AA185</f>
        <v/>
      </c>
    </row>
    <row r="186">
      <c r="A186" t="inlineStr">
        <is>
          <t>wf78vw</t>
        </is>
      </c>
      <c r="B186" t="inlineStr">
        <is>
          <t>Gael Henrique Pires</t>
        </is>
      </c>
      <c r="C186" s="8" t="n">
        <v>0.4872</v>
      </c>
      <c r="D186" s="8" t="n">
        <v>0.2855</v>
      </c>
      <c r="E186" s="8" t="n">
        <v>0.4253</v>
      </c>
      <c r="F186" s="8" t="n">
        <v>0.6052999999999999</v>
      </c>
      <c r="G186" s="8" t="n">
        <v>0.5078</v>
      </c>
      <c r="H186" s="8" t="n">
        <v>0.6935</v>
      </c>
      <c r="I186" s="8" t="n">
        <v>0.644</v>
      </c>
      <c r="J186" s="8" t="n">
        <v>0.9287</v>
      </c>
      <c r="K186" s="8" t="n">
        <v>0.5108</v>
      </c>
      <c r="L186" s="9">
        <f>1-(1-Mecanismos!B2)*(1-C186)</f>
        <v/>
      </c>
      <c r="M186" s="9">
        <f>Mecanismos!B7*D186</f>
        <v/>
      </c>
      <c r="N186" s="9">
        <f>Mecanismos!B4*(1-E186)</f>
        <v/>
      </c>
      <c r="O186" s="9">
        <f>Mecanismos!B5*(1-F186)</f>
        <v/>
      </c>
      <c r="P186" s="9">
        <f>Mecanismos!B6*(1-I186)</f>
        <v/>
      </c>
      <c r="Q186" s="9">
        <f>Mecanismos!B9*(1-G186)</f>
        <v/>
      </c>
      <c r="R186" s="9">
        <f>Mecanismos!B9*(1-J186)</f>
        <v/>
      </c>
      <c r="S186" s="9">
        <f>Mecanismos!B8*H186</f>
        <v/>
      </c>
      <c r="T186" s="9">
        <f>Mecanismos!B10*H186</f>
        <v/>
      </c>
      <c r="U186" s="9">
        <f>Mecanismos!B8*K186</f>
        <v/>
      </c>
      <c r="V186" s="9">
        <f>Mecanismos!B3*D186</f>
        <v/>
      </c>
      <c r="W186" s="9">
        <f>Parametros!B2+Parametros!B4*(S186+T186+U186+V186)-Parametros!B3*(L186+M186+N186+O186+P186+Q186+R186)</f>
        <v/>
      </c>
      <c r="X186" s="10">
        <f>1/(1+EXP(-W186))</f>
        <v/>
      </c>
      <c r="Y186" s="11">
        <f>IF(Parametros!B6=1,0.15+0.85*(1/(1+EXP(-8*((1-N186)-0.45)))),1)</f>
        <v/>
      </c>
      <c r="Z186" s="11">
        <f>IF(Parametros!B7=1,MAX(0.05,1-L186^1.6),1)</f>
        <v/>
      </c>
      <c r="AA186" s="11">
        <f>IF(Parametros!B8=1,0.2+0.8*(1/(1+EXP(-9*(S186-0.25)))),1)</f>
        <v/>
      </c>
      <c r="AB186" s="10">
        <f>X186*Y186*Z186*AA186</f>
        <v/>
      </c>
    </row>
    <row r="187">
      <c r="A187" t="inlineStr">
        <is>
          <t>z18mn8</t>
        </is>
      </c>
      <c r="B187" t="inlineStr">
        <is>
          <t>Gael Henrique da Conceição</t>
        </is>
      </c>
      <c r="C187" s="8" t="n">
        <v>0.658</v>
      </c>
      <c r="D187" s="8" t="n">
        <v>0.7043</v>
      </c>
      <c r="E187" s="8" t="n">
        <v>0.4683</v>
      </c>
      <c r="F187" s="8" t="n">
        <v>0.5901</v>
      </c>
      <c r="G187" s="8" t="n">
        <v>0.7228</v>
      </c>
      <c r="H187" s="8" t="n">
        <v>0.5797</v>
      </c>
      <c r="I187" s="8" t="n">
        <v>0.7323</v>
      </c>
      <c r="J187" s="8" t="n">
        <v>0.8562</v>
      </c>
      <c r="K187" s="8" t="n">
        <v>0.3559</v>
      </c>
      <c r="L187" s="9">
        <f>1-(1-Mecanismos!B2)*(1-C187)</f>
        <v/>
      </c>
      <c r="M187" s="9">
        <f>Mecanismos!B7*D187</f>
        <v/>
      </c>
      <c r="N187" s="9">
        <f>Mecanismos!B4*(1-E187)</f>
        <v/>
      </c>
      <c r="O187" s="9">
        <f>Mecanismos!B5*(1-F187)</f>
        <v/>
      </c>
      <c r="P187" s="9">
        <f>Mecanismos!B6*(1-I187)</f>
        <v/>
      </c>
      <c r="Q187" s="9">
        <f>Mecanismos!B9*(1-G187)</f>
        <v/>
      </c>
      <c r="R187" s="9">
        <f>Mecanismos!B9*(1-J187)</f>
        <v/>
      </c>
      <c r="S187" s="9">
        <f>Mecanismos!B8*H187</f>
        <v/>
      </c>
      <c r="T187" s="9">
        <f>Mecanismos!B10*H187</f>
        <v/>
      </c>
      <c r="U187" s="9">
        <f>Mecanismos!B8*K187</f>
        <v/>
      </c>
      <c r="V187" s="9">
        <f>Mecanismos!B3*D187</f>
        <v/>
      </c>
      <c r="W187" s="9">
        <f>Parametros!B2+Parametros!B4*(S187+T187+U187+V187)-Parametros!B3*(L187+M187+N187+O187+P187+Q187+R187)</f>
        <v/>
      </c>
      <c r="X187" s="10">
        <f>1/(1+EXP(-W187))</f>
        <v/>
      </c>
      <c r="Y187" s="11">
        <f>IF(Parametros!B6=1,0.15+0.85*(1/(1+EXP(-8*((1-N187)-0.45)))),1)</f>
        <v/>
      </c>
      <c r="Z187" s="11">
        <f>IF(Parametros!B7=1,MAX(0.05,1-L187^1.6),1)</f>
        <v/>
      </c>
      <c r="AA187" s="11">
        <f>IF(Parametros!B8=1,0.2+0.8*(1/(1+EXP(-9*(S187-0.25)))),1)</f>
        <v/>
      </c>
      <c r="AB187" s="10">
        <f>X187*Y187*Z187*AA187</f>
        <v/>
      </c>
    </row>
    <row r="188">
      <c r="A188" t="inlineStr">
        <is>
          <t>y8ewkd</t>
        </is>
      </c>
      <c r="B188" t="inlineStr">
        <is>
          <t>Gael Viana</t>
        </is>
      </c>
      <c r="C188" s="8" t="n">
        <v>0.7963</v>
      </c>
      <c r="D188" s="8" t="n">
        <v>0.4547</v>
      </c>
      <c r="E188" s="8" t="n">
        <v>0.5152</v>
      </c>
      <c r="F188" s="8" t="n">
        <v>0.5094</v>
      </c>
      <c r="G188" s="8" t="n">
        <v>0.4649</v>
      </c>
      <c r="H188" s="8" t="n">
        <v>0.4168</v>
      </c>
      <c r="I188" s="8" t="n">
        <v>0.2887</v>
      </c>
      <c r="J188" s="8" t="n">
        <v>0.8863</v>
      </c>
      <c r="K188" s="8" t="n">
        <v>0.3803</v>
      </c>
      <c r="L188" s="9">
        <f>1-(1-Mecanismos!B2)*(1-C188)</f>
        <v/>
      </c>
      <c r="M188" s="9">
        <f>Mecanismos!B7*D188</f>
        <v/>
      </c>
      <c r="N188" s="9">
        <f>Mecanismos!B4*(1-E188)</f>
        <v/>
      </c>
      <c r="O188" s="9">
        <f>Mecanismos!B5*(1-F188)</f>
        <v/>
      </c>
      <c r="P188" s="9">
        <f>Mecanismos!B6*(1-I188)</f>
        <v/>
      </c>
      <c r="Q188" s="9">
        <f>Mecanismos!B9*(1-G188)</f>
        <v/>
      </c>
      <c r="R188" s="9">
        <f>Mecanismos!B9*(1-J188)</f>
        <v/>
      </c>
      <c r="S188" s="9">
        <f>Mecanismos!B8*H188</f>
        <v/>
      </c>
      <c r="T188" s="9">
        <f>Mecanismos!B10*H188</f>
        <v/>
      </c>
      <c r="U188" s="9">
        <f>Mecanismos!B8*K188</f>
        <v/>
      </c>
      <c r="V188" s="9">
        <f>Mecanismos!B3*D188</f>
        <v/>
      </c>
      <c r="W188" s="9">
        <f>Parametros!B2+Parametros!B4*(S188+T188+U188+V188)-Parametros!B3*(L188+M188+N188+O188+P188+Q188+R188)</f>
        <v/>
      </c>
      <c r="X188" s="10">
        <f>1/(1+EXP(-W188))</f>
        <v/>
      </c>
      <c r="Y188" s="11">
        <f>IF(Parametros!B6=1,0.15+0.85*(1/(1+EXP(-8*((1-N188)-0.45)))),1)</f>
        <v/>
      </c>
      <c r="Z188" s="11">
        <f>IF(Parametros!B7=1,MAX(0.05,1-L188^1.6),1)</f>
        <v/>
      </c>
      <c r="AA188" s="11">
        <f>IF(Parametros!B8=1,0.2+0.8*(1/(1+EXP(-9*(S188-0.25)))),1)</f>
        <v/>
      </c>
      <c r="AB188" s="10">
        <f>X188*Y188*Z188*AA188</f>
        <v/>
      </c>
    </row>
    <row r="189">
      <c r="A189" t="inlineStr">
        <is>
          <t>lbj4wj</t>
        </is>
      </c>
      <c r="B189" t="inlineStr">
        <is>
          <t>Giovanna Vargas</t>
        </is>
      </c>
      <c r="C189" s="8" t="n">
        <v>0.6908</v>
      </c>
      <c r="D189" s="8" t="n">
        <v>0.3116</v>
      </c>
      <c r="E189" s="8" t="n">
        <v>0.5968</v>
      </c>
      <c r="F189" s="8" t="n">
        <v>0.5397999999999999</v>
      </c>
      <c r="G189" s="8" t="n">
        <v>0.5322</v>
      </c>
      <c r="H189" s="8" t="n">
        <v>0.5702</v>
      </c>
      <c r="I189" s="8" t="n">
        <v>0.4549</v>
      </c>
      <c r="J189" s="8" t="n">
        <v>0.7037</v>
      </c>
      <c r="K189" s="8" t="n">
        <v>0.3317</v>
      </c>
      <c r="L189" s="9">
        <f>1-(1-Mecanismos!B2)*(1-C189)</f>
        <v/>
      </c>
      <c r="M189" s="9">
        <f>Mecanismos!B7*D189</f>
        <v/>
      </c>
      <c r="N189" s="9">
        <f>Mecanismos!B4*(1-E189)</f>
        <v/>
      </c>
      <c r="O189" s="9">
        <f>Mecanismos!B5*(1-F189)</f>
        <v/>
      </c>
      <c r="P189" s="9">
        <f>Mecanismos!B6*(1-I189)</f>
        <v/>
      </c>
      <c r="Q189" s="9">
        <f>Mecanismos!B9*(1-G189)</f>
        <v/>
      </c>
      <c r="R189" s="9">
        <f>Mecanismos!B9*(1-J189)</f>
        <v/>
      </c>
      <c r="S189" s="9">
        <f>Mecanismos!B8*H189</f>
        <v/>
      </c>
      <c r="T189" s="9">
        <f>Mecanismos!B10*H189</f>
        <v/>
      </c>
      <c r="U189" s="9">
        <f>Mecanismos!B8*K189</f>
        <v/>
      </c>
      <c r="V189" s="9">
        <f>Mecanismos!B3*D189</f>
        <v/>
      </c>
      <c r="W189" s="9">
        <f>Parametros!B2+Parametros!B4*(S189+T189+U189+V189)-Parametros!B3*(L189+M189+N189+O189+P189+Q189+R189)</f>
        <v/>
      </c>
      <c r="X189" s="10">
        <f>1/(1+EXP(-W189))</f>
        <v/>
      </c>
      <c r="Y189" s="11">
        <f>IF(Parametros!B6=1,0.15+0.85*(1/(1+EXP(-8*((1-N189)-0.45)))),1)</f>
        <v/>
      </c>
      <c r="Z189" s="11">
        <f>IF(Parametros!B7=1,MAX(0.05,1-L189^1.6),1)</f>
        <v/>
      </c>
      <c r="AA189" s="11">
        <f>IF(Parametros!B8=1,0.2+0.8*(1/(1+EXP(-9*(S189-0.25)))),1)</f>
        <v/>
      </c>
      <c r="AB189" s="10">
        <f>X189*Y189*Z189*AA189</f>
        <v/>
      </c>
    </row>
    <row r="190">
      <c r="A190" t="inlineStr">
        <is>
          <t>oopua6</t>
        </is>
      </c>
      <c r="B190" t="inlineStr">
        <is>
          <t>Giovanna da Paz</t>
        </is>
      </c>
      <c r="C190" s="8" t="n">
        <v>0.4563</v>
      </c>
      <c r="D190" s="8" t="n">
        <v>0.5099</v>
      </c>
      <c r="E190" s="8" t="n">
        <v>0.4412</v>
      </c>
      <c r="F190" s="8" t="n">
        <v>0.6755</v>
      </c>
      <c r="G190" s="8" t="n">
        <v>0.4023</v>
      </c>
      <c r="H190" s="8" t="n">
        <v>0.2423</v>
      </c>
      <c r="I190" s="8" t="n">
        <v>0.7765</v>
      </c>
      <c r="J190" s="8" t="n">
        <v>0.7891</v>
      </c>
      <c r="K190" s="8" t="n">
        <v>0.6212</v>
      </c>
      <c r="L190" s="9">
        <f>1-(1-Mecanismos!B2)*(1-C190)</f>
        <v/>
      </c>
      <c r="M190" s="9">
        <f>Mecanismos!B7*D190</f>
        <v/>
      </c>
      <c r="N190" s="9">
        <f>Mecanismos!B4*(1-E190)</f>
        <v/>
      </c>
      <c r="O190" s="9">
        <f>Mecanismos!B5*(1-F190)</f>
        <v/>
      </c>
      <c r="P190" s="9">
        <f>Mecanismos!B6*(1-I190)</f>
        <v/>
      </c>
      <c r="Q190" s="9">
        <f>Mecanismos!B9*(1-G190)</f>
        <v/>
      </c>
      <c r="R190" s="9">
        <f>Mecanismos!B9*(1-J190)</f>
        <v/>
      </c>
      <c r="S190" s="9">
        <f>Mecanismos!B8*H190</f>
        <v/>
      </c>
      <c r="T190" s="9">
        <f>Mecanismos!B10*H190</f>
        <v/>
      </c>
      <c r="U190" s="9">
        <f>Mecanismos!B8*K190</f>
        <v/>
      </c>
      <c r="V190" s="9">
        <f>Mecanismos!B3*D190</f>
        <v/>
      </c>
      <c r="W190" s="9">
        <f>Parametros!B2+Parametros!B4*(S190+T190+U190+V190)-Parametros!B3*(L190+M190+N190+O190+P190+Q190+R190)</f>
        <v/>
      </c>
      <c r="X190" s="10">
        <f>1/(1+EXP(-W190))</f>
        <v/>
      </c>
      <c r="Y190" s="11">
        <f>IF(Parametros!B6=1,0.15+0.85*(1/(1+EXP(-8*((1-N190)-0.45)))),1)</f>
        <v/>
      </c>
      <c r="Z190" s="11">
        <f>IF(Parametros!B7=1,MAX(0.05,1-L190^1.6),1)</f>
        <v/>
      </c>
      <c r="AA190" s="11">
        <f>IF(Parametros!B8=1,0.2+0.8*(1/(1+EXP(-9*(S190-0.25)))),1)</f>
        <v/>
      </c>
      <c r="AB190" s="10">
        <f>X190*Y190*Z190*AA190</f>
        <v/>
      </c>
    </row>
    <row r="191">
      <c r="A191" t="inlineStr">
        <is>
          <t>0lgt20</t>
        </is>
      </c>
      <c r="B191" t="inlineStr">
        <is>
          <t>Guilherme Nogueira</t>
        </is>
      </c>
      <c r="C191" s="8" t="n">
        <v>0.6585</v>
      </c>
      <c r="D191" s="8" t="n">
        <v>0.5481</v>
      </c>
      <c r="E191" s="8" t="n">
        <v>0.4322</v>
      </c>
      <c r="F191" s="8" t="n">
        <v>0.5885</v>
      </c>
      <c r="G191" s="8" t="n">
        <v>0.4486</v>
      </c>
      <c r="H191" s="8" t="n">
        <v>0.4098</v>
      </c>
      <c r="I191" s="8" t="n">
        <v>0.4092</v>
      </c>
      <c r="J191" s="8" t="n">
        <v>0.7171</v>
      </c>
      <c r="K191" s="8" t="n">
        <v>0.6754</v>
      </c>
      <c r="L191" s="9">
        <f>1-(1-Mecanismos!B2)*(1-C191)</f>
        <v/>
      </c>
      <c r="M191" s="9">
        <f>Mecanismos!B7*D191</f>
        <v/>
      </c>
      <c r="N191" s="9">
        <f>Mecanismos!B4*(1-E191)</f>
        <v/>
      </c>
      <c r="O191" s="9">
        <f>Mecanismos!B5*(1-F191)</f>
        <v/>
      </c>
      <c r="P191" s="9">
        <f>Mecanismos!B6*(1-I191)</f>
        <v/>
      </c>
      <c r="Q191" s="9">
        <f>Mecanismos!B9*(1-G191)</f>
        <v/>
      </c>
      <c r="R191" s="9">
        <f>Mecanismos!B9*(1-J191)</f>
        <v/>
      </c>
      <c r="S191" s="9">
        <f>Mecanismos!B8*H191</f>
        <v/>
      </c>
      <c r="T191" s="9">
        <f>Mecanismos!B10*H191</f>
        <v/>
      </c>
      <c r="U191" s="9">
        <f>Mecanismos!B8*K191</f>
        <v/>
      </c>
      <c r="V191" s="9">
        <f>Mecanismos!B3*D191</f>
        <v/>
      </c>
      <c r="W191" s="9">
        <f>Parametros!B2+Parametros!B4*(S191+T191+U191+V191)-Parametros!B3*(L191+M191+N191+O191+P191+Q191+R191)</f>
        <v/>
      </c>
      <c r="X191" s="10">
        <f>1/(1+EXP(-W191))</f>
        <v/>
      </c>
      <c r="Y191" s="11">
        <f>IF(Parametros!B6=1,0.15+0.85*(1/(1+EXP(-8*((1-N191)-0.45)))),1)</f>
        <v/>
      </c>
      <c r="Z191" s="11">
        <f>IF(Parametros!B7=1,MAX(0.05,1-L191^1.6),1)</f>
        <v/>
      </c>
      <c r="AA191" s="11">
        <f>IF(Parametros!B8=1,0.2+0.8*(1/(1+EXP(-9*(S191-0.25)))),1)</f>
        <v/>
      </c>
      <c r="AB191" s="10">
        <f>X191*Y191*Z191*AA191</f>
        <v/>
      </c>
    </row>
    <row r="192">
      <c r="A192" t="inlineStr">
        <is>
          <t>mag8dk</t>
        </is>
      </c>
      <c r="B192" t="inlineStr">
        <is>
          <t>Guilherme da Cunha</t>
        </is>
      </c>
      <c r="C192" s="8" t="n">
        <v>0.535</v>
      </c>
      <c r="D192" s="8" t="n">
        <v>0.4636</v>
      </c>
      <c r="E192" s="8" t="n">
        <v>0.6252</v>
      </c>
      <c r="F192" s="8" t="n">
        <v>0.4506</v>
      </c>
      <c r="G192" s="8" t="n">
        <v>0.2614</v>
      </c>
      <c r="H192" s="8" t="n">
        <v>0.5764</v>
      </c>
      <c r="I192" s="8" t="n">
        <v>0.3641</v>
      </c>
      <c r="J192" s="8" t="n">
        <v>0.8734</v>
      </c>
      <c r="K192" s="8" t="n">
        <v>0.6477000000000001</v>
      </c>
      <c r="L192" s="9">
        <f>1-(1-Mecanismos!B2)*(1-C192)</f>
        <v/>
      </c>
      <c r="M192" s="9">
        <f>Mecanismos!B7*D192</f>
        <v/>
      </c>
      <c r="N192" s="9">
        <f>Mecanismos!B4*(1-E192)</f>
        <v/>
      </c>
      <c r="O192" s="9">
        <f>Mecanismos!B5*(1-F192)</f>
        <v/>
      </c>
      <c r="P192" s="9">
        <f>Mecanismos!B6*(1-I192)</f>
        <v/>
      </c>
      <c r="Q192" s="9">
        <f>Mecanismos!B9*(1-G192)</f>
        <v/>
      </c>
      <c r="R192" s="9">
        <f>Mecanismos!B9*(1-J192)</f>
        <v/>
      </c>
      <c r="S192" s="9">
        <f>Mecanismos!B8*H192</f>
        <v/>
      </c>
      <c r="T192" s="9">
        <f>Mecanismos!B10*H192</f>
        <v/>
      </c>
      <c r="U192" s="9">
        <f>Mecanismos!B8*K192</f>
        <v/>
      </c>
      <c r="V192" s="9">
        <f>Mecanismos!B3*D192</f>
        <v/>
      </c>
      <c r="W192" s="9">
        <f>Parametros!B2+Parametros!B4*(S192+T192+U192+V192)-Parametros!B3*(L192+M192+N192+O192+P192+Q192+R192)</f>
        <v/>
      </c>
      <c r="X192" s="10">
        <f>1/(1+EXP(-W192))</f>
        <v/>
      </c>
      <c r="Y192" s="11">
        <f>IF(Parametros!B6=1,0.15+0.85*(1/(1+EXP(-8*((1-N192)-0.45)))),1)</f>
        <v/>
      </c>
      <c r="Z192" s="11">
        <f>IF(Parametros!B7=1,MAX(0.05,1-L192^1.6),1)</f>
        <v/>
      </c>
      <c r="AA192" s="11">
        <f>IF(Parametros!B8=1,0.2+0.8*(1/(1+EXP(-9*(S192-0.25)))),1)</f>
        <v/>
      </c>
      <c r="AB192" s="10">
        <f>X192*Y192*Z192*AA192</f>
        <v/>
      </c>
    </row>
    <row r="193">
      <c r="A193" t="inlineStr">
        <is>
          <t>t8voee</t>
        </is>
      </c>
      <c r="B193" t="inlineStr">
        <is>
          <t>Guilherme da Mota</t>
        </is>
      </c>
      <c r="C193" s="8" t="n">
        <v>0.7054</v>
      </c>
      <c r="D193" s="8" t="n">
        <v>0.5197000000000001</v>
      </c>
      <c r="E193" s="8" t="n">
        <v>0.6383</v>
      </c>
      <c r="F193" s="8" t="n">
        <v>0.3927</v>
      </c>
      <c r="G193" s="8" t="n">
        <v>0.2304</v>
      </c>
      <c r="H193" s="8" t="n">
        <v>0.4844</v>
      </c>
      <c r="I193" s="8" t="n">
        <v>0.441</v>
      </c>
      <c r="J193" s="8" t="n">
        <v>0.5333</v>
      </c>
      <c r="K193" s="8" t="n">
        <v>0.3607</v>
      </c>
      <c r="L193" s="9">
        <f>1-(1-Mecanismos!B2)*(1-C193)</f>
        <v/>
      </c>
      <c r="M193" s="9">
        <f>Mecanismos!B7*D193</f>
        <v/>
      </c>
      <c r="N193" s="9">
        <f>Mecanismos!B4*(1-E193)</f>
        <v/>
      </c>
      <c r="O193" s="9">
        <f>Mecanismos!B5*(1-F193)</f>
        <v/>
      </c>
      <c r="P193" s="9">
        <f>Mecanismos!B6*(1-I193)</f>
        <v/>
      </c>
      <c r="Q193" s="9">
        <f>Mecanismos!B9*(1-G193)</f>
        <v/>
      </c>
      <c r="R193" s="9">
        <f>Mecanismos!B9*(1-J193)</f>
        <v/>
      </c>
      <c r="S193" s="9">
        <f>Mecanismos!B8*H193</f>
        <v/>
      </c>
      <c r="T193" s="9">
        <f>Mecanismos!B10*H193</f>
        <v/>
      </c>
      <c r="U193" s="9">
        <f>Mecanismos!B8*K193</f>
        <v/>
      </c>
      <c r="V193" s="9">
        <f>Mecanismos!B3*D193</f>
        <v/>
      </c>
      <c r="W193" s="9">
        <f>Parametros!B2+Parametros!B4*(S193+T193+U193+V193)-Parametros!B3*(L193+M193+N193+O193+P193+Q193+R193)</f>
        <v/>
      </c>
      <c r="X193" s="10">
        <f>1/(1+EXP(-W193))</f>
        <v/>
      </c>
      <c r="Y193" s="11">
        <f>IF(Parametros!B6=1,0.15+0.85*(1/(1+EXP(-8*((1-N193)-0.45)))),1)</f>
        <v/>
      </c>
      <c r="Z193" s="11">
        <f>IF(Parametros!B7=1,MAX(0.05,1-L193^1.6),1)</f>
        <v/>
      </c>
      <c r="AA193" s="11">
        <f>IF(Parametros!B8=1,0.2+0.8*(1/(1+EXP(-9*(S193-0.25)))),1)</f>
        <v/>
      </c>
      <c r="AB193" s="10">
        <f>X193*Y193*Z193*AA193</f>
        <v/>
      </c>
    </row>
    <row r="194">
      <c r="A194" t="inlineStr">
        <is>
          <t>5jgmy4</t>
        </is>
      </c>
      <c r="B194" t="inlineStr">
        <is>
          <t>Gustavo Henrique Casa Grande</t>
        </is>
      </c>
      <c r="C194" s="8" t="n">
        <v>0.6082</v>
      </c>
      <c r="D194" s="8" t="n">
        <v>0.4196</v>
      </c>
      <c r="E194" s="8" t="n">
        <v>0.4128</v>
      </c>
      <c r="F194" s="8" t="n">
        <v>0.5403</v>
      </c>
      <c r="G194" s="8" t="n">
        <v>0.617</v>
      </c>
      <c r="H194" s="8" t="n">
        <v>0.6831</v>
      </c>
      <c r="I194" s="8" t="n">
        <v>0.8051</v>
      </c>
      <c r="J194" s="8" t="n">
        <v>0.9350000000000001</v>
      </c>
      <c r="K194" s="8" t="n">
        <v>0.7941</v>
      </c>
      <c r="L194" s="9">
        <f>1-(1-Mecanismos!B2)*(1-C194)</f>
        <v/>
      </c>
      <c r="M194" s="9">
        <f>Mecanismos!B7*D194</f>
        <v/>
      </c>
      <c r="N194" s="9">
        <f>Mecanismos!B4*(1-E194)</f>
        <v/>
      </c>
      <c r="O194" s="9">
        <f>Mecanismos!B5*(1-F194)</f>
        <v/>
      </c>
      <c r="P194" s="9">
        <f>Mecanismos!B6*(1-I194)</f>
        <v/>
      </c>
      <c r="Q194" s="9">
        <f>Mecanismos!B9*(1-G194)</f>
        <v/>
      </c>
      <c r="R194" s="9">
        <f>Mecanismos!B9*(1-J194)</f>
        <v/>
      </c>
      <c r="S194" s="9">
        <f>Mecanismos!B8*H194</f>
        <v/>
      </c>
      <c r="T194" s="9">
        <f>Mecanismos!B10*H194</f>
        <v/>
      </c>
      <c r="U194" s="9">
        <f>Mecanismos!B8*K194</f>
        <v/>
      </c>
      <c r="V194" s="9">
        <f>Mecanismos!B3*D194</f>
        <v/>
      </c>
      <c r="W194" s="9">
        <f>Parametros!B2+Parametros!B4*(S194+T194+U194+V194)-Parametros!B3*(L194+M194+N194+O194+P194+Q194+R194)</f>
        <v/>
      </c>
      <c r="X194" s="10">
        <f>1/(1+EXP(-W194))</f>
        <v/>
      </c>
      <c r="Y194" s="11">
        <f>IF(Parametros!B6=1,0.15+0.85*(1/(1+EXP(-8*((1-N194)-0.45)))),1)</f>
        <v/>
      </c>
      <c r="Z194" s="11">
        <f>IF(Parametros!B7=1,MAX(0.05,1-L194^1.6),1)</f>
        <v/>
      </c>
      <c r="AA194" s="11">
        <f>IF(Parametros!B8=1,0.2+0.8*(1/(1+EXP(-9*(S194-0.25)))),1)</f>
        <v/>
      </c>
      <c r="AB194" s="10">
        <f>X194*Y194*Z194*AA194</f>
        <v/>
      </c>
    </row>
    <row r="195">
      <c r="A195" t="inlineStr">
        <is>
          <t>k5kf1k</t>
        </is>
      </c>
      <c r="B195" t="inlineStr">
        <is>
          <t>Gustavo Henrique Nascimento</t>
        </is>
      </c>
      <c r="C195" s="8" t="n">
        <v>0.6402</v>
      </c>
      <c r="D195" s="8" t="n">
        <v>0.522</v>
      </c>
      <c r="E195" s="8" t="n">
        <v>0.4418</v>
      </c>
      <c r="F195" s="8" t="n">
        <v>0.5135999999999999</v>
      </c>
      <c r="G195" s="8" t="n">
        <v>0.6976</v>
      </c>
      <c r="H195" s="8" t="n">
        <v>0.6752</v>
      </c>
      <c r="I195" s="8" t="n">
        <v>0.858</v>
      </c>
      <c r="J195" s="8" t="n">
        <v>0.8907</v>
      </c>
      <c r="K195" s="8" t="n">
        <v>0.4073</v>
      </c>
      <c r="L195" s="9">
        <f>1-(1-Mecanismos!B2)*(1-C195)</f>
        <v/>
      </c>
      <c r="M195" s="9">
        <f>Mecanismos!B7*D195</f>
        <v/>
      </c>
      <c r="N195" s="9">
        <f>Mecanismos!B4*(1-E195)</f>
        <v/>
      </c>
      <c r="O195" s="9">
        <f>Mecanismos!B5*(1-F195)</f>
        <v/>
      </c>
      <c r="P195" s="9">
        <f>Mecanismos!B6*(1-I195)</f>
        <v/>
      </c>
      <c r="Q195" s="9">
        <f>Mecanismos!B9*(1-G195)</f>
        <v/>
      </c>
      <c r="R195" s="9">
        <f>Mecanismos!B9*(1-J195)</f>
        <v/>
      </c>
      <c r="S195" s="9">
        <f>Mecanismos!B8*H195</f>
        <v/>
      </c>
      <c r="T195" s="9">
        <f>Mecanismos!B10*H195</f>
        <v/>
      </c>
      <c r="U195" s="9">
        <f>Mecanismos!B8*K195</f>
        <v/>
      </c>
      <c r="V195" s="9">
        <f>Mecanismos!B3*D195</f>
        <v/>
      </c>
      <c r="W195" s="9">
        <f>Parametros!B2+Parametros!B4*(S195+T195+U195+V195)-Parametros!B3*(L195+M195+N195+O195+P195+Q195+R195)</f>
        <v/>
      </c>
      <c r="X195" s="10">
        <f>1/(1+EXP(-W195))</f>
        <v/>
      </c>
      <c r="Y195" s="11">
        <f>IF(Parametros!B6=1,0.15+0.85*(1/(1+EXP(-8*((1-N195)-0.45)))),1)</f>
        <v/>
      </c>
      <c r="Z195" s="11">
        <f>IF(Parametros!B7=1,MAX(0.05,1-L195^1.6),1)</f>
        <v/>
      </c>
      <c r="AA195" s="11">
        <f>IF(Parametros!B8=1,0.2+0.8*(1/(1+EXP(-9*(S195-0.25)))),1)</f>
        <v/>
      </c>
      <c r="AB195" s="10">
        <f>X195*Y195*Z195*AA195</f>
        <v/>
      </c>
    </row>
    <row r="196">
      <c r="A196" t="inlineStr">
        <is>
          <t>dvo4ea</t>
        </is>
      </c>
      <c r="B196" t="inlineStr">
        <is>
          <t>Hadassa Aragão</t>
        </is>
      </c>
      <c r="C196" s="8" t="n">
        <v>0.621</v>
      </c>
      <c r="D196" s="8" t="n">
        <v>0.6121</v>
      </c>
      <c r="E196" s="8" t="n">
        <v>0.4546</v>
      </c>
      <c r="F196" s="8" t="n">
        <v>0.3315</v>
      </c>
      <c r="G196" s="8" t="n">
        <v>0.4153</v>
      </c>
      <c r="H196" s="8" t="n">
        <v>0.5407999999999999</v>
      </c>
      <c r="I196" s="8" t="n">
        <v>0.5194</v>
      </c>
      <c r="J196" s="8" t="n">
        <v>0.8465</v>
      </c>
      <c r="K196" s="8" t="n">
        <v>0.662</v>
      </c>
      <c r="L196" s="9">
        <f>1-(1-Mecanismos!B2)*(1-C196)</f>
        <v/>
      </c>
      <c r="M196" s="9">
        <f>Mecanismos!B7*D196</f>
        <v/>
      </c>
      <c r="N196" s="9">
        <f>Mecanismos!B4*(1-E196)</f>
        <v/>
      </c>
      <c r="O196" s="9">
        <f>Mecanismos!B5*(1-F196)</f>
        <v/>
      </c>
      <c r="P196" s="9">
        <f>Mecanismos!B6*(1-I196)</f>
        <v/>
      </c>
      <c r="Q196" s="9">
        <f>Mecanismos!B9*(1-G196)</f>
        <v/>
      </c>
      <c r="R196" s="9">
        <f>Mecanismos!B9*(1-J196)</f>
        <v/>
      </c>
      <c r="S196" s="9">
        <f>Mecanismos!B8*H196</f>
        <v/>
      </c>
      <c r="T196" s="9">
        <f>Mecanismos!B10*H196</f>
        <v/>
      </c>
      <c r="U196" s="9">
        <f>Mecanismos!B8*K196</f>
        <v/>
      </c>
      <c r="V196" s="9">
        <f>Mecanismos!B3*D196</f>
        <v/>
      </c>
      <c r="W196" s="9">
        <f>Parametros!B2+Parametros!B4*(S196+T196+U196+V196)-Parametros!B3*(L196+M196+N196+O196+P196+Q196+R196)</f>
        <v/>
      </c>
      <c r="X196" s="10">
        <f>1/(1+EXP(-W196))</f>
        <v/>
      </c>
      <c r="Y196" s="11">
        <f>IF(Parametros!B6=1,0.15+0.85*(1/(1+EXP(-8*((1-N196)-0.45)))),1)</f>
        <v/>
      </c>
      <c r="Z196" s="11">
        <f>IF(Parametros!B7=1,MAX(0.05,1-L196^1.6),1)</f>
        <v/>
      </c>
      <c r="AA196" s="11">
        <f>IF(Parametros!B8=1,0.2+0.8*(1/(1+EXP(-9*(S196-0.25)))),1)</f>
        <v/>
      </c>
      <c r="AB196" s="10">
        <f>X196*Y196*Z196*AA196</f>
        <v/>
      </c>
    </row>
    <row r="197">
      <c r="A197" t="inlineStr">
        <is>
          <t>hwjnhv</t>
        </is>
      </c>
      <c r="B197" t="inlineStr">
        <is>
          <t>Hadassa Cavalcanti</t>
        </is>
      </c>
      <c r="C197" s="8" t="n">
        <v>0.5544</v>
      </c>
      <c r="D197" s="8" t="n">
        <v>0.4624</v>
      </c>
      <c r="E197" s="8" t="n">
        <v>0.6315</v>
      </c>
      <c r="F197" s="8" t="n">
        <v>0.5324</v>
      </c>
      <c r="G197" s="8" t="n">
        <v>0.3748</v>
      </c>
      <c r="H197" s="8" t="n">
        <v>0.5144</v>
      </c>
      <c r="I197" s="8" t="n">
        <v>0.3579</v>
      </c>
      <c r="J197" s="8" t="n">
        <v>0.6278</v>
      </c>
      <c r="K197" s="8" t="n">
        <v>0.3358</v>
      </c>
      <c r="L197" s="9">
        <f>1-(1-Mecanismos!B2)*(1-C197)</f>
        <v/>
      </c>
      <c r="M197" s="9">
        <f>Mecanismos!B7*D197</f>
        <v/>
      </c>
      <c r="N197" s="9">
        <f>Mecanismos!B4*(1-E197)</f>
        <v/>
      </c>
      <c r="O197" s="9">
        <f>Mecanismos!B5*(1-F197)</f>
        <v/>
      </c>
      <c r="P197" s="9">
        <f>Mecanismos!B6*(1-I197)</f>
        <v/>
      </c>
      <c r="Q197" s="9">
        <f>Mecanismos!B9*(1-G197)</f>
        <v/>
      </c>
      <c r="R197" s="9">
        <f>Mecanismos!B9*(1-J197)</f>
        <v/>
      </c>
      <c r="S197" s="9">
        <f>Mecanismos!B8*H197</f>
        <v/>
      </c>
      <c r="T197" s="9">
        <f>Mecanismos!B10*H197</f>
        <v/>
      </c>
      <c r="U197" s="9">
        <f>Mecanismos!B8*K197</f>
        <v/>
      </c>
      <c r="V197" s="9">
        <f>Mecanismos!B3*D197</f>
        <v/>
      </c>
      <c r="W197" s="9">
        <f>Parametros!B2+Parametros!B4*(S197+T197+U197+V197)-Parametros!B3*(L197+M197+N197+O197+P197+Q197+R197)</f>
        <v/>
      </c>
      <c r="X197" s="10">
        <f>1/(1+EXP(-W197))</f>
        <v/>
      </c>
      <c r="Y197" s="11">
        <f>IF(Parametros!B6=1,0.15+0.85*(1/(1+EXP(-8*((1-N197)-0.45)))),1)</f>
        <v/>
      </c>
      <c r="Z197" s="11">
        <f>IF(Parametros!B7=1,MAX(0.05,1-L197^1.6),1)</f>
        <v/>
      </c>
      <c r="AA197" s="11">
        <f>IF(Parametros!B8=1,0.2+0.8*(1/(1+EXP(-9*(S197-0.25)))),1)</f>
        <v/>
      </c>
      <c r="AB197" s="10">
        <f>X197*Y197*Z197*AA197</f>
        <v/>
      </c>
    </row>
    <row r="198">
      <c r="A198" t="inlineStr">
        <is>
          <t>29kjj6</t>
        </is>
      </c>
      <c r="B198" t="inlineStr">
        <is>
          <t>Hadassa Guerra</t>
        </is>
      </c>
      <c r="C198" s="8" t="n">
        <v>0.4976</v>
      </c>
      <c r="D198" s="8" t="n">
        <v>0.5619</v>
      </c>
      <c r="E198" s="8" t="n">
        <v>0.4157</v>
      </c>
      <c r="F198" s="8" t="n">
        <v>0.5803</v>
      </c>
      <c r="G198" s="8" t="n">
        <v>0.6339</v>
      </c>
      <c r="H198" s="8" t="n">
        <v>0.7173</v>
      </c>
      <c r="I198" s="8" t="n">
        <v>0.5600000000000001</v>
      </c>
      <c r="J198" s="8" t="n">
        <v>0.7428</v>
      </c>
      <c r="K198" s="8" t="n">
        <v>0.1475</v>
      </c>
      <c r="L198" s="9">
        <f>1-(1-Mecanismos!B2)*(1-C198)</f>
        <v/>
      </c>
      <c r="M198" s="9">
        <f>Mecanismos!B7*D198</f>
        <v/>
      </c>
      <c r="N198" s="9">
        <f>Mecanismos!B4*(1-E198)</f>
        <v/>
      </c>
      <c r="O198" s="9">
        <f>Mecanismos!B5*(1-F198)</f>
        <v/>
      </c>
      <c r="P198" s="9">
        <f>Mecanismos!B6*(1-I198)</f>
        <v/>
      </c>
      <c r="Q198" s="9">
        <f>Mecanismos!B9*(1-G198)</f>
        <v/>
      </c>
      <c r="R198" s="9">
        <f>Mecanismos!B9*(1-J198)</f>
        <v/>
      </c>
      <c r="S198" s="9">
        <f>Mecanismos!B8*H198</f>
        <v/>
      </c>
      <c r="T198" s="9">
        <f>Mecanismos!B10*H198</f>
        <v/>
      </c>
      <c r="U198" s="9">
        <f>Mecanismos!B8*K198</f>
        <v/>
      </c>
      <c r="V198" s="9">
        <f>Mecanismos!B3*D198</f>
        <v/>
      </c>
      <c r="W198" s="9">
        <f>Parametros!B2+Parametros!B4*(S198+T198+U198+V198)-Parametros!B3*(L198+M198+N198+O198+P198+Q198+R198)</f>
        <v/>
      </c>
      <c r="X198" s="10">
        <f>1/(1+EXP(-W198))</f>
        <v/>
      </c>
      <c r="Y198" s="11">
        <f>IF(Parametros!B6=1,0.15+0.85*(1/(1+EXP(-8*((1-N198)-0.45)))),1)</f>
        <v/>
      </c>
      <c r="Z198" s="11">
        <f>IF(Parametros!B7=1,MAX(0.05,1-L198^1.6),1)</f>
        <v/>
      </c>
      <c r="AA198" s="11">
        <f>IF(Parametros!B8=1,0.2+0.8*(1/(1+EXP(-9*(S198-0.25)))),1)</f>
        <v/>
      </c>
      <c r="AB198" s="10">
        <f>X198*Y198*Z198*AA198</f>
        <v/>
      </c>
    </row>
    <row r="199">
      <c r="A199" t="inlineStr">
        <is>
          <t>gqkwf0</t>
        </is>
      </c>
      <c r="B199" t="inlineStr">
        <is>
          <t>Heitor Fernandes</t>
        </is>
      </c>
      <c r="C199" s="8" t="n">
        <v>0.431</v>
      </c>
      <c r="D199" s="8" t="n">
        <v>0.5562</v>
      </c>
      <c r="E199" s="8" t="n">
        <v>0.7052</v>
      </c>
      <c r="F199" s="8" t="n">
        <v>0.5845</v>
      </c>
      <c r="G199" s="8" t="n">
        <v>0.4201</v>
      </c>
      <c r="H199" s="8" t="n">
        <v>0.7914</v>
      </c>
      <c r="I199" s="8" t="n">
        <v>0.5620000000000001</v>
      </c>
      <c r="J199" s="8" t="n">
        <v>0.9266</v>
      </c>
      <c r="K199" s="8" t="n">
        <v>0.548</v>
      </c>
      <c r="L199" s="9">
        <f>1-(1-Mecanismos!B2)*(1-C199)</f>
        <v/>
      </c>
      <c r="M199" s="9">
        <f>Mecanismos!B7*D199</f>
        <v/>
      </c>
      <c r="N199" s="9">
        <f>Mecanismos!B4*(1-E199)</f>
        <v/>
      </c>
      <c r="O199" s="9">
        <f>Mecanismos!B5*(1-F199)</f>
        <v/>
      </c>
      <c r="P199" s="9">
        <f>Mecanismos!B6*(1-I199)</f>
        <v/>
      </c>
      <c r="Q199" s="9">
        <f>Mecanismos!B9*(1-G199)</f>
        <v/>
      </c>
      <c r="R199" s="9">
        <f>Mecanismos!B9*(1-J199)</f>
        <v/>
      </c>
      <c r="S199" s="9">
        <f>Mecanismos!B8*H199</f>
        <v/>
      </c>
      <c r="T199" s="9">
        <f>Mecanismos!B10*H199</f>
        <v/>
      </c>
      <c r="U199" s="9">
        <f>Mecanismos!B8*K199</f>
        <v/>
      </c>
      <c r="V199" s="9">
        <f>Mecanismos!B3*D199</f>
        <v/>
      </c>
      <c r="W199" s="9">
        <f>Parametros!B2+Parametros!B4*(S199+T199+U199+V199)-Parametros!B3*(L199+M199+N199+O199+P199+Q199+R199)</f>
        <v/>
      </c>
      <c r="X199" s="10">
        <f>1/(1+EXP(-W199))</f>
        <v/>
      </c>
      <c r="Y199" s="11">
        <f>IF(Parametros!B6=1,0.15+0.85*(1/(1+EXP(-8*((1-N199)-0.45)))),1)</f>
        <v/>
      </c>
      <c r="Z199" s="11">
        <f>IF(Parametros!B7=1,MAX(0.05,1-L199^1.6),1)</f>
        <v/>
      </c>
      <c r="AA199" s="11">
        <f>IF(Parametros!B8=1,0.2+0.8*(1/(1+EXP(-9*(S199-0.25)))),1)</f>
        <v/>
      </c>
      <c r="AB199" s="10">
        <f>X199*Y199*Z199*AA199</f>
        <v/>
      </c>
    </row>
    <row r="200">
      <c r="A200" t="inlineStr">
        <is>
          <t>czi524</t>
        </is>
      </c>
      <c r="B200" t="inlineStr">
        <is>
          <t>Helena Alves</t>
        </is>
      </c>
      <c r="C200" s="8" t="n">
        <v>0.5009</v>
      </c>
      <c r="D200" s="8" t="n">
        <v>0.3282</v>
      </c>
      <c r="E200" s="8" t="n">
        <v>0.5810999999999999</v>
      </c>
      <c r="F200" s="8" t="n">
        <v>0.635</v>
      </c>
      <c r="G200" s="8" t="n">
        <v>0.5843</v>
      </c>
      <c r="H200" s="8" t="n">
        <v>0.5073</v>
      </c>
      <c r="I200" s="8" t="n">
        <v>0.3103</v>
      </c>
      <c r="J200" s="8" t="n">
        <v>0.6637999999999999</v>
      </c>
      <c r="K200" s="8" t="n">
        <v>0.9484</v>
      </c>
      <c r="L200" s="9">
        <f>1-(1-Mecanismos!B2)*(1-C200)</f>
        <v/>
      </c>
      <c r="M200" s="9">
        <f>Mecanismos!B7*D200</f>
        <v/>
      </c>
      <c r="N200" s="9">
        <f>Mecanismos!B4*(1-E200)</f>
        <v/>
      </c>
      <c r="O200" s="9">
        <f>Mecanismos!B5*(1-F200)</f>
        <v/>
      </c>
      <c r="P200" s="9">
        <f>Mecanismos!B6*(1-I200)</f>
        <v/>
      </c>
      <c r="Q200" s="9">
        <f>Mecanismos!B9*(1-G200)</f>
        <v/>
      </c>
      <c r="R200" s="9">
        <f>Mecanismos!B9*(1-J200)</f>
        <v/>
      </c>
      <c r="S200" s="9">
        <f>Mecanismos!B8*H200</f>
        <v/>
      </c>
      <c r="T200" s="9">
        <f>Mecanismos!B10*H200</f>
        <v/>
      </c>
      <c r="U200" s="9">
        <f>Mecanismos!B8*K200</f>
        <v/>
      </c>
      <c r="V200" s="9">
        <f>Mecanismos!B3*D200</f>
        <v/>
      </c>
      <c r="W200" s="9">
        <f>Parametros!B2+Parametros!B4*(S200+T200+U200+V200)-Parametros!B3*(L200+M200+N200+O200+P200+Q200+R200)</f>
        <v/>
      </c>
      <c r="X200" s="10">
        <f>1/(1+EXP(-W200))</f>
        <v/>
      </c>
      <c r="Y200" s="11">
        <f>IF(Parametros!B6=1,0.15+0.85*(1/(1+EXP(-8*((1-N200)-0.45)))),1)</f>
        <v/>
      </c>
      <c r="Z200" s="11">
        <f>IF(Parametros!B7=1,MAX(0.05,1-L200^1.6),1)</f>
        <v/>
      </c>
      <c r="AA200" s="11">
        <f>IF(Parametros!B8=1,0.2+0.8*(1/(1+EXP(-9*(S200-0.25)))),1)</f>
        <v/>
      </c>
      <c r="AB200" s="10">
        <f>X200*Y200*Z200*AA200</f>
        <v/>
      </c>
    </row>
    <row r="201">
      <c r="A201" t="inlineStr">
        <is>
          <t>sm9xby</t>
        </is>
      </c>
      <c r="B201" t="inlineStr">
        <is>
          <t>Hellena Azevedo</t>
        </is>
      </c>
      <c r="C201" s="8" t="n">
        <v>0.3541</v>
      </c>
      <c r="D201" s="8" t="n">
        <v>0.4415</v>
      </c>
      <c r="E201" s="8" t="n">
        <v>0.6659</v>
      </c>
      <c r="F201" s="8" t="n">
        <v>0.5256999999999999</v>
      </c>
      <c r="G201" s="8" t="n">
        <v>0.8468</v>
      </c>
      <c r="H201" s="8" t="n">
        <v>0.6321</v>
      </c>
      <c r="I201" s="8" t="n">
        <v>0.6273</v>
      </c>
      <c r="J201" s="8" t="n">
        <v>0.5875</v>
      </c>
      <c r="K201" s="8" t="n">
        <v>0.721</v>
      </c>
      <c r="L201" s="9">
        <f>1-(1-Mecanismos!B2)*(1-C201)</f>
        <v/>
      </c>
      <c r="M201" s="9">
        <f>Mecanismos!B7*D201</f>
        <v/>
      </c>
      <c r="N201" s="9">
        <f>Mecanismos!B4*(1-E201)</f>
        <v/>
      </c>
      <c r="O201" s="9">
        <f>Mecanismos!B5*(1-F201)</f>
        <v/>
      </c>
      <c r="P201" s="9">
        <f>Mecanismos!B6*(1-I201)</f>
        <v/>
      </c>
      <c r="Q201" s="9">
        <f>Mecanismos!B9*(1-G201)</f>
        <v/>
      </c>
      <c r="R201" s="9">
        <f>Mecanismos!B9*(1-J201)</f>
        <v/>
      </c>
      <c r="S201" s="9">
        <f>Mecanismos!B8*H201</f>
        <v/>
      </c>
      <c r="T201" s="9">
        <f>Mecanismos!B10*H201</f>
        <v/>
      </c>
      <c r="U201" s="9">
        <f>Mecanismos!B8*K201</f>
        <v/>
      </c>
      <c r="V201" s="9">
        <f>Mecanismos!B3*D201</f>
        <v/>
      </c>
      <c r="W201" s="9">
        <f>Parametros!B2+Parametros!B4*(S201+T201+U201+V201)-Parametros!B3*(L201+M201+N201+O201+P201+Q201+R201)</f>
        <v/>
      </c>
      <c r="X201" s="10">
        <f>1/(1+EXP(-W201))</f>
        <v/>
      </c>
      <c r="Y201" s="11">
        <f>IF(Parametros!B6=1,0.15+0.85*(1/(1+EXP(-8*((1-N201)-0.45)))),1)</f>
        <v/>
      </c>
      <c r="Z201" s="11">
        <f>IF(Parametros!B7=1,MAX(0.05,1-L201^1.6),1)</f>
        <v/>
      </c>
      <c r="AA201" s="11">
        <f>IF(Parametros!B8=1,0.2+0.8*(1/(1+EXP(-9*(S201-0.25)))),1)</f>
        <v/>
      </c>
      <c r="AB201" s="10">
        <f>X201*Y201*Z201*AA201</f>
        <v/>
      </c>
    </row>
    <row r="202">
      <c r="A202" t="inlineStr">
        <is>
          <t>cbk7q9</t>
        </is>
      </c>
      <c r="B202" t="inlineStr">
        <is>
          <t>Hellena Cassiano</t>
        </is>
      </c>
      <c r="C202" s="8" t="n">
        <v>0.4409</v>
      </c>
      <c r="D202" s="8" t="n">
        <v>0.6081</v>
      </c>
      <c r="E202" s="8" t="n">
        <v>0.6358</v>
      </c>
      <c r="F202" s="8" t="n">
        <v>0.7584</v>
      </c>
      <c r="G202" s="8" t="n">
        <v>0.7194</v>
      </c>
      <c r="H202" s="8" t="n">
        <v>0.7236</v>
      </c>
      <c r="I202" s="8" t="n">
        <v>0.7999000000000001</v>
      </c>
      <c r="J202" s="8" t="n">
        <v>0.8993</v>
      </c>
      <c r="K202" s="8" t="n">
        <v>0.296</v>
      </c>
      <c r="L202" s="9">
        <f>1-(1-Mecanismos!B2)*(1-C202)</f>
        <v/>
      </c>
      <c r="M202" s="9">
        <f>Mecanismos!B7*D202</f>
        <v/>
      </c>
      <c r="N202" s="9">
        <f>Mecanismos!B4*(1-E202)</f>
        <v/>
      </c>
      <c r="O202" s="9">
        <f>Mecanismos!B5*(1-F202)</f>
        <v/>
      </c>
      <c r="P202" s="9">
        <f>Mecanismos!B6*(1-I202)</f>
        <v/>
      </c>
      <c r="Q202" s="9">
        <f>Mecanismos!B9*(1-G202)</f>
        <v/>
      </c>
      <c r="R202" s="9">
        <f>Mecanismos!B9*(1-J202)</f>
        <v/>
      </c>
      <c r="S202" s="9">
        <f>Mecanismos!B8*H202</f>
        <v/>
      </c>
      <c r="T202" s="9">
        <f>Mecanismos!B10*H202</f>
        <v/>
      </c>
      <c r="U202" s="9">
        <f>Mecanismos!B8*K202</f>
        <v/>
      </c>
      <c r="V202" s="9">
        <f>Mecanismos!B3*D202</f>
        <v/>
      </c>
      <c r="W202" s="9">
        <f>Parametros!B2+Parametros!B4*(S202+T202+U202+V202)-Parametros!B3*(L202+M202+N202+O202+P202+Q202+R202)</f>
        <v/>
      </c>
      <c r="X202" s="10">
        <f>1/(1+EXP(-W202))</f>
        <v/>
      </c>
      <c r="Y202" s="11">
        <f>IF(Parametros!B6=1,0.15+0.85*(1/(1+EXP(-8*((1-N202)-0.45)))),1)</f>
        <v/>
      </c>
      <c r="Z202" s="11">
        <f>IF(Parametros!B7=1,MAX(0.05,1-L202^1.6),1)</f>
        <v/>
      </c>
      <c r="AA202" s="11">
        <f>IF(Parametros!B8=1,0.2+0.8*(1/(1+EXP(-9*(S202-0.25)))),1)</f>
        <v/>
      </c>
      <c r="AB202" s="10">
        <f>X202*Y202*Z202*AA202</f>
        <v/>
      </c>
    </row>
    <row r="203">
      <c r="A203" t="inlineStr">
        <is>
          <t>qw7f6d</t>
        </is>
      </c>
      <c r="B203" t="inlineStr">
        <is>
          <t>Heloisa Araújo</t>
        </is>
      </c>
      <c r="C203" s="8" t="n">
        <v>0.6256</v>
      </c>
      <c r="D203" s="8" t="n">
        <v>0.4769</v>
      </c>
      <c r="E203" s="8" t="n">
        <v>0.5797</v>
      </c>
      <c r="F203" s="8" t="n">
        <v>0.7715</v>
      </c>
      <c r="G203" s="8" t="n">
        <v>0.3986</v>
      </c>
      <c r="H203" s="8" t="n">
        <v>0.5518</v>
      </c>
      <c r="I203" s="8" t="n">
        <v>0.3781</v>
      </c>
      <c r="J203" s="8" t="n">
        <v>0.8155</v>
      </c>
      <c r="K203" s="8" t="n">
        <v>0.4701</v>
      </c>
      <c r="L203" s="9">
        <f>1-(1-Mecanismos!B2)*(1-C203)</f>
        <v/>
      </c>
      <c r="M203" s="9">
        <f>Mecanismos!B7*D203</f>
        <v/>
      </c>
      <c r="N203" s="9">
        <f>Mecanismos!B4*(1-E203)</f>
        <v/>
      </c>
      <c r="O203" s="9">
        <f>Mecanismos!B5*(1-F203)</f>
        <v/>
      </c>
      <c r="P203" s="9">
        <f>Mecanismos!B6*(1-I203)</f>
        <v/>
      </c>
      <c r="Q203" s="9">
        <f>Mecanismos!B9*(1-G203)</f>
        <v/>
      </c>
      <c r="R203" s="9">
        <f>Mecanismos!B9*(1-J203)</f>
        <v/>
      </c>
      <c r="S203" s="9">
        <f>Mecanismos!B8*H203</f>
        <v/>
      </c>
      <c r="T203" s="9">
        <f>Mecanismos!B10*H203</f>
        <v/>
      </c>
      <c r="U203" s="9">
        <f>Mecanismos!B8*K203</f>
        <v/>
      </c>
      <c r="V203" s="9">
        <f>Mecanismos!B3*D203</f>
        <v/>
      </c>
      <c r="W203" s="9">
        <f>Parametros!B2+Parametros!B4*(S203+T203+U203+V203)-Parametros!B3*(L203+M203+N203+O203+P203+Q203+R203)</f>
        <v/>
      </c>
      <c r="X203" s="10">
        <f>1/(1+EXP(-W203))</f>
        <v/>
      </c>
      <c r="Y203" s="11">
        <f>IF(Parametros!B6=1,0.15+0.85*(1/(1+EXP(-8*((1-N203)-0.45)))),1)</f>
        <v/>
      </c>
      <c r="Z203" s="11">
        <f>IF(Parametros!B7=1,MAX(0.05,1-L203^1.6),1)</f>
        <v/>
      </c>
      <c r="AA203" s="11">
        <f>IF(Parametros!B8=1,0.2+0.8*(1/(1+EXP(-9*(S203-0.25)))),1)</f>
        <v/>
      </c>
      <c r="AB203" s="10">
        <f>X203*Y203*Z203*AA203</f>
        <v/>
      </c>
    </row>
    <row r="204">
      <c r="A204" t="inlineStr">
        <is>
          <t>ulpk8p</t>
        </is>
      </c>
      <c r="B204" t="inlineStr">
        <is>
          <t>Heloisa Montenegro</t>
        </is>
      </c>
      <c r="C204" s="8" t="n">
        <v>0.617</v>
      </c>
      <c r="D204" s="8" t="n">
        <v>0.3382</v>
      </c>
      <c r="E204" s="8" t="n">
        <v>0.8934</v>
      </c>
      <c r="F204" s="8" t="n">
        <v>0.4487</v>
      </c>
      <c r="G204" s="8" t="n">
        <v>0.125</v>
      </c>
      <c r="H204" s="8" t="n">
        <v>0.6024</v>
      </c>
      <c r="I204" s="8" t="n">
        <v>0.6068</v>
      </c>
      <c r="J204" s="8" t="n">
        <v>0.2466</v>
      </c>
      <c r="K204" s="8" t="n">
        <v>0.2645</v>
      </c>
      <c r="L204" s="9">
        <f>1-(1-Mecanismos!B2)*(1-C204)</f>
        <v/>
      </c>
      <c r="M204" s="9">
        <f>Mecanismos!B7*D204</f>
        <v/>
      </c>
      <c r="N204" s="9">
        <f>Mecanismos!B4*(1-E204)</f>
        <v/>
      </c>
      <c r="O204" s="9">
        <f>Mecanismos!B5*(1-F204)</f>
        <v/>
      </c>
      <c r="P204" s="9">
        <f>Mecanismos!B6*(1-I204)</f>
        <v/>
      </c>
      <c r="Q204" s="9">
        <f>Mecanismos!B9*(1-G204)</f>
        <v/>
      </c>
      <c r="R204" s="9">
        <f>Mecanismos!B9*(1-J204)</f>
        <v/>
      </c>
      <c r="S204" s="9">
        <f>Mecanismos!B8*H204</f>
        <v/>
      </c>
      <c r="T204" s="9">
        <f>Mecanismos!B10*H204</f>
        <v/>
      </c>
      <c r="U204" s="9">
        <f>Mecanismos!B8*K204</f>
        <v/>
      </c>
      <c r="V204" s="9">
        <f>Mecanismos!B3*D204</f>
        <v/>
      </c>
      <c r="W204" s="9">
        <f>Parametros!B2+Parametros!B4*(S204+T204+U204+V204)-Parametros!B3*(L204+M204+N204+O204+P204+Q204+R204)</f>
        <v/>
      </c>
      <c r="X204" s="10">
        <f>1/(1+EXP(-W204))</f>
        <v/>
      </c>
      <c r="Y204" s="11">
        <f>IF(Parametros!B6=1,0.15+0.85*(1/(1+EXP(-8*((1-N204)-0.45)))),1)</f>
        <v/>
      </c>
      <c r="Z204" s="11">
        <f>IF(Parametros!B7=1,MAX(0.05,1-L204^1.6),1)</f>
        <v/>
      </c>
      <c r="AA204" s="11">
        <f>IF(Parametros!B8=1,0.2+0.8*(1/(1+EXP(-9*(S204-0.25)))),1)</f>
        <v/>
      </c>
      <c r="AB204" s="10">
        <f>X204*Y204*Z204*AA204</f>
        <v/>
      </c>
    </row>
    <row r="205">
      <c r="A205" t="inlineStr">
        <is>
          <t>sq1t1z</t>
        </is>
      </c>
      <c r="B205" t="inlineStr">
        <is>
          <t>Heloisa Nogueira</t>
        </is>
      </c>
      <c r="C205" s="8" t="n">
        <v>0.5715</v>
      </c>
      <c r="D205" s="8" t="n">
        <v>0.7168</v>
      </c>
      <c r="E205" s="8" t="n">
        <v>0.3132</v>
      </c>
      <c r="F205" s="8" t="n">
        <v>0.6057</v>
      </c>
      <c r="G205" s="8" t="n">
        <v>0.473</v>
      </c>
      <c r="H205" s="8" t="n">
        <v>0.7262999999999999</v>
      </c>
      <c r="I205" s="8" t="n">
        <v>0.5993000000000001</v>
      </c>
      <c r="J205" s="8" t="n">
        <v>0.8605</v>
      </c>
      <c r="K205" s="8" t="n">
        <v>0.5603</v>
      </c>
      <c r="L205" s="9">
        <f>1-(1-Mecanismos!B2)*(1-C205)</f>
        <v/>
      </c>
      <c r="M205" s="9">
        <f>Mecanismos!B7*D205</f>
        <v/>
      </c>
      <c r="N205" s="9">
        <f>Mecanismos!B4*(1-E205)</f>
        <v/>
      </c>
      <c r="O205" s="9">
        <f>Mecanismos!B5*(1-F205)</f>
        <v/>
      </c>
      <c r="P205" s="9">
        <f>Mecanismos!B6*(1-I205)</f>
        <v/>
      </c>
      <c r="Q205" s="9">
        <f>Mecanismos!B9*(1-G205)</f>
        <v/>
      </c>
      <c r="R205" s="9">
        <f>Mecanismos!B9*(1-J205)</f>
        <v/>
      </c>
      <c r="S205" s="9">
        <f>Mecanismos!B8*H205</f>
        <v/>
      </c>
      <c r="T205" s="9">
        <f>Mecanismos!B10*H205</f>
        <v/>
      </c>
      <c r="U205" s="9">
        <f>Mecanismos!B8*K205</f>
        <v/>
      </c>
      <c r="V205" s="9">
        <f>Mecanismos!B3*D205</f>
        <v/>
      </c>
      <c r="W205" s="9">
        <f>Parametros!B2+Parametros!B4*(S205+T205+U205+V205)-Parametros!B3*(L205+M205+N205+O205+P205+Q205+R205)</f>
        <v/>
      </c>
      <c r="X205" s="10">
        <f>1/(1+EXP(-W205))</f>
        <v/>
      </c>
      <c r="Y205" s="11">
        <f>IF(Parametros!B6=1,0.15+0.85*(1/(1+EXP(-8*((1-N205)-0.45)))),1)</f>
        <v/>
      </c>
      <c r="Z205" s="11">
        <f>IF(Parametros!B7=1,MAX(0.05,1-L205^1.6),1)</f>
        <v/>
      </c>
      <c r="AA205" s="11">
        <f>IF(Parametros!B8=1,0.2+0.8*(1/(1+EXP(-9*(S205-0.25)))),1)</f>
        <v/>
      </c>
      <c r="AB205" s="10">
        <f>X205*Y205*Z205*AA205</f>
        <v/>
      </c>
    </row>
    <row r="206">
      <c r="A206" t="inlineStr">
        <is>
          <t>e8ubzf</t>
        </is>
      </c>
      <c r="B206" t="inlineStr">
        <is>
          <t>Henrique Câmara</t>
        </is>
      </c>
      <c r="C206" s="8" t="n">
        <v>0.4292</v>
      </c>
      <c r="D206" s="8" t="n">
        <v>0.7628</v>
      </c>
      <c r="E206" s="8" t="n">
        <v>0.8552</v>
      </c>
      <c r="F206" s="8" t="n">
        <v>0.6392</v>
      </c>
      <c r="G206" s="8" t="n">
        <v>0.5465</v>
      </c>
      <c r="H206" s="8" t="n">
        <v>0.588</v>
      </c>
      <c r="I206" s="8" t="n">
        <v>0.771</v>
      </c>
      <c r="J206" s="8" t="n">
        <v>0.8292</v>
      </c>
      <c r="K206" s="8" t="n">
        <v>0.3614</v>
      </c>
      <c r="L206" s="9">
        <f>1-(1-Mecanismos!B2)*(1-C206)</f>
        <v/>
      </c>
      <c r="M206" s="9">
        <f>Mecanismos!B7*D206</f>
        <v/>
      </c>
      <c r="N206" s="9">
        <f>Mecanismos!B4*(1-E206)</f>
        <v/>
      </c>
      <c r="O206" s="9">
        <f>Mecanismos!B5*(1-F206)</f>
        <v/>
      </c>
      <c r="P206" s="9">
        <f>Mecanismos!B6*(1-I206)</f>
        <v/>
      </c>
      <c r="Q206" s="9">
        <f>Mecanismos!B9*(1-G206)</f>
        <v/>
      </c>
      <c r="R206" s="9">
        <f>Mecanismos!B9*(1-J206)</f>
        <v/>
      </c>
      <c r="S206" s="9">
        <f>Mecanismos!B8*H206</f>
        <v/>
      </c>
      <c r="T206" s="9">
        <f>Mecanismos!B10*H206</f>
        <v/>
      </c>
      <c r="U206" s="9">
        <f>Mecanismos!B8*K206</f>
        <v/>
      </c>
      <c r="V206" s="9">
        <f>Mecanismos!B3*D206</f>
        <v/>
      </c>
      <c r="W206" s="9">
        <f>Parametros!B2+Parametros!B4*(S206+T206+U206+V206)-Parametros!B3*(L206+M206+N206+O206+P206+Q206+R206)</f>
        <v/>
      </c>
      <c r="X206" s="10">
        <f>1/(1+EXP(-W206))</f>
        <v/>
      </c>
      <c r="Y206" s="11">
        <f>IF(Parametros!B6=1,0.15+0.85*(1/(1+EXP(-8*((1-N206)-0.45)))),1)</f>
        <v/>
      </c>
      <c r="Z206" s="11">
        <f>IF(Parametros!B7=1,MAX(0.05,1-L206^1.6),1)</f>
        <v/>
      </c>
      <c r="AA206" s="11">
        <f>IF(Parametros!B8=1,0.2+0.8*(1/(1+EXP(-9*(S206-0.25)))),1)</f>
        <v/>
      </c>
      <c r="AB206" s="10">
        <f>X206*Y206*Z206*AA206</f>
        <v/>
      </c>
    </row>
    <row r="207">
      <c r="A207" t="inlineStr">
        <is>
          <t>cbo8me</t>
        </is>
      </c>
      <c r="B207" t="inlineStr">
        <is>
          <t>Henry Vasconcelos</t>
        </is>
      </c>
      <c r="C207" s="8" t="n">
        <v>0.3893</v>
      </c>
      <c r="D207" s="8" t="n">
        <v>0.6927</v>
      </c>
      <c r="E207" s="8" t="n">
        <v>0.3452</v>
      </c>
      <c r="F207" s="8" t="n">
        <v>0.5958</v>
      </c>
      <c r="G207" s="8" t="n">
        <v>0.3531</v>
      </c>
      <c r="H207" s="8" t="n">
        <v>0.4272</v>
      </c>
      <c r="I207" s="8" t="n">
        <v>0.7457</v>
      </c>
      <c r="J207" s="8" t="n">
        <v>0.7228</v>
      </c>
      <c r="K207" s="8" t="n">
        <v>0.3846</v>
      </c>
      <c r="L207" s="9">
        <f>1-(1-Mecanismos!B2)*(1-C207)</f>
        <v/>
      </c>
      <c r="M207" s="9">
        <f>Mecanismos!B7*D207</f>
        <v/>
      </c>
      <c r="N207" s="9">
        <f>Mecanismos!B4*(1-E207)</f>
        <v/>
      </c>
      <c r="O207" s="9">
        <f>Mecanismos!B5*(1-F207)</f>
        <v/>
      </c>
      <c r="P207" s="9">
        <f>Mecanismos!B6*(1-I207)</f>
        <v/>
      </c>
      <c r="Q207" s="9">
        <f>Mecanismos!B9*(1-G207)</f>
        <v/>
      </c>
      <c r="R207" s="9">
        <f>Mecanismos!B9*(1-J207)</f>
        <v/>
      </c>
      <c r="S207" s="9">
        <f>Mecanismos!B8*H207</f>
        <v/>
      </c>
      <c r="T207" s="9">
        <f>Mecanismos!B10*H207</f>
        <v/>
      </c>
      <c r="U207" s="9">
        <f>Mecanismos!B8*K207</f>
        <v/>
      </c>
      <c r="V207" s="9">
        <f>Mecanismos!B3*D207</f>
        <v/>
      </c>
      <c r="W207" s="9">
        <f>Parametros!B2+Parametros!B4*(S207+T207+U207+V207)-Parametros!B3*(L207+M207+N207+O207+P207+Q207+R207)</f>
        <v/>
      </c>
      <c r="X207" s="10">
        <f>1/(1+EXP(-W207))</f>
        <v/>
      </c>
      <c r="Y207" s="11">
        <f>IF(Parametros!B6=1,0.15+0.85*(1/(1+EXP(-8*((1-N207)-0.45)))),1)</f>
        <v/>
      </c>
      <c r="Z207" s="11">
        <f>IF(Parametros!B7=1,MAX(0.05,1-L207^1.6),1)</f>
        <v/>
      </c>
      <c r="AA207" s="11">
        <f>IF(Parametros!B8=1,0.2+0.8*(1/(1+EXP(-9*(S207-0.25)))),1)</f>
        <v/>
      </c>
      <c r="AB207" s="10">
        <f>X207*Y207*Z207*AA207</f>
        <v/>
      </c>
    </row>
    <row r="208">
      <c r="A208" t="inlineStr">
        <is>
          <t>yozuip</t>
        </is>
      </c>
      <c r="B208" t="inlineStr">
        <is>
          <t>Igor Almeida</t>
        </is>
      </c>
      <c r="C208" s="8" t="n">
        <v>0.4383</v>
      </c>
      <c r="D208" s="8" t="n">
        <v>0.5815</v>
      </c>
      <c r="E208" s="8" t="n">
        <v>0.472</v>
      </c>
      <c r="F208" s="8" t="n">
        <v>0.5317</v>
      </c>
      <c r="G208" s="8" t="n">
        <v>0.6820000000000001</v>
      </c>
      <c r="H208" s="8" t="n">
        <v>0.6131</v>
      </c>
      <c r="I208" s="8" t="n">
        <v>0.7886</v>
      </c>
      <c r="J208" s="8" t="n">
        <v>0.7573</v>
      </c>
      <c r="K208" s="8" t="n">
        <v>0.3282</v>
      </c>
      <c r="L208" s="9">
        <f>1-(1-Mecanismos!B2)*(1-C208)</f>
        <v/>
      </c>
      <c r="M208" s="9">
        <f>Mecanismos!B7*D208</f>
        <v/>
      </c>
      <c r="N208" s="9">
        <f>Mecanismos!B4*(1-E208)</f>
        <v/>
      </c>
      <c r="O208" s="9">
        <f>Mecanismos!B5*(1-F208)</f>
        <v/>
      </c>
      <c r="P208" s="9">
        <f>Mecanismos!B6*(1-I208)</f>
        <v/>
      </c>
      <c r="Q208" s="9">
        <f>Mecanismos!B9*(1-G208)</f>
        <v/>
      </c>
      <c r="R208" s="9">
        <f>Mecanismos!B9*(1-J208)</f>
        <v/>
      </c>
      <c r="S208" s="9">
        <f>Mecanismos!B8*H208</f>
        <v/>
      </c>
      <c r="T208" s="9">
        <f>Mecanismos!B10*H208</f>
        <v/>
      </c>
      <c r="U208" s="9">
        <f>Mecanismos!B8*K208</f>
        <v/>
      </c>
      <c r="V208" s="9">
        <f>Mecanismos!B3*D208</f>
        <v/>
      </c>
      <c r="W208" s="9">
        <f>Parametros!B2+Parametros!B4*(S208+T208+U208+V208)-Parametros!B3*(L208+M208+N208+O208+P208+Q208+R208)</f>
        <v/>
      </c>
      <c r="X208" s="10">
        <f>1/(1+EXP(-W208))</f>
        <v/>
      </c>
      <c r="Y208" s="11">
        <f>IF(Parametros!B6=1,0.15+0.85*(1/(1+EXP(-8*((1-N208)-0.45)))),1)</f>
        <v/>
      </c>
      <c r="Z208" s="11">
        <f>IF(Parametros!B7=1,MAX(0.05,1-L208^1.6),1)</f>
        <v/>
      </c>
      <c r="AA208" s="11">
        <f>IF(Parametros!B8=1,0.2+0.8*(1/(1+EXP(-9*(S208-0.25)))),1)</f>
        <v/>
      </c>
      <c r="AB208" s="10">
        <f>X208*Y208*Z208*AA208</f>
        <v/>
      </c>
    </row>
    <row r="209">
      <c r="A209" t="inlineStr">
        <is>
          <t>icr0d0</t>
        </is>
      </c>
      <c r="B209" t="inlineStr">
        <is>
          <t>Isaac Gonçalves</t>
        </is>
      </c>
      <c r="C209" s="8" t="n">
        <v>0.6121</v>
      </c>
      <c r="D209" s="8" t="n">
        <v>0.3989</v>
      </c>
      <c r="E209" s="8" t="n">
        <v>0.3644</v>
      </c>
      <c r="F209" s="8" t="n">
        <v>0.4611</v>
      </c>
      <c r="G209" s="8" t="n">
        <v>0.2996</v>
      </c>
      <c r="H209" s="8" t="n">
        <v>0.6862</v>
      </c>
      <c r="I209" s="8" t="n">
        <v>0.4268</v>
      </c>
      <c r="J209" s="8" t="n">
        <v>0.7248</v>
      </c>
      <c r="K209" s="8" t="n">
        <v>0.6415</v>
      </c>
      <c r="L209" s="9">
        <f>1-(1-Mecanismos!B2)*(1-C209)</f>
        <v/>
      </c>
      <c r="M209" s="9">
        <f>Mecanismos!B7*D209</f>
        <v/>
      </c>
      <c r="N209" s="9">
        <f>Mecanismos!B4*(1-E209)</f>
        <v/>
      </c>
      <c r="O209" s="9">
        <f>Mecanismos!B5*(1-F209)</f>
        <v/>
      </c>
      <c r="P209" s="9">
        <f>Mecanismos!B6*(1-I209)</f>
        <v/>
      </c>
      <c r="Q209" s="9">
        <f>Mecanismos!B9*(1-G209)</f>
        <v/>
      </c>
      <c r="R209" s="9">
        <f>Mecanismos!B9*(1-J209)</f>
        <v/>
      </c>
      <c r="S209" s="9">
        <f>Mecanismos!B8*H209</f>
        <v/>
      </c>
      <c r="T209" s="9">
        <f>Mecanismos!B10*H209</f>
        <v/>
      </c>
      <c r="U209" s="9">
        <f>Mecanismos!B8*K209</f>
        <v/>
      </c>
      <c r="V209" s="9">
        <f>Mecanismos!B3*D209</f>
        <v/>
      </c>
      <c r="W209" s="9">
        <f>Parametros!B2+Parametros!B4*(S209+T209+U209+V209)-Parametros!B3*(L209+M209+N209+O209+P209+Q209+R209)</f>
        <v/>
      </c>
      <c r="X209" s="10">
        <f>1/(1+EXP(-W209))</f>
        <v/>
      </c>
      <c r="Y209" s="11">
        <f>IF(Parametros!B6=1,0.15+0.85*(1/(1+EXP(-8*((1-N209)-0.45)))),1)</f>
        <v/>
      </c>
      <c r="Z209" s="11">
        <f>IF(Parametros!B7=1,MAX(0.05,1-L209^1.6),1)</f>
        <v/>
      </c>
      <c r="AA209" s="11">
        <f>IF(Parametros!B8=1,0.2+0.8*(1/(1+EXP(-9*(S209-0.25)))),1)</f>
        <v/>
      </c>
      <c r="AB209" s="10">
        <f>X209*Y209*Z209*AA209</f>
        <v/>
      </c>
    </row>
    <row r="210">
      <c r="A210" t="inlineStr">
        <is>
          <t>tjt87m</t>
        </is>
      </c>
      <c r="B210" t="inlineStr">
        <is>
          <t>Isabela Castro</t>
        </is>
      </c>
      <c r="C210" s="8" t="n">
        <v>0.7242</v>
      </c>
      <c r="D210" s="8" t="n">
        <v>0.6338</v>
      </c>
      <c r="E210" s="8" t="n">
        <v>0.4743</v>
      </c>
      <c r="F210" s="8" t="n">
        <v>0.6021</v>
      </c>
      <c r="G210" s="8" t="n">
        <v>0.6571</v>
      </c>
      <c r="H210" s="8" t="n">
        <v>0.6281</v>
      </c>
      <c r="I210" s="8" t="n">
        <v>0.3387</v>
      </c>
      <c r="J210" s="8" t="n">
        <v>0.7161</v>
      </c>
      <c r="K210" s="8" t="n">
        <v>0.7339</v>
      </c>
      <c r="L210" s="9">
        <f>1-(1-Mecanismos!B2)*(1-C210)</f>
        <v/>
      </c>
      <c r="M210" s="9">
        <f>Mecanismos!B7*D210</f>
        <v/>
      </c>
      <c r="N210" s="9">
        <f>Mecanismos!B4*(1-E210)</f>
        <v/>
      </c>
      <c r="O210" s="9">
        <f>Mecanismos!B5*(1-F210)</f>
        <v/>
      </c>
      <c r="P210" s="9">
        <f>Mecanismos!B6*(1-I210)</f>
        <v/>
      </c>
      <c r="Q210" s="9">
        <f>Mecanismos!B9*(1-G210)</f>
        <v/>
      </c>
      <c r="R210" s="9">
        <f>Mecanismos!B9*(1-J210)</f>
        <v/>
      </c>
      <c r="S210" s="9">
        <f>Mecanismos!B8*H210</f>
        <v/>
      </c>
      <c r="T210" s="9">
        <f>Mecanismos!B10*H210</f>
        <v/>
      </c>
      <c r="U210" s="9">
        <f>Mecanismos!B8*K210</f>
        <v/>
      </c>
      <c r="V210" s="9">
        <f>Mecanismos!B3*D210</f>
        <v/>
      </c>
      <c r="W210" s="9">
        <f>Parametros!B2+Parametros!B4*(S210+T210+U210+V210)-Parametros!B3*(L210+M210+N210+O210+P210+Q210+R210)</f>
        <v/>
      </c>
      <c r="X210" s="10">
        <f>1/(1+EXP(-W210))</f>
        <v/>
      </c>
      <c r="Y210" s="11">
        <f>IF(Parametros!B6=1,0.15+0.85*(1/(1+EXP(-8*((1-N210)-0.45)))),1)</f>
        <v/>
      </c>
      <c r="Z210" s="11">
        <f>IF(Parametros!B7=1,MAX(0.05,1-L210^1.6),1)</f>
        <v/>
      </c>
      <c r="AA210" s="11">
        <f>IF(Parametros!B8=1,0.2+0.8*(1/(1+EXP(-9*(S210-0.25)))),1)</f>
        <v/>
      </c>
      <c r="AB210" s="10">
        <f>X210*Y210*Z210*AA210</f>
        <v/>
      </c>
    </row>
    <row r="211">
      <c r="A211" t="inlineStr">
        <is>
          <t>7768uo</t>
        </is>
      </c>
      <c r="B211" t="inlineStr">
        <is>
          <t>Isabela Cirino</t>
        </is>
      </c>
      <c r="C211" s="8" t="n">
        <v>0.4634</v>
      </c>
      <c r="D211" s="8" t="n">
        <v>0.5117</v>
      </c>
      <c r="E211" s="8" t="n">
        <v>0.4061</v>
      </c>
      <c r="F211" s="8" t="n">
        <v>0.5397999999999999</v>
      </c>
      <c r="G211" s="8" t="n">
        <v>0.4375</v>
      </c>
      <c r="H211" s="8" t="n">
        <v>0.5777</v>
      </c>
      <c r="I211" s="8" t="n">
        <v>0.4231</v>
      </c>
      <c r="J211" s="8" t="n">
        <v>0.5955</v>
      </c>
      <c r="K211" s="8" t="n">
        <v>0.3413</v>
      </c>
      <c r="L211" s="9">
        <f>1-(1-Mecanismos!B2)*(1-C211)</f>
        <v/>
      </c>
      <c r="M211" s="9">
        <f>Mecanismos!B7*D211</f>
        <v/>
      </c>
      <c r="N211" s="9">
        <f>Mecanismos!B4*(1-E211)</f>
        <v/>
      </c>
      <c r="O211" s="9">
        <f>Mecanismos!B5*(1-F211)</f>
        <v/>
      </c>
      <c r="P211" s="9">
        <f>Mecanismos!B6*(1-I211)</f>
        <v/>
      </c>
      <c r="Q211" s="9">
        <f>Mecanismos!B9*(1-G211)</f>
        <v/>
      </c>
      <c r="R211" s="9">
        <f>Mecanismos!B9*(1-J211)</f>
        <v/>
      </c>
      <c r="S211" s="9">
        <f>Mecanismos!B8*H211</f>
        <v/>
      </c>
      <c r="T211" s="9">
        <f>Mecanismos!B10*H211</f>
        <v/>
      </c>
      <c r="U211" s="9">
        <f>Mecanismos!B8*K211</f>
        <v/>
      </c>
      <c r="V211" s="9">
        <f>Mecanismos!B3*D211</f>
        <v/>
      </c>
      <c r="W211" s="9">
        <f>Parametros!B2+Parametros!B4*(S211+T211+U211+V211)-Parametros!B3*(L211+M211+N211+O211+P211+Q211+R211)</f>
        <v/>
      </c>
      <c r="X211" s="10">
        <f>1/(1+EXP(-W211))</f>
        <v/>
      </c>
      <c r="Y211" s="11">
        <f>IF(Parametros!B6=1,0.15+0.85*(1/(1+EXP(-8*((1-N211)-0.45)))),1)</f>
        <v/>
      </c>
      <c r="Z211" s="11">
        <f>IF(Parametros!B7=1,MAX(0.05,1-L211^1.6),1)</f>
        <v/>
      </c>
      <c r="AA211" s="11">
        <f>IF(Parametros!B8=1,0.2+0.8*(1/(1+EXP(-9*(S211-0.25)))),1)</f>
        <v/>
      </c>
      <c r="AB211" s="10">
        <f>X211*Y211*Z211*AA211</f>
        <v/>
      </c>
    </row>
    <row r="212">
      <c r="A212" t="inlineStr">
        <is>
          <t>g6cxjz</t>
        </is>
      </c>
      <c r="B212" t="inlineStr">
        <is>
          <t>Isabela Marques</t>
        </is>
      </c>
      <c r="C212" s="8" t="n">
        <v>0.5716</v>
      </c>
      <c r="D212" s="8" t="n">
        <v>0.5837</v>
      </c>
      <c r="E212" s="8" t="n">
        <v>0.5573</v>
      </c>
      <c r="F212" s="8" t="n">
        <v>0.6685</v>
      </c>
      <c r="G212" s="8" t="n">
        <v>0.6558</v>
      </c>
      <c r="H212" s="8" t="n">
        <v>0.7718</v>
      </c>
      <c r="I212" s="8" t="n">
        <v>0.5458</v>
      </c>
      <c r="J212" s="8" t="n">
        <v>0.7399</v>
      </c>
      <c r="K212" s="8" t="n">
        <v>0.4899</v>
      </c>
      <c r="L212" s="9">
        <f>1-(1-Mecanismos!B2)*(1-C212)</f>
        <v/>
      </c>
      <c r="M212" s="9">
        <f>Mecanismos!B7*D212</f>
        <v/>
      </c>
      <c r="N212" s="9">
        <f>Mecanismos!B4*(1-E212)</f>
        <v/>
      </c>
      <c r="O212" s="9">
        <f>Mecanismos!B5*(1-F212)</f>
        <v/>
      </c>
      <c r="P212" s="9">
        <f>Mecanismos!B6*(1-I212)</f>
        <v/>
      </c>
      <c r="Q212" s="9">
        <f>Mecanismos!B9*(1-G212)</f>
        <v/>
      </c>
      <c r="R212" s="9">
        <f>Mecanismos!B9*(1-J212)</f>
        <v/>
      </c>
      <c r="S212" s="9">
        <f>Mecanismos!B8*H212</f>
        <v/>
      </c>
      <c r="T212" s="9">
        <f>Mecanismos!B10*H212</f>
        <v/>
      </c>
      <c r="U212" s="9">
        <f>Mecanismos!B8*K212</f>
        <v/>
      </c>
      <c r="V212" s="9">
        <f>Mecanismos!B3*D212</f>
        <v/>
      </c>
      <c r="W212" s="9">
        <f>Parametros!B2+Parametros!B4*(S212+T212+U212+V212)-Parametros!B3*(L212+M212+N212+O212+P212+Q212+R212)</f>
        <v/>
      </c>
      <c r="X212" s="10">
        <f>1/(1+EXP(-W212))</f>
        <v/>
      </c>
      <c r="Y212" s="11">
        <f>IF(Parametros!B6=1,0.15+0.85*(1/(1+EXP(-8*((1-N212)-0.45)))),1)</f>
        <v/>
      </c>
      <c r="Z212" s="11">
        <f>IF(Parametros!B7=1,MAX(0.05,1-L212^1.6),1)</f>
        <v/>
      </c>
      <c r="AA212" s="11">
        <f>IF(Parametros!B8=1,0.2+0.8*(1/(1+EXP(-9*(S212-0.25)))),1)</f>
        <v/>
      </c>
      <c r="AB212" s="10">
        <f>X212*Y212*Z212*AA212</f>
        <v/>
      </c>
    </row>
    <row r="213">
      <c r="A213" t="inlineStr">
        <is>
          <t>by5wfh</t>
        </is>
      </c>
      <c r="B213" t="inlineStr">
        <is>
          <t>Isabela Souza</t>
        </is>
      </c>
      <c r="C213" s="8" t="n">
        <v>0.9612000000000001</v>
      </c>
      <c r="D213" s="8" t="n">
        <v>0.1577</v>
      </c>
      <c r="E213" s="8" t="n">
        <v>0.6191</v>
      </c>
      <c r="F213" s="8" t="n">
        <v>0.6186</v>
      </c>
      <c r="G213" s="8" t="n">
        <v>0.4394</v>
      </c>
      <c r="H213" s="8" t="n">
        <v>0.5286</v>
      </c>
      <c r="I213" s="8" t="n">
        <v>0.2194</v>
      </c>
      <c r="J213" s="8" t="n">
        <v>0.487</v>
      </c>
      <c r="K213" s="8" t="n">
        <v>0.4781</v>
      </c>
      <c r="L213" s="9">
        <f>1-(1-Mecanismos!B2)*(1-C213)</f>
        <v/>
      </c>
      <c r="M213" s="9">
        <f>Mecanismos!B7*D213</f>
        <v/>
      </c>
      <c r="N213" s="9">
        <f>Mecanismos!B4*(1-E213)</f>
        <v/>
      </c>
      <c r="O213" s="9">
        <f>Mecanismos!B5*(1-F213)</f>
        <v/>
      </c>
      <c r="P213" s="9">
        <f>Mecanismos!B6*(1-I213)</f>
        <v/>
      </c>
      <c r="Q213" s="9">
        <f>Mecanismos!B9*(1-G213)</f>
        <v/>
      </c>
      <c r="R213" s="9">
        <f>Mecanismos!B9*(1-J213)</f>
        <v/>
      </c>
      <c r="S213" s="9">
        <f>Mecanismos!B8*H213</f>
        <v/>
      </c>
      <c r="T213" s="9">
        <f>Mecanismos!B10*H213</f>
        <v/>
      </c>
      <c r="U213" s="9">
        <f>Mecanismos!B8*K213</f>
        <v/>
      </c>
      <c r="V213" s="9">
        <f>Mecanismos!B3*D213</f>
        <v/>
      </c>
      <c r="W213" s="9">
        <f>Parametros!B2+Parametros!B4*(S213+T213+U213+V213)-Parametros!B3*(L213+M213+N213+O213+P213+Q213+R213)</f>
        <v/>
      </c>
      <c r="X213" s="10">
        <f>1/(1+EXP(-W213))</f>
        <v/>
      </c>
      <c r="Y213" s="11">
        <f>IF(Parametros!B6=1,0.15+0.85*(1/(1+EXP(-8*((1-N213)-0.45)))),1)</f>
        <v/>
      </c>
      <c r="Z213" s="11">
        <f>IF(Parametros!B7=1,MAX(0.05,1-L213^1.6),1)</f>
        <v/>
      </c>
      <c r="AA213" s="11">
        <f>IF(Parametros!B8=1,0.2+0.8*(1/(1+EXP(-9*(S213-0.25)))),1)</f>
        <v/>
      </c>
      <c r="AB213" s="10">
        <f>X213*Y213*Z213*AA213</f>
        <v/>
      </c>
    </row>
    <row r="214">
      <c r="A214" t="inlineStr">
        <is>
          <t>jo47jp</t>
        </is>
      </c>
      <c r="B214" t="inlineStr">
        <is>
          <t>Isabela Viana</t>
        </is>
      </c>
      <c r="C214" s="8" t="n">
        <v>0.4067</v>
      </c>
      <c r="D214" s="8" t="n">
        <v>0.3005</v>
      </c>
      <c r="E214" s="8" t="n">
        <v>0.9</v>
      </c>
      <c r="F214" s="8" t="n">
        <v>0.443</v>
      </c>
      <c r="G214" s="8" t="n">
        <v>0.5673</v>
      </c>
      <c r="H214" s="8" t="n">
        <v>0.4581</v>
      </c>
      <c r="I214" s="8" t="n">
        <v>0.6148</v>
      </c>
      <c r="J214" s="8" t="n">
        <v>0.7697000000000001</v>
      </c>
      <c r="K214" s="8" t="n">
        <v>0.2821</v>
      </c>
      <c r="L214" s="9">
        <f>1-(1-Mecanismos!B2)*(1-C214)</f>
        <v/>
      </c>
      <c r="M214" s="9">
        <f>Mecanismos!B7*D214</f>
        <v/>
      </c>
      <c r="N214" s="9">
        <f>Mecanismos!B4*(1-E214)</f>
        <v/>
      </c>
      <c r="O214" s="9">
        <f>Mecanismos!B5*(1-F214)</f>
        <v/>
      </c>
      <c r="P214" s="9">
        <f>Mecanismos!B6*(1-I214)</f>
        <v/>
      </c>
      <c r="Q214" s="9">
        <f>Mecanismos!B9*(1-G214)</f>
        <v/>
      </c>
      <c r="R214" s="9">
        <f>Mecanismos!B9*(1-J214)</f>
        <v/>
      </c>
      <c r="S214" s="9">
        <f>Mecanismos!B8*H214</f>
        <v/>
      </c>
      <c r="T214" s="9">
        <f>Mecanismos!B10*H214</f>
        <v/>
      </c>
      <c r="U214" s="9">
        <f>Mecanismos!B8*K214</f>
        <v/>
      </c>
      <c r="V214" s="9">
        <f>Mecanismos!B3*D214</f>
        <v/>
      </c>
      <c r="W214" s="9">
        <f>Parametros!B2+Parametros!B4*(S214+T214+U214+V214)-Parametros!B3*(L214+M214+N214+O214+P214+Q214+R214)</f>
        <v/>
      </c>
      <c r="X214" s="10">
        <f>1/(1+EXP(-W214))</f>
        <v/>
      </c>
      <c r="Y214" s="11">
        <f>IF(Parametros!B6=1,0.15+0.85*(1/(1+EXP(-8*((1-N214)-0.45)))),1)</f>
        <v/>
      </c>
      <c r="Z214" s="11">
        <f>IF(Parametros!B7=1,MAX(0.05,1-L214^1.6),1)</f>
        <v/>
      </c>
      <c r="AA214" s="11">
        <f>IF(Parametros!B8=1,0.2+0.8*(1/(1+EXP(-9*(S214-0.25)))),1)</f>
        <v/>
      </c>
      <c r="AB214" s="10">
        <f>X214*Y214*Z214*AA214</f>
        <v/>
      </c>
    </row>
    <row r="215">
      <c r="A215" t="inlineStr">
        <is>
          <t>yye1xv</t>
        </is>
      </c>
      <c r="B215" t="inlineStr">
        <is>
          <t>Isabelly Nascimento</t>
        </is>
      </c>
      <c r="C215" s="8" t="n">
        <v>0.5551</v>
      </c>
      <c r="D215" s="8" t="n">
        <v>0.6984</v>
      </c>
      <c r="E215" s="8" t="n">
        <v>0.6313</v>
      </c>
      <c r="F215" s="8" t="n">
        <v>0.7531</v>
      </c>
      <c r="G215" s="8" t="n">
        <v>0.3399</v>
      </c>
      <c r="H215" s="8" t="n">
        <v>0.4982</v>
      </c>
      <c r="I215" s="8" t="n">
        <v>0.4547</v>
      </c>
      <c r="J215" s="8" t="n">
        <v>0.7588</v>
      </c>
      <c r="K215" s="8" t="n">
        <v>0.3828</v>
      </c>
      <c r="L215" s="9">
        <f>1-(1-Mecanismos!B2)*(1-C215)</f>
        <v/>
      </c>
      <c r="M215" s="9">
        <f>Mecanismos!B7*D215</f>
        <v/>
      </c>
      <c r="N215" s="9">
        <f>Mecanismos!B4*(1-E215)</f>
        <v/>
      </c>
      <c r="O215" s="9">
        <f>Mecanismos!B5*(1-F215)</f>
        <v/>
      </c>
      <c r="P215" s="9">
        <f>Mecanismos!B6*(1-I215)</f>
        <v/>
      </c>
      <c r="Q215" s="9">
        <f>Mecanismos!B9*(1-G215)</f>
        <v/>
      </c>
      <c r="R215" s="9">
        <f>Mecanismos!B9*(1-J215)</f>
        <v/>
      </c>
      <c r="S215" s="9">
        <f>Mecanismos!B8*H215</f>
        <v/>
      </c>
      <c r="T215" s="9">
        <f>Mecanismos!B10*H215</f>
        <v/>
      </c>
      <c r="U215" s="9">
        <f>Mecanismos!B8*K215</f>
        <v/>
      </c>
      <c r="V215" s="9">
        <f>Mecanismos!B3*D215</f>
        <v/>
      </c>
      <c r="W215" s="9">
        <f>Parametros!B2+Parametros!B4*(S215+T215+U215+V215)-Parametros!B3*(L215+M215+N215+O215+P215+Q215+R215)</f>
        <v/>
      </c>
      <c r="X215" s="10">
        <f>1/(1+EXP(-W215))</f>
        <v/>
      </c>
      <c r="Y215" s="11">
        <f>IF(Parametros!B6=1,0.15+0.85*(1/(1+EXP(-8*((1-N215)-0.45)))),1)</f>
        <v/>
      </c>
      <c r="Z215" s="11">
        <f>IF(Parametros!B7=1,MAX(0.05,1-L215^1.6),1)</f>
        <v/>
      </c>
      <c r="AA215" s="11">
        <f>IF(Parametros!B8=1,0.2+0.8*(1/(1+EXP(-9*(S215-0.25)))),1)</f>
        <v/>
      </c>
      <c r="AB215" s="10">
        <f>X215*Y215*Z215*AA215</f>
        <v/>
      </c>
    </row>
    <row r="216">
      <c r="A216" t="inlineStr">
        <is>
          <t>wun1xd</t>
        </is>
      </c>
      <c r="B216" t="inlineStr">
        <is>
          <t>Isadora Costela</t>
        </is>
      </c>
      <c r="C216" s="8" t="n">
        <v>0.6737</v>
      </c>
      <c r="D216" s="8" t="n">
        <v>0.5014999999999999</v>
      </c>
      <c r="E216" s="8" t="n">
        <v>0.5508999999999999</v>
      </c>
      <c r="F216" s="8" t="n">
        <v>0.4931</v>
      </c>
      <c r="G216" s="8" t="n">
        <v>0.5508999999999999</v>
      </c>
      <c r="H216" s="8" t="n">
        <v>0.7648</v>
      </c>
      <c r="I216" s="8" t="n">
        <v>0.2561</v>
      </c>
      <c r="J216" s="8" t="n">
        <v>0.6038</v>
      </c>
      <c r="K216" s="8" t="n">
        <v>0.4377</v>
      </c>
      <c r="L216" s="9">
        <f>1-(1-Mecanismos!B2)*(1-C216)</f>
        <v/>
      </c>
      <c r="M216" s="9">
        <f>Mecanismos!B7*D216</f>
        <v/>
      </c>
      <c r="N216" s="9">
        <f>Mecanismos!B4*(1-E216)</f>
        <v/>
      </c>
      <c r="O216" s="9">
        <f>Mecanismos!B5*(1-F216)</f>
        <v/>
      </c>
      <c r="P216" s="9">
        <f>Mecanismos!B6*(1-I216)</f>
        <v/>
      </c>
      <c r="Q216" s="9">
        <f>Mecanismos!B9*(1-G216)</f>
        <v/>
      </c>
      <c r="R216" s="9">
        <f>Mecanismos!B9*(1-J216)</f>
        <v/>
      </c>
      <c r="S216" s="9">
        <f>Mecanismos!B8*H216</f>
        <v/>
      </c>
      <c r="T216" s="9">
        <f>Mecanismos!B10*H216</f>
        <v/>
      </c>
      <c r="U216" s="9">
        <f>Mecanismos!B8*K216</f>
        <v/>
      </c>
      <c r="V216" s="9">
        <f>Mecanismos!B3*D216</f>
        <v/>
      </c>
      <c r="W216" s="9">
        <f>Parametros!B2+Parametros!B4*(S216+T216+U216+V216)-Parametros!B3*(L216+M216+N216+O216+P216+Q216+R216)</f>
        <v/>
      </c>
      <c r="X216" s="10">
        <f>1/(1+EXP(-W216))</f>
        <v/>
      </c>
      <c r="Y216" s="11">
        <f>IF(Parametros!B6=1,0.15+0.85*(1/(1+EXP(-8*((1-N216)-0.45)))),1)</f>
        <v/>
      </c>
      <c r="Z216" s="11">
        <f>IF(Parametros!B7=1,MAX(0.05,1-L216^1.6),1)</f>
        <v/>
      </c>
      <c r="AA216" s="11">
        <f>IF(Parametros!B8=1,0.2+0.8*(1/(1+EXP(-9*(S216-0.25)))),1)</f>
        <v/>
      </c>
      <c r="AB216" s="10">
        <f>X216*Y216*Z216*AA216</f>
        <v/>
      </c>
    </row>
    <row r="217">
      <c r="A217" t="inlineStr">
        <is>
          <t>4v6gy0</t>
        </is>
      </c>
      <c r="B217" t="inlineStr">
        <is>
          <t>Isadora Duarte</t>
        </is>
      </c>
      <c r="C217" s="8" t="n">
        <v>0.6415</v>
      </c>
      <c r="D217" s="8" t="n">
        <v>0.5223</v>
      </c>
      <c r="E217" s="8" t="n">
        <v>0.5995</v>
      </c>
      <c r="F217" s="8" t="n">
        <v>0.694</v>
      </c>
      <c r="G217" s="8" t="n">
        <v>0.485</v>
      </c>
      <c r="H217" s="8" t="n">
        <v>0.7305</v>
      </c>
      <c r="I217" s="8" t="n">
        <v>0.4515</v>
      </c>
      <c r="J217" s="8" t="n">
        <v>0.9029</v>
      </c>
      <c r="K217" s="8" t="n">
        <v>0.3746</v>
      </c>
      <c r="L217" s="9">
        <f>1-(1-Mecanismos!B2)*(1-C217)</f>
        <v/>
      </c>
      <c r="M217" s="9">
        <f>Mecanismos!B7*D217</f>
        <v/>
      </c>
      <c r="N217" s="9">
        <f>Mecanismos!B4*(1-E217)</f>
        <v/>
      </c>
      <c r="O217" s="9">
        <f>Mecanismos!B5*(1-F217)</f>
        <v/>
      </c>
      <c r="P217" s="9">
        <f>Mecanismos!B6*(1-I217)</f>
        <v/>
      </c>
      <c r="Q217" s="9">
        <f>Mecanismos!B9*(1-G217)</f>
        <v/>
      </c>
      <c r="R217" s="9">
        <f>Mecanismos!B9*(1-J217)</f>
        <v/>
      </c>
      <c r="S217" s="9">
        <f>Mecanismos!B8*H217</f>
        <v/>
      </c>
      <c r="T217" s="9">
        <f>Mecanismos!B10*H217</f>
        <v/>
      </c>
      <c r="U217" s="9">
        <f>Mecanismos!B8*K217</f>
        <v/>
      </c>
      <c r="V217" s="9">
        <f>Mecanismos!B3*D217</f>
        <v/>
      </c>
      <c r="W217" s="9">
        <f>Parametros!B2+Parametros!B4*(S217+T217+U217+V217)-Parametros!B3*(L217+M217+N217+O217+P217+Q217+R217)</f>
        <v/>
      </c>
      <c r="X217" s="10">
        <f>1/(1+EXP(-W217))</f>
        <v/>
      </c>
      <c r="Y217" s="11">
        <f>IF(Parametros!B6=1,0.15+0.85*(1/(1+EXP(-8*((1-N217)-0.45)))),1)</f>
        <v/>
      </c>
      <c r="Z217" s="11">
        <f>IF(Parametros!B7=1,MAX(0.05,1-L217^1.6),1)</f>
        <v/>
      </c>
      <c r="AA217" s="11">
        <f>IF(Parametros!B8=1,0.2+0.8*(1/(1+EXP(-9*(S217-0.25)))),1)</f>
        <v/>
      </c>
      <c r="AB217" s="10">
        <f>X217*Y217*Z217*AA217</f>
        <v/>
      </c>
    </row>
    <row r="218">
      <c r="A218" t="inlineStr">
        <is>
          <t>uojois</t>
        </is>
      </c>
      <c r="B218" t="inlineStr">
        <is>
          <t>Isadora Melo</t>
        </is>
      </c>
      <c r="C218" s="8" t="n">
        <v>0.6085</v>
      </c>
      <c r="D218" s="8" t="n">
        <v>0.5633</v>
      </c>
      <c r="E218" s="8" t="n">
        <v>0.5004</v>
      </c>
      <c r="F218" s="8" t="n">
        <v>0.6468</v>
      </c>
      <c r="G218" s="8" t="n">
        <v>0.2665</v>
      </c>
      <c r="H218" s="8" t="n">
        <v>0.5321</v>
      </c>
      <c r="I218" s="8" t="n">
        <v>0.8287</v>
      </c>
      <c r="J218" s="8" t="n">
        <v>0.9473</v>
      </c>
      <c r="K218" s="8" t="n">
        <v>0.329</v>
      </c>
      <c r="L218" s="9">
        <f>1-(1-Mecanismos!B2)*(1-C218)</f>
        <v/>
      </c>
      <c r="M218" s="9">
        <f>Mecanismos!B7*D218</f>
        <v/>
      </c>
      <c r="N218" s="9">
        <f>Mecanismos!B4*(1-E218)</f>
        <v/>
      </c>
      <c r="O218" s="9">
        <f>Mecanismos!B5*(1-F218)</f>
        <v/>
      </c>
      <c r="P218" s="9">
        <f>Mecanismos!B6*(1-I218)</f>
        <v/>
      </c>
      <c r="Q218" s="9">
        <f>Mecanismos!B9*(1-G218)</f>
        <v/>
      </c>
      <c r="R218" s="9">
        <f>Mecanismos!B9*(1-J218)</f>
        <v/>
      </c>
      <c r="S218" s="9">
        <f>Mecanismos!B8*H218</f>
        <v/>
      </c>
      <c r="T218" s="9">
        <f>Mecanismos!B10*H218</f>
        <v/>
      </c>
      <c r="U218" s="9">
        <f>Mecanismos!B8*K218</f>
        <v/>
      </c>
      <c r="V218" s="9">
        <f>Mecanismos!B3*D218</f>
        <v/>
      </c>
      <c r="W218" s="9">
        <f>Parametros!B2+Parametros!B4*(S218+T218+U218+V218)-Parametros!B3*(L218+M218+N218+O218+P218+Q218+R218)</f>
        <v/>
      </c>
      <c r="X218" s="10">
        <f>1/(1+EXP(-W218))</f>
        <v/>
      </c>
      <c r="Y218" s="11">
        <f>IF(Parametros!B6=1,0.15+0.85*(1/(1+EXP(-8*((1-N218)-0.45)))),1)</f>
        <v/>
      </c>
      <c r="Z218" s="11">
        <f>IF(Parametros!B7=1,MAX(0.05,1-L218^1.6),1)</f>
        <v/>
      </c>
      <c r="AA218" s="11">
        <f>IF(Parametros!B8=1,0.2+0.8*(1/(1+EXP(-9*(S218-0.25)))),1)</f>
        <v/>
      </c>
      <c r="AB218" s="10">
        <f>X218*Y218*Z218*AA218</f>
        <v/>
      </c>
    </row>
    <row r="219">
      <c r="A219" t="inlineStr">
        <is>
          <t>lx2fm9</t>
        </is>
      </c>
      <c r="B219" t="inlineStr">
        <is>
          <t>Isadora Siqueira</t>
        </is>
      </c>
      <c r="C219" s="8" t="n">
        <v>0.5373</v>
      </c>
      <c r="D219" s="8" t="n">
        <v>0.627</v>
      </c>
      <c r="E219" s="8" t="n">
        <v>0.5682</v>
      </c>
      <c r="F219" s="8" t="n">
        <v>0.5556</v>
      </c>
      <c r="G219" s="8" t="n">
        <v>0.482</v>
      </c>
      <c r="H219" s="8" t="n">
        <v>0.7613</v>
      </c>
      <c r="I219" s="8" t="n">
        <v>0.3861</v>
      </c>
      <c r="J219" s="8" t="n">
        <v>0.8992</v>
      </c>
      <c r="K219" s="8" t="n">
        <v>0.2036</v>
      </c>
      <c r="L219" s="9">
        <f>1-(1-Mecanismos!B2)*(1-C219)</f>
        <v/>
      </c>
      <c r="M219" s="9">
        <f>Mecanismos!B7*D219</f>
        <v/>
      </c>
      <c r="N219" s="9">
        <f>Mecanismos!B4*(1-E219)</f>
        <v/>
      </c>
      <c r="O219" s="9">
        <f>Mecanismos!B5*(1-F219)</f>
        <v/>
      </c>
      <c r="P219" s="9">
        <f>Mecanismos!B6*(1-I219)</f>
        <v/>
      </c>
      <c r="Q219" s="9">
        <f>Mecanismos!B9*(1-G219)</f>
        <v/>
      </c>
      <c r="R219" s="9">
        <f>Mecanismos!B9*(1-J219)</f>
        <v/>
      </c>
      <c r="S219" s="9">
        <f>Mecanismos!B8*H219</f>
        <v/>
      </c>
      <c r="T219" s="9">
        <f>Mecanismos!B10*H219</f>
        <v/>
      </c>
      <c r="U219" s="9">
        <f>Mecanismos!B8*K219</f>
        <v/>
      </c>
      <c r="V219" s="9">
        <f>Mecanismos!B3*D219</f>
        <v/>
      </c>
      <c r="W219" s="9">
        <f>Parametros!B2+Parametros!B4*(S219+T219+U219+V219)-Parametros!B3*(L219+M219+N219+O219+P219+Q219+R219)</f>
        <v/>
      </c>
      <c r="X219" s="10">
        <f>1/(1+EXP(-W219))</f>
        <v/>
      </c>
      <c r="Y219" s="11">
        <f>IF(Parametros!B6=1,0.15+0.85*(1/(1+EXP(-8*((1-N219)-0.45)))),1)</f>
        <v/>
      </c>
      <c r="Z219" s="11">
        <f>IF(Parametros!B7=1,MAX(0.05,1-L219^1.6),1)</f>
        <v/>
      </c>
      <c r="AA219" s="11">
        <f>IF(Parametros!B8=1,0.2+0.8*(1/(1+EXP(-9*(S219-0.25)))),1)</f>
        <v/>
      </c>
      <c r="AB219" s="10">
        <f>X219*Y219*Z219*AA219</f>
        <v/>
      </c>
    </row>
    <row r="220">
      <c r="A220" t="inlineStr">
        <is>
          <t>jle3v1</t>
        </is>
      </c>
      <c r="B220" t="inlineStr">
        <is>
          <t>Isaque Farias</t>
        </is>
      </c>
      <c r="C220" s="8" t="n">
        <v>0.72</v>
      </c>
      <c r="D220" s="8" t="n">
        <v>0.4975</v>
      </c>
      <c r="E220" s="8" t="n">
        <v>0.5259</v>
      </c>
      <c r="F220" s="8" t="n">
        <v>0.5351</v>
      </c>
      <c r="G220" s="8" t="n">
        <v>0.5652</v>
      </c>
      <c r="H220" s="8" t="n">
        <v>0.7423</v>
      </c>
      <c r="I220" s="8" t="n">
        <v>0.7115</v>
      </c>
      <c r="J220" s="8" t="n">
        <v>0.9456</v>
      </c>
      <c r="K220" s="8" t="n">
        <v>0.3508</v>
      </c>
      <c r="L220" s="9">
        <f>1-(1-Mecanismos!B2)*(1-C220)</f>
        <v/>
      </c>
      <c r="M220" s="9">
        <f>Mecanismos!B7*D220</f>
        <v/>
      </c>
      <c r="N220" s="9">
        <f>Mecanismos!B4*(1-E220)</f>
        <v/>
      </c>
      <c r="O220" s="9">
        <f>Mecanismos!B5*(1-F220)</f>
        <v/>
      </c>
      <c r="P220" s="9">
        <f>Mecanismos!B6*(1-I220)</f>
        <v/>
      </c>
      <c r="Q220" s="9">
        <f>Mecanismos!B9*(1-G220)</f>
        <v/>
      </c>
      <c r="R220" s="9">
        <f>Mecanismos!B9*(1-J220)</f>
        <v/>
      </c>
      <c r="S220" s="9">
        <f>Mecanismos!B8*H220</f>
        <v/>
      </c>
      <c r="T220" s="9">
        <f>Mecanismos!B10*H220</f>
        <v/>
      </c>
      <c r="U220" s="9">
        <f>Mecanismos!B8*K220</f>
        <v/>
      </c>
      <c r="V220" s="9">
        <f>Mecanismos!B3*D220</f>
        <v/>
      </c>
      <c r="W220" s="9">
        <f>Parametros!B2+Parametros!B4*(S220+T220+U220+V220)-Parametros!B3*(L220+M220+N220+O220+P220+Q220+R220)</f>
        <v/>
      </c>
      <c r="X220" s="10">
        <f>1/(1+EXP(-W220))</f>
        <v/>
      </c>
      <c r="Y220" s="11">
        <f>IF(Parametros!B6=1,0.15+0.85*(1/(1+EXP(-8*((1-N220)-0.45)))),1)</f>
        <v/>
      </c>
      <c r="Z220" s="11">
        <f>IF(Parametros!B7=1,MAX(0.05,1-L220^1.6),1)</f>
        <v/>
      </c>
      <c r="AA220" s="11">
        <f>IF(Parametros!B8=1,0.2+0.8*(1/(1+EXP(-9*(S220-0.25)))),1)</f>
        <v/>
      </c>
      <c r="AB220" s="10">
        <f>X220*Y220*Z220*AA220</f>
        <v/>
      </c>
    </row>
    <row r="221">
      <c r="A221" t="inlineStr">
        <is>
          <t>dm3awk</t>
        </is>
      </c>
      <c r="B221" t="inlineStr">
        <is>
          <t>Isis Cavalcanti</t>
        </is>
      </c>
      <c r="C221" s="8" t="n">
        <v>0.6107</v>
      </c>
      <c r="D221" s="8" t="n">
        <v>0.3581</v>
      </c>
      <c r="E221" s="8" t="n">
        <v>0.6349</v>
      </c>
      <c r="F221" s="8" t="n">
        <v>0.5386</v>
      </c>
      <c r="G221" s="8" t="n">
        <v>0.5734</v>
      </c>
      <c r="H221" s="8" t="n">
        <v>0.6444</v>
      </c>
      <c r="I221" s="8" t="n">
        <v>0.5615</v>
      </c>
      <c r="J221" s="8" t="n">
        <v>0.7984</v>
      </c>
      <c r="K221" s="8" t="n">
        <v>0.2712</v>
      </c>
      <c r="L221" s="9">
        <f>1-(1-Mecanismos!B2)*(1-C221)</f>
        <v/>
      </c>
      <c r="M221" s="9">
        <f>Mecanismos!B7*D221</f>
        <v/>
      </c>
      <c r="N221" s="9">
        <f>Mecanismos!B4*(1-E221)</f>
        <v/>
      </c>
      <c r="O221" s="9">
        <f>Mecanismos!B5*(1-F221)</f>
        <v/>
      </c>
      <c r="P221" s="9">
        <f>Mecanismos!B6*(1-I221)</f>
        <v/>
      </c>
      <c r="Q221" s="9">
        <f>Mecanismos!B9*(1-G221)</f>
        <v/>
      </c>
      <c r="R221" s="9">
        <f>Mecanismos!B9*(1-J221)</f>
        <v/>
      </c>
      <c r="S221" s="9">
        <f>Mecanismos!B8*H221</f>
        <v/>
      </c>
      <c r="T221" s="9">
        <f>Mecanismos!B10*H221</f>
        <v/>
      </c>
      <c r="U221" s="9">
        <f>Mecanismos!B8*K221</f>
        <v/>
      </c>
      <c r="V221" s="9">
        <f>Mecanismos!B3*D221</f>
        <v/>
      </c>
      <c r="W221" s="9">
        <f>Parametros!B2+Parametros!B4*(S221+T221+U221+V221)-Parametros!B3*(L221+M221+N221+O221+P221+Q221+R221)</f>
        <v/>
      </c>
      <c r="X221" s="10">
        <f>1/(1+EXP(-W221))</f>
        <v/>
      </c>
      <c r="Y221" s="11">
        <f>IF(Parametros!B6=1,0.15+0.85*(1/(1+EXP(-8*((1-N221)-0.45)))),1)</f>
        <v/>
      </c>
      <c r="Z221" s="11">
        <f>IF(Parametros!B7=1,MAX(0.05,1-L221^1.6),1)</f>
        <v/>
      </c>
      <c r="AA221" s="11">
        <f>IF(Parametros!B8=1,0.2+0.8*(1/(1+EXP(-9*(S221-0.25)))),1)</f>
        <v/>
      </c>
      <c r="AB221" s="10">
        <f>X221*Y221*Z221*AA221</f>
        <v/>
      </c>
    </row>
    <row r="222">
      <c r="A222" t="inlineStr">
        <is>
          <t>bc3meb</t>
        </is>
      </c>
      <c r="B222" t="inlineStr">
        <is>
          <t>Isis Machado</t>
        </is>
      </c>
      <c r="C222" s="8" t="n">
        <v>0.6206</v>
      </c>
      <c r="D222" s="8" t="n">
        <v>0.4448</v>
      </c>
      <c r="E222" s="8" t="n">
        <v>0.3599</v>
      </c>
      <c r="F222" s="8" t="n">
        <v>0.5874</v>
      </c>
      <c r="G222" s="8" t="n">
        <v>0.3402</v>
      </c>
      <c r="H222" s="8" t="n">
        <v>0.728</v>
      </c>
      <c r="I222" s="8" t="n">
        <v>0.6607</v>
      </c>
      <c r="J222" s="8" t="n">
        <v>0.9484</v>
      </c>
      <c r="K222" s="8" t="n">
        <v>0.37</v>
      </c>
      <c r="L222" s="9">
        <f>1-(1-Mecanismos!B2)*(1-C222)</f>
        <v/>
      </c>
      <c r="M222" s="9">
        <f>Mecanismos!B7*D222</f>
        <v/>
      </c>
      <c r="N222" s="9">
        <f>Mecanismos!B4*(1-E222)</f>
        <v/>
      </c>
      <c r="O222" s="9">
        <f>Mecanismos!B5*(1-F222)</f>
        <v/>
      </c>
      <c r="P222" s="9">
        <f>Mecanismos!B6*(1-I222)</f>
        <v/>
      </c>
      <c r="Q222" s="9">
        <f>Mecanismos!B9*(1-G222)</f>
        <v/>
      </c>
      <c r="R222" s="9">
        <f>Mecanismos!B9*(1-J222)</f>
        <v/>
      </c>
      <c r="S222" s="9">
        <f>Mecanismos!B8*H222</f>
        <v/>
      </c>
      <c r="T222" s="9">
        <f>Mecanismos!B10*H222</f>
        <v/>
      </c>
      <c r="U222" s="9">
        <f>Mecanismos!B8*K222</f>
        <v/>
      </c>
      <c r="V222" s="9">
        <f>Mecanismos!B3*D222</f>
        <v/>
      </c>
      <c r="W222" s="9">
        <f>Parametros!B2+Parametros!B4*(S222+T222+U222+V222)-Parametros!B3*(L222+M222+N222+O222+P222+Q222+R222)</f>
        <v/>
      </c>
      <c r="X222" s="10">
        <f>1/(1+EXP(-W222))</f>
        <v/>
      </c>
      <c r="Y222" s="11">
        <f>IF(Parametros!B6=1,0.15+0.85*(1/(1+EXP(-8*((1-N222)-0.45)))),1)</f>
        <v/>
      </c>
      <c r="Z222" s="11">
        <f>IF(Parametros!B7=1,MAX(0.05,1-L222^1.6),1)</f>
        <v/>
      </c>
      <c r="AA222" s="11">
        <f>IF(Parametros!B8=1,0.2+0.8*(1/(1+EXP(-9*(S222-0.25)))),1)</f>
        <v/>
      </c>
      <c r="AB222" s="10">
        <f>X222*Y222*Z222*AA222</f>
        <v/>
      </c>
    </row>
    <row r="223">
      <c r="A223" t="inlineStr">
        <is>
          <t>id42b2</t>
        </is>
      </c>
      <c r="B223" t="inlineStr">
        <is>
          <t>Isis Novais</t>
        </is>
      </c>
      <c r="C223" s="8" t="n">
        <v>0.7332</v>
      </c>
      <c r="D223" s="8" t="n">
        <v>0.2536</v>
      </c>
      <c r="E223" s="8" t="n">
        <v>0.5511</v>
      </c>
      <c r="F223" s="8" t="n">
        <v>0.7215</v>
      </c>
      <c r="G223" s="8" t="n">
        <v>0.5987</v>
      </c>
      <c r="H223" s="8" t="n">
        <v>0.6418</v>
      </c>
      <c r="I223" s="8" t="n">
        <v>0.4723</v>
      </c>
      <c r="J223" s="8" t="n">
        <v>0.7453</v>
      </c>
      <c r="K223" s="8" t="n">
        <v>0.3111</v>
      </c>
      <c r="L223" s="9">
        <f>1-(1-Mecanismos!B2)*(1-C223)</f>
        <v/>
      </c>
      <c r="M223" s="9">
        <f>Mecanismos!B7*D223</f>
        <v/>
      </c>
      <c r="N223" s="9">
        <f>Mecanismos!B4*(1-E223)</f>
        <v/>
      </c>
      <c r="O223" s="9">
        <f>Mecanismos!B5*(1-F223)</f>
        <v/>
      </c>
      <c r="P223" s="9">
        <f>Mecanismos!B6*(1-I223)</f>
        <v/>
      </c>
      <c r="Q223" s="9">
        <f>Mecanismos!B9*(1-G223)</f>
        <v/>
      </c>
      <c r="R223" s="9">
        <f>Mecanismos!B9*(1-J223)</f>
        <v/>
      </c>
      <c r="S223" s="9">
        <f>Mecanismos!B8*H223</f>
        <v/>
      </c>
      <c r="T223" s="9">
        <f>Mecanismos!B10*H223</f>
        <v/>
      </c>
      <c r="U223" s="9">
        <f>Mecanismos!B8*K223</f>
        <v/>
      </c>
      <c r="V223" s="9">
        <f>Mecanismos!B3*D223</f>
        <v/>
      </c>
      <c r="W223" s="9">
        <f>Parametros!B2+Parametros!B4*(S223+T223+U223+V223)-Parametros!B3*(L223+M223+N223+O223+P223+Q223+R223)</f>
        <v/>
      </c>
      <c r="X223" s="10">
        <f>1/(1+EXP(-W223))</f>
        <v/>
      </c>
      <c r="Y223" s="11">
        <f>IF(Parametros!B6=1,0.15+0.85*(1/(1+EXP(-8*((1-N223)-0.45)))),1)</f>
        <v/>
      </c>
      <c r="Z223" s="11">
        <f>IF(Parametros!B7=1,MAX(0.05,1-L223^1.6),1)</f>
        <v/>
      </c>
      <c r="AA223" s="11">
        <f>IF(Parametros!B8=1,0.2+0.8*(1/(1+EXP(-9*(S223-0.25)))),1)</f>
        <v/>
      </c>
      <c r="AB223" s="10">
        <f>X223*Y223*Z223*AA223</f>
        <v/>
      </c>
    </row>
    <row r="224">
      <c r="A224" t="inlineStr">
        <is>
          <t>m9xs8x</t>
        </is>
      </c>
      <c r="B224" t="inlineStr">
        <is>
          <t>Jade Dias</t>
        </is>
      </c>
      <c r="C224" s="8" t="n">
        <v>0.6744</v>
      </c>
      <c r="D224" s="8" t="n">
        <v>0.5165</v>
      </c>
      <c r="E224" s="8" t="n">
        <v>0.4636</v>
      </c>
      <c r="F224" s="8" t="n">
        <v>0.5377</v>
      </c>
      <c r="G224" s="8" t="n">
        <v>0.345</v>
      </c>
      <c r="H224" s="8" t="n">
        <v>0.5583</v>
      </c>
      <c r="I224" s="8" t="n">
        <v>0.3569</v>
      </c>
      <c r="J224" s="8" t="n">
        <v>0.6552</v>
      </c>
      <c r="K224" s="8" t="n">
        <v>0.2509</v>
      </c>
      <c r="L224" s="9">
        <f>1-(1-Mecanismos!B2)*(1-C224)</f>
        <v/>
      </c>
      <c r="M224" s="9">
        <f>Mecanismos!B7*D224</f>
        <v/>
      </c>
      <c r="N224" s="9">
        <f>Mecanismos!B4*(1-E224)</f>
        <v/>
      </c>
      <c r="O224" s="9">
        <f>Mecanismos!B5*(1-F224)</f>
        <v/>
      </c>
      <c r="P224" s="9">
        <f>Mecanismos!B6*(1-I224)</f>
        <v/>
      </c>
      <c r="Q224" s="9">
        <f>Mecanismos!B9*(1-G224)</f>
        <v/>
      </c>
      <c r="R224" s="9">
        <f>Mecanismos!B9*(1-J224)</f>
        <v/>
      </c>
      <c r="S224" s="9">
        <f>Mecanismos!B8*H224</f>
        <v/>
      </c>
      <c r="T224" s="9">
        <f>Mecanismos!B10*H224</f>
        <v/>
      </c>
      <c r="U224" s="9">
        <f>Mecanismos!B8*K224</f>
        <v/>
      </c>
      <c r="V224" s="9">
        <f>Mecanismos!B3*D224</f>
        <v/>
      </c>
      <c r="W224" s="9">
        <f>Parametros!B2+Parametros!B4*(S224+T224+U224+V224)-Parametros!B3*(L224+M224+N224+O224+P224+Q224+R224)</f>
        <v/>
      </c>
      <c r="X224" s="10">
        <f>1/(1+EXP(-W224))</f>
        <v/>
      </c>
      <c r="Y224" s="11">
        <f>IF(Parametros!B6=1,0.15+0.85*(1/(1+EXP(-8*((1-N224)-0.45)))),1)</f>
        <v/>
      </c>
      <c r="Z224" s="11">
        <f>IF(Parametros!B7=1,MAX(0.05,1-L224^1.6),1)</f>
        <v/>
      </c>
      <c r="AA224" s="11">
        <f>IF(Parametros!B8=1,0.2+0.8*(1/(1+EXP(-9*(S224-0.25)))),1)</f>
        <v/>
      </c>
      <c r="AB224" s="10">
        <f>X224*Y224*Z224*AA224</f>
        <v/>
      </c>
    </row>
    <row r="225">
      <c r="A225" t="inlineStr">
        <is>
          <t>7by0sc</t>
        </is>
      </c>
      <c r="B225" t="inlineStr">
        <is>
          <t>Jade Peixoto</t>
        </is>
      </c>
      <c r="C225" s="8" t="n">
        <v>0.6669</v>
      </c>
      <c r="D225" s="8" t="n">
        <v>0.7030999999999999</v>
      </c>
      <c r="E225" s="8" t="n">
        <v>0.4084</v>
      </c>
      <c r="F225" s="8" t="n">
        <v>0.6755</v>
      </c>
      <c r="G225" s="8" t="n">
        <v>0.3494</v>
      </c>
      <c r="H225" s="8" t="n">
        <v>0.6028</v>
      </c>
      <c r="I225" s="8" t="n">
        <v>0.6617</v>
      </c>
      <c r="J225" s="8" t="n">
        <v>0.836</v>
      </c>
      <c r="K225" s="8" t="n">
        <v>0.7109</v>
      </c>
      <c r="L225" s="9">
        <f>1-(1-Mecanismos!B2)*(1-C225)</f>
        <v/>
      </c>
      <c r="M225" s="9">
        <f>Mecanismos!B7*D225</f>
        <v/>
      </c>
      <c r="N225" s="9">
        <f>Mecanismos!B4*(1-E225)</f>
        <v/>
      </c>
      <c r="O225" s="9">
        <f>Mecanismos!B5*(1-F225)</f>
        <v/>
      </c>
      <c r="P225" s="9">
        <f>Mecanismos!B6*(1-I225)</f>
        <v/>
      </c>
      <c r="Q225" s="9">
        <f>Mecanismos!B9*(1-G225)</f>
        <v/>
      </c>
      <c r="R225" s="9">
        <f>Mecanismos!B9*(1-J225)</f>
        <v/>
      </c>
      <c r="S225" s="9">
        <f>Mecanismos!B8*H225</f>
        <v/>
      </c>
      <c r="T225" s="9">
        <f>Mecanismos!B10*H225</f>
        <v/>
      </c>
      <c r="U225" s="9">
        <f>Mecanismos!B8*K225</f>
        <v/>
      </c>
      <c r="V225" s="9">
        <f>Mecanismos!B3*D225</f>
        <v/>
      </c>
      <c r="W225" s="9">
        <f>Parametros!B2+Parametros!B4*(S225+T225+U225+V225)-Parametros!B3*(L225+M225+N225+O225+P225+Q225+R225)</f>
        <v/>
      </c>
      <c r="X225" s="10">
        <f>1/(1+EXP(-W225))</f>
        <v/>
      </c>
      <c r="Y225" s="11">
        <f>IF(Parametros!B6=1,0.15+0.85*(1/(1+EXP(-8*((1-N225)-0.45)))),1)</f>
        <v/>
      </c>
      <c r="Z225" s="11">
        <f>IF(Parametros!B7=1,MAX(0.05,1-L225^1.6),1)</f>
        <v/>
      </c>
      <c r="AA225" s="11">
        <f>IF(Parametros!B8=1,0.2+0.8*(1/(1+EXP(-9*(S225-0.25)))),1)</f>
        <v/>
      </c>
      <c r="AB225" s="10">
        <f>X225*Y225*Z225*AA225</f>
        <v/>
      </c>
    </row>
    <row r="226">
      <c r="A226" t="inlineStr">
        <is>
          <t>ny49ik</t>
        </is>
      </c>
      <c r="B226" t="inlineStr">
        <is>
          <t>Jade Peixoto</t>
        </is>
      </c>
      <c r="C226" s="8" t="n">
        <v>0.4495</v>
      </c>
      <c r="D226" s="8" t="n">
        <v>0.3935</v>
      </c>
      <c r="E226" s="8" t="n">
        <v>0.6384</v>
      </c>
      <c r="F226" s="8" t="n">
        <v>0.549</v>
      </c>
      <c r="G226" s="8" t="n">
        <v>0.5679</v>
      </c>
      <c r="H226" s="8" t="n">
        <v>0.6073</v>
      </c>
      <c r="I226" s="8" t="n">
        <v>0.7683</v>
      </c>
      <c r="J226" s="8" t="n">
        <v>0.7967</v>
      </c>
      <c r="K226" s="8" t="n">
        <v>0.4648</v>
      </c>
      <c r="L226" s="9">
        <f>1-(1-Mecanismos!B2)*(1-C226)</f>
        <v/>
      </c>
      <c r="M226" s="9">
        <f>Mecanismos!B7*D226</f>
        <v/>
      </c>
      <c r="N226" s="9">
        <f>Mecanismos!B4*(1-E226)</f>
        <v/>
      </c>
      <c r="O226" s="9">
        <f>Mecanismos!B5*(1-F226)</f>
        <v/>
      </c>
      <c r="P226" s="9">
        <f>Mecanismos!B6*(1-I226)</f>
        <v/>
      </c>
      <c r="Q226" s="9">
        <f>Mecanismos!B9*(1-G226)</f>
        <v/>
      </c>
      <c r="R226" s="9">
        <f>Mecanismos!B9*(1-J226)</f>
        <v/>
      </c>
      <c r="S226" s="9">
        <f>Mecanismos!B8*H226</f>
        <v/>
      </c>
      <c r="T226" s="9">
        <f>Mecanismos!B10*H226</f>
        <v/>
      </c>
      <c r="U226" s="9">
        <f>Mecanismos!B8*K226</f>
        <v/>
      </c>
      <c r="V226" s="9">
        <f>Mecanismos!B3*D226</f>
        <v/>
      </c>
      <c r="W226" s="9">
        <f>Parametros!B2+Parametros!B4*(S226+T226+U226+V226)-Parametros!B3*(L226+M226+N226+O226+P226+Q226+R226)</f>
        <v/>
      </c>
      <c r="X226" s="10">
        <f>1/(1+EXP(-W226))</f>
        <v/>
      </c>
      <c r="Y226" s="11">
        <f>IF(Parametros!B6=1,0.15+0.85*(1/(1+EXP(-8*((1-N226)-0.45)))),1)</f>
        <v/>
      </c>
      <c r="Z226" s="11">
        <f>IF(Parametros!B7=1,MAX(0.05,1-L226^1.6),1)</f>
        <v/>
      </c>
      <c r="AA226" s="11">
        <f>IF(Parametros!B8=1,0.2+0.8*(1/(1+EXP(-9*(S226-0.25)))),1)</f>
        <v/>
      </c>
      <c r="AB226" s="10">
        <f>X226*Y226*Z226*AA226</f>
        <v/>
      </c>
    </row>
    <row r="227">
      <c r="A227" t="inlineStr">
        <is>
          <t>fum1ga</t>
        </is>
      </c>
      <c r="B227" t="inlineStr">
        <is>
          <t>Jade Sousa</t>
        </is>
      </c>
      <c r="C227" s="8" t="n">
        <v>0.4344</v>
      </c>
      <c r="D227" s="8" t="n">
        <v>0.5233</v>
      </c>
      <c r="E227" s="8" t="n">
        <v>0.307</v>
      </c>
      <c r="F227" s="8" t="n">
        <v>0.5407999999999999</v>
      </c>
      <c r="G227" s="8" t="n">
        <v>0.5555</v>
      </c>
      <c r="H227" s="8" t="n">
        <v>0.6676</v>
      </c>
      <c r="I227" s="8" t="n">
        <v>0.8249</v>
      </c>
      <c r="J227" s="8" t="n">
        <v>0.726</v>
      </c>
      <c r="K227" s="8" t="n">
        <v>0.4826</v>
      </c>
      <c r="L227" s="9">
        <f>1-(1-Mecanismos!B2)*(1-C227)</f>
        <v/>
      </c>
      <c r="M227" s="9">
        <f>Mecanismos!B7*D227</f>
        <v/>
      </c>
      <c r="N227" s="9">
        <f>Mecanismos!B4*(1-E227)</f>
        <v/>
      </c>
      <c r="O227" s="9">
        <f>Mecanismos!B5*(1-F227)</f>
        <v/>
      </c>
      <c r="P227" s="9">
        <f>Mecanismos!B6*(1-I227)</f>
        <v/>
      </c>
      <c r="Q227" s="9">
        <f>Mecanismos!B9*(1-G227)</f>
        <v/>
      </c>
      <c r="R227" s="9">
        <f>Mecanismos!B9*(1-J227)</f>
        <v/>
      </c>
      <c r="S227" s="9">
        <f>Mecanismos!B8*H227</f>
        <v/>
      </c>
      <c r="T227" s="9">
        <f>Mecanismos!B10*H227</f>
        <v/>
      </c>
      <c r="U227" s="9">
        <f>Mecanismos!B8*K227</f>
        <v/>
      </c>
      <c r="V227" s="9">
        <f>Mecanismos!B3*D227</f>
        <v/>
      </c>
      <c r="W227" s="9">
        <f>Parametros!B2+Parametros!B4*(S227+T227+U227+V227)-Parametros!B3*(L227+M227+N227+O227+P227+Q227+R227)</f>
        <v/>
      </c>
      <c r="X227" s="10">
        <f>1/(1+EXP(-W227))</f>
        <v/>
      </c>
      <c r="Y227" s="11">
        <f>IF(Parametros!B6=1,0.15+0.85*(1/(1+EXP(-8*((1-N227)-0.45)))),1)</f>
        <v/>
      </c>
      <c r="Z227" s="11">
        <f>IF(Parametros!B7=1,MAX(0.05,1-L227^1.6),1)</f>
        <v/>
      </c>
      <c r="AA227" s="11">
        <f>IF(Parametros!B8=1,0.2+0.8*(1/(1+EXP(-9*(S227-0.25)))),1)</f>
        <v/>
      </c>
      <c r="AB227" s="10">
        <f>X227*Y227*Z227*AA227</f>
        <v/>
      </c>
    </row>
    <row r="228">
      <c r="A228" t="inlineStr">
        <is>
          <t>wvm0sa</t>
        </is>
      </c>
      <c r="B228" t="inlineStr">
        <is>
          <t>Josué Brito</t>
        </is>
      </c>
      <c r="C228" s="8" t="n">
        <v>0.6381</v>
      </c>
      <c r="D228" s="8" t="n">
        <v>0.6363</v>
      </c>
      <c r="E228" s="8" t="n">
        <v>0.5218</v>
      </c>
      <c r="F228" s="8" t="n">
        <v>0.6754</v>
      </c>
      <c r="G228" s="8" t="n">
        <v>0.7382</v>
      </c>
      <c r="H228" s="8" t="n">
        <v>0.8164</v>
      </c>
      <c r="I228" s="8" t="n">
        <v>0.6862</v>
      </c>
      <c r="J228" s="8" t="n">
        <v>0.6009</v>
      </c>
      <c r="K228" s="8" t="n">
        <v>0.3729</v>
      </c>
      <c r="L228" s="9">
        <f>1-(1-Mecanismos!B2)*(1-C228)</f>
        <v/>
      </c>
      <c r="M228" s="9">
        <f>Mecanismos!B7*D228</f>
        <v/>
      </c>
      <c r="N228" s="9">
        <f>Mecanismos!B4*(1-E228)</f>
        <v/>
      </c>
      <c r="O228" s="9">
        <f>Mecanismos!B5*(1-F228)</f>
        <v/>
      </c>
      <c r="P228" s="9">
        <f>Mecanismos!B6*(1-I228)</f>
        <v/>
      </c>
      <c r="Q228" s="9">
        <f>Mecanismos!B9*(1-G228)</f>
        <v/>
      </c>
      <c r="R228" s="9">
        <f>Mecanismos!B9*(1-J228)</f>
        <v/>
      </c>
      <c r="S228" s="9">
        <f>Mecanismos!B8*H228</f>
        <v/>
      </c>
      <c r="T228" s="9">
        <f>Mecanismos!B10*H228</f>
        <v/>
      </c>
      <c r="U228" s="9">
        <f>Mecanismos!B8*K228</f>
        <v/>
      </c>
      <c r="V228" s="9">
        <f>Mecanismos!B3*D228</f>
        <v/>
      </c>
      <c r="W228" s="9">
        <f>Parametros!B2+Parametros!B4*(S228+T228+U228+V228)-Parametros!B3*(L228+M228+N228+O228+P228+Q228+R228)</f>
        <v/>
      </c>
      <c r="X228" s="10">
        <f>1/(1+EXP(-W228))</f>
        <v/>
      </c>
      <c r="Y228" s="11">
        <f>IF(Parametros!B6=1,0.15+0.85*(1/(1+EXP(-8*((1-N228)-0.45)))),1)</f>
        <v/>
      </c>
      <c r="Z228" s="11">
        <f>IF(Parametros!B7=1,MAX(0.05,1-L228^1.6),1)</f>
        <v/>
      </c>
      <c r="AA228" s="11">
        <f>IF(Parametros!B8=1,0.2+0.8*(1/(1+EXP(-9*(S228-0.25)))),1)</f>
        <v/>
      </c>
      <c r="AB228" s="10">
        <f>X228*Y228*Z228*AA228</f>
        <v/>
      </c>
    </row>
    <row r="229">
      <c r="A229" t="inlineStr">
        <is>
          <t>67pthk</t>
        </is>
      </c>
      <c r="B229" t="inlineStr">
        <is>
          <t>Josué Farias</t>
        </is>
      </c>
      <c r="C229" s="8" t="n">
        <v>0.7122000000000001</v>
      </c>
      <c r="D229" s="8" t="n">
        <v>0.4964</v>
      </c>
      <c r="E229" s="8" t="n">
        <v>0.5451</v>
      </c>
      <c r="F229" s="8" t="n">
        <v>0.6373</v>
      </c>
      <c r="G229" s="8" t="n">
        <v>0.6539</v>
      </c>
      <c r="H229" s="8" t="n">
        <v>0.5797</v>
      </c>
      <c r="I229" s="8" t="n">
        <v>0.4934</v>
      </c>
      <c r="J229" s="8" t="n">
        <v>0.7856</v>
      </c>
      <c r="K229" s="8" t="n">
        <v>0.2463</v>
      </c>
      <c r="L229" s="9">
        <f>1-(1-Mecanismos!B2)*(1-C229)</f>
        <v/>
      </c>
      <c r="M229" s="9">
        <f>Mecanismos!B7*D229</f>
        <v/>
      </c>
      <c r="N229" s="9">
        <f>Mecanismos!B4*(1-E229)</f>
        <v/>
      </c>
      <c r="O229" s="9">
        <f>Mecanismos!B5*(1-F229)</f>
        <v/>
      </c>
      <c r="P229" s="9">
        <f>Mecanismos!B6*(1-I229)</f>
        <v/>
      </c>
      <c r="Q229" s="9">
        <f>Mecanismos!B9*(1-G229)</f>
        <v/>
      </c>
      <c r="R229" s="9">
        <f>Mecanismos!B9*(1-J229)</f>
        <v/>
      </c>
      <c r="S229" s="9">
        <f>Mecanismos!B8*H229</f>
        <v/>
      </c>
      <c r="T229" s="9">
        <f>Mecanismos!B10*H229</f>
        <v/>
      </c>
      <c r="U229" s="9">
        <f>Mecanismos!B8*K229</f>
        <v/>
      </c>
      <c r="V229" s="9">
        <f>Mecanismos!B3*D229</f>
        <v/>
      </c>
      <c r="W229" s="9">
        <f>Parametros!B2+Parametros!B4*(S229+T229+U229+V229)-Parametros!B3*(L229+M229+N229+O229+P229+Q229+R229)</f>
        <v/>
      </c>
      <c r="X229" s="10">
        <f>1/(1+EXP(-W229))</f>
        <v/>
      </c>
      <c r="Y229" s="11">
        <f>IF(Parametros!B6=1,0.15+0.85*(1/(1+EXP(-8*((1-N229)-0.45)))),1)</f>
        <v/>
      </c>
      <c r="Z229" s="11">
        <f>IF(Parametros!B7=1,MAX(0.05,1-L229^1.6),1)</f>
        <v/>
      </c>
      <c r="AA229" s="11">
        <f>IF(Parametros!B8=1,0.2+0.8*(1/(1+EXP(-9*(S229-0.25)))),1)</f>
        <v/>
      </c>
      <c r="AB229" s="10">
        <f>X229*Y229*Z229*AA229</f>
        <v/>
      </c>
    </row>
    <row r="230">
      <c r="A230" t="inlineStr">
        <is>
          <t>p4je2v</t>
        </is>
      </c>
      <c r="B230" t="inlineStr">
        <is>
          <t>Josué Mendes</t>
        </is>
      </c>
      <c r="C230" s="8" t="n">
        <v>0.7127</v>
      </c>
      <c r="D230" s="8" t="n">
        <v>0.6907</v>
      </c>
      <c r="E230" s="8" t="n">
        <v>0.2842</v>
      </c>
      <c r="F230" s="8" t="n">
        <v>0.5511</v>
      </c>
      <c r="G230" s="8" t="n">
        <v>0.5802</v>
      </c>
      <c r="H230" s="8" t="n">
        <v>0.4544</v>
      </c>
      <c r="I230" s="8" t="n">
        <v>0.7129</v>
      </c>
      <c r="J230" s="8" t="n">
        <v>0.8158</v>
      </c>
      <c r="K230" s="8" t="n">
        <v>0.222</v>
      </c>
      <c r="L230" s="9">
        <f>1-(1-Mecanismos!B2)*(1-C230)</f>
        <v/>
      </c>
      <c r="M230" s="9">
        <f>Mecanismos!B7*D230</f>
        <v/>
      </c>
      <c r="N230" s="9">
        <f>Mecanismos!B4*(1-E230)</f>
        <v/>
      </c>
      <c r="O230" s="9">
        <f>Mecanismos!B5*(1-F230)</f>
        <v/>
      </c>
      <c r="P230" s="9">
        <f>Mecanismos!B6*(1-I230)</f>
        <v/>
      </c>
      <c r="Q230" s="9">
        <f>Mecanismos!B9*(1-G230)</f>
        <v/>
      </c>
      <c r="R230" s="9">
        <f>Mecanismos!B9*(1-J230)</f>
        <v/>
      </c>
      <c r="S230" s="9">
        <f>Mecanismos!B8*H230</f>
        <v/>
      </c>
      <c r="T230" s="9">
        <f>Mecanismos!B10*H230</f>
        <v/>
      </c>
      <c r="U230" s="9">
        <f>Mecanismos!B8*K230</f>
        <v/>
      </c>
      <c r="V230" s="9">
        <f>Mecanismos!B3*D230</f>
        <v/>
      </c>
      <c r="W230" s="9">
        <f>Parametros!B2+Parametros!B4*(S230+T230+U230+V230)-Parametros!B3*(L230+M230+N230+O230+P230+Q230+R230)</f>
        <v/>
      </c>
      <c r="X230" s="10">
        <f>1/(1+EXP(-W230))</f>
        <v/>
      </c>
      <c r="Y230" s="11">
        <f>IF(Parametros!B6=1,0.15+0.85*(1/(1+EXP(-8*((1-N230)-0.45)))),1)</f>
        <v/>
      </c>
      <c r="Z230" s="11">
        <f>IF(Parametros!B7=1,MAX(0.05,1-L230^1.6),1)</f>
        <v/>
      </c>
      <c r="AA230" s="11">
        <f>IF(Parametros!B8=1,0.2+0.8*(1/(1+EXP(-9*(S230-0.25)))),1)</f>
        <v/>
      </c>
      <c r="AB230" s="10">
        <f>X230*Y230*Z230*AA230</f>
        <v/>
      </c>
    </row>
    <row r="231">
      <c r="A231" t="inlineStr">
        <is>
          <t>fnj5hn</t>
        </is>
      </c>
      <c r="B231" t="inlineStr">
        <is>
          <t>Josué Monteiro</t>
        </is>
      </c>
      <c r="C231" s="8" t="n">
        <v>0.334</v>
      </c>
      <c r="D231" s="8" t="n">
        <v>0.7378</v>
      </c>
      <c r="E231" s="8" t="n">
        <v>0.3835</v>
      </c>
      <c r="F231" s="8" t="n">
        <v>0.634</v>
      </c>
      <c r="G231" s="8" t="n">
        <v>0.6841</v>
      </c>
      <c r="H231" s="8" t="n">
        <v>0.5626</v>
      </c>
      <c r="I231" s="8" t="n">
        <v>0.674</v>
      </c>
      <c r="J231" s="8" t="n">
        <v>0.931</v>
      </c>
      <c r="K231" s="8" t="n">
        <v>0.7633</v>
      </c>
      <c r="L231" s="9">
        <f>1-(1-Mecanismos!B2)*(1-C231)</f>
        <v/>
      </c>
      <c r="M231" s="9">
        <f>Mecanismos!B7*D231</f>
        <v/>
      </c>
      <c r="N231" s="9">
        <f>Mecanismos!B4*(1-E231)</f>
        <v/>
      </c>
      <c r="O231" s="9">
        <f>Mecanismos!B5*(1-F231)</f>
        <v/>
      </c>
      <c r="P231" s="9">
        <f>Mecanismos!B6*(1-I231)</f>
        <v/>
      </c>
      <c r="Q231" s="9">
        <f>Mecanismos!B9*(1-G231)</f>
        <v/>
      </c>
      <c r="R231" s="9">
        <f>Mecanismos!B9*(1-J231)</f>
        <v/>
      </c>
      <c r="S231" s="9">
        <f>Mecanismos!B8*H231</f>
        <v/>
      </c>
      <c r="T231" s="9">
        <f>Mecanismos!B10*H231</f>
        <v/>
      </c>
      <c r="U231" s="9">
        <f>Mecanismos!B8*K231</f>
        <v/>
      </c>
      <c r="V231" s="9">
        <f>Mecanismos!B3*D231</f>
        <v/>
      </c>
      <c r="W231" s="9">
        <f>Parametros!B2+Parametros!B4*(S231+T231+U231+V231)-Parametros!B3*(L231+M231+N231+O231+P231+Q231+R231)</f>
        <v/>
      </c>
      <c r="X231" s="10">
        <f>1/(1+EXP(-W231))</f>
        <v/>
      </c>
      <c r="Y231" s="11">
        <f>IF(Parametros!B6=1,0.15+0.85*(1/(1+EXP(-8*((1-N231)-0.45)))),1)</f>
        <v/>
      </c>
      <c r="Z231" s="11">
        <f>IF(Parametros!B7=1,MAX(0.05,1-L231^1.6),1)</f>
        <v/>
      </c>
      <c r="AA231" s="11">
        <f>IF(Parametros!B8=1,0.2+0.8*(1/(1+EXP(-9*(S231-0.25)))),1)</f>
        <v/>
      </c>
      <c r="AB231" s="10">
        <f>X231*Y231*Z231*AA231</f>
        <v/>
      </c>
    </row>
    <row r="232">
      <c r="A232" t="inlineStr">
        <is>
          <t>zd7408</t>
        </is>
      </c>
      <c r="B232" t="inlineStr">
        <is>
          <t>José Câmara</t>
        </is>
      </c>
      <c r="C232" s="8" t="n">
        <v>0.4733</v>
      </c>
      <c r="D232" s="8" t="n">
        <v>0.4679</v>
      </c>
      <c r="E232" s="8" t="n">
        <v>0.3241</v>
      </c>
      <c r="F232" s="8" t="n">
        <v>0.4737</v>
      </c>
      <c r="G232" s="8" t="n">
        <v>0.2551</v>
      </c>
      <c r="H232" s="8" t="n">
        <v>0.4499</v>
      </c>
      <c r="I232" s="8" t="n">
        <v>0.4713</v>
      </c>
      <c r="J232" s="8" t="n">
        <v>0.5185</v>
      </c>
      <c r="K232" s="8" t="n">
        <v>0.5984</v>
      </c>
      <c r="L232" s="9">
        <f>1-(1-Mecanismos!B2)*(1-C232)</f>
        <v/>
      </c>
      <c r="M232" s="9">
        <f>Mecanismos!B7*D232</f>
        <v/>
      </c>
      <c r="N232" s="9">
        <f>Mecanismos!B4*(1-E232)</f>
        <v/>
      </c>
      <c r="O232" s="9">
        <f>Mecanismos!B5*(1-F232)</f>
        <v/>
      </c>
      <c r="P232" s="9">
        <f>Mecanismos!B6*(1-I232)</f>
        <v/>
      </c>
      <c r="Q232" s="9">
        <f>Mecanismos!B9*(1-G232)</f>
        <v/>
      </c>
      <c r="R232" s="9">
        <f>Mecanismos!B9*(1-J232)</f>
        <v/>
      </c>
      <c r="S232" s="9">
        <f>Mecanismos!B8*H232</f>
        <v/>
      </c>
      <c r="T232" s="9">
        <f>Mecanismos!B10*H232</f>
        <v/>
      </c>
      <c r="U232" s="9">
        <f>Mecanismos!B8*K232</f>
        <v/>
      </c>
      <c r="V232" s="9">
        <f>Mecanismos!B3*D232</f>
        <v/>
      </c>
      <c r="W232" s="9">
        <f>Parametros!B2+Parametros!B4*(S232+T232+U232+V232)-Parametros!B3*(L232+M232+N232+O232+P232+Q232+R232)</f>
        <v/>
      </c>
      <c r="X232" s="10">
        <f>1/(1+EXP(-W232))</f>
        <v/>
      </c>
      <c r="Y232" s="11">
        <f>IF(Parametros!B6=1,0.15+0.85*(1/(1+EXP(-8*((1-N232)-0.45)))),1)</f>
        <v/>
      </c>
      <c r="Z232" s="11">
        <f>IF(Parametros!B7=1,MAX(0.05,1-L232^1.6),1)</f>
        <v/>
      </c>
      <c r="AA232" s="11">
        <f>IF(Parametros!B8=1,0.2+0.8*(1/(1+EXP(-9*(S232-0.25)))),1)</f>
        <v/>
      </c>
      <c r="AB232" s="10">
        <f>X232*Y232*Z232*AA232</f>
        <v/>
      </c>
    </row>
    <row r="233">
      <c r="A233" t="inlineStr">
        <is>
          <t>s9pl84</t>
        </is>
      </c>
      <c r="B233" t="inlineStr">
        <is>
          <t>José Miguel Sampaio</t>
        </is>
      </c>
      <c r="C233" s="8" t="n">
        <v>0.7224</v>
      </c>
      <c r="D233" s="8" t="n">
        <v>0.5467</v>
      </c>
      <c r="E233" s="8" t="n">
        <v>0.5202</v>
      </c>
      <c r="F233" s="8" t="n">
        <v>0.6353</v>
      </c>
      <c r="G233" s="8" t="n">
        <v>0.5646</v>
      </c>
      <c r="H233" s="8" t="n">
        <v>0.5693</v>
      </c>
      <c r="I233" s="8" t="n">
        <v>0.5231</v>
      </c>
      <c r="J233" s="8" t="n">
        <v>0.8132</v>
      </c>
      <c r="K233" s="8" t="n">
        <v>0.6475</v>
      </c>
      <c r="L233" s="9">
        <f>1-(1-Mecanismos!B2)*(1-C233)</f>
        <v/>
      </c>
      <c r="M233" s="9">
        <f>Mecanismos!B7*D233</f>
        <v/>
      </c>
      <c r="N233" s="9">
        <f>Mecanismos!B4*(1-E233)</f>
        <v/>
      </c>
      <c r="O233" s="9">
        <f>Mecanismos!B5*(1-F233)</f>
        <v/>
      </c>
      <c r="P233" s="9">
        <f>Mecanismos!B6*(1-I233)</f>
        <v/>
      </c>
      <c r="Q233" s="9">
        <f>Mecanismos!B9*(1-G233)</f>
        <v/>
      </c>
      <c r="R233" s="9">
        <f>Mecanismos!B9*(1-J233)</f>
        <v/>
      </c>
      <c r="S233" s="9">
        <f>Mecanismos!B8*H233</f>
        <v/>
      </c>
      <c r="T233" s="9">
        <f>Mecanismos!B10*H233</f>
        <v/>
      </c>
      <c r="U233" s="9">
        <f>Mecanismos!B8*K233</f>
        <v/>
      </c>
      <c r="V233" s="9">
        <f>Mecanismos!B3*D233</f>
        <v/>
      </c>
      <c r="W233" s="9">
        <f>Parametros!B2+Parametros!B4*(S233+T233+U233+V233)-Parametros!B3*(L233+M233+N233+O233+P233+Q233+R233)</f>
        <v/>
      </c>
      <c r="X233" s="10">
        <f>1/(1+EXP(-W233))</f>
        <v/>
      </c>
      <c r="Y233" s="11">
        <f>IF(Parametros!B6=1,0.15+0.85*(1/(1+EXP(-8*((1-N233)-0.45)))),1)</f>
        <v/>
      </c>
      <c r="Z233" s="11">
        <f>IF(Parametros!B7=1,MAX(0.05,1-L233^1.6),1)</f>
        <v/>
      </c>
      <c r="AA233" s="11">
        <f>IF(Parametros!B8=1,0.2+0.8*(1/(1+EXP(-9*(S233-0.25)))),1)</f>
        <v/>
      </c>
      <c r="AB233" s="10">
        <f>X233*Y233*Z233*AA233</f>
        <v/>
      </c>
    </row>
    <row r="234">
      <c r="A234" t="inlineStr">
        <is>
          <t>385wus</t>
        </is>
      </c>
      <c r="B234" t="inlineStr">
        <is>
          <t>José Silveira</t>
        </is>
      </c>
      <c r="C234" s="8" t="n">
        <v>0.6752</v>
      </c>
      <c r="D234" s="8" t="n">
        <v>0.4752</v>
      </c>
      <c r="E234" s="8" t="n">
        <v>0.3426</v>
      </c>
      <c r="F234" s="8" t="n">
        <v>0.6343</v>
      </c>
      <c r="G234" s="8" t="n">
        <v>0.3121</v>
      </c>
      <c r="H234" s="8" t="n">
        <v>0.6175</v>
      </c>
      <c r="I234" s="8" t="n">
        <v>0.6035</v>
      </c>
      <c r="J234" s="8" t="n">
        <v>0.2678</v>
      </c>
      <c r="K234" s="8" t="n">
        <v>0.5068</v>
      </c>
      <c r="L234" s="9">
        <f>1-(1-Mecanismos!B2)*(1-C234)</f>
        <v/>
      </c>
      <c r="M234" s="9">
        <f>Mecanismos!B7*D234</f>
        <v/>
      </c>
      <c r="N234" s="9">
        <f>Mecanismos!B4*(1-E234)</f>
        <v/>
      </c>
      <c r="O234" s="9">
        <f>Mecanismos!B5*(1-F234)</f>
        <v/>
      </c>
      <c r="P234" s="9">
        <f>Mecanismos!B6*(1-I234)</f>
        <v/>
      </c>
      <c r="Q234" s="9">
        <f>Mecanismos!B9*(1-G234)</f>
        <v/>
      </c>
      <c r="R234" s="9">
        <f>Mecanismos!B9*(1-J234)</f>
        <v/>
      </c>
      <c r="S234" s="9">
        <f>Mecanismos!B8*H234</f>
        <v/>
      </c>
      <c r="T234" s="9">
        <f>Mecanismos!B10*H234</f>
        <v/>
      </c>
      <c r="U234" s="9">
        <f>Mecanismos!B8*K234</f>
        <v/>
      </c>
      <c r="V234" s="9">
        <f>Mecanismos!B3*D234</f>
        <v/>
      </c>
      <c r="W234" s="9">
        <f>Parametros!B2+Parametros!B4*(S234+T234+U234+V234)-Parametros!B3*(L234+M234+N234+O234+P234+Q234+R234)</f>
        <v/>
      </c>
      <c r="X234" s="10">
        <f>1/(1+EXP(-W234))</f>
        <v/>
      </c>
      <c r="Y234" s="11">
        <f>IF(Parametros!B6=1,0.15+0.85*(1/(1+EXP(-8*((1-N234)-0.45)))),1)</f>
        <v/>
      </c>
      <c r="Z234" s="11">
        <f>IF(Parametros!B7=1,MAX(0.05,1-L234^1.6),1)</f>
        <v/>
      </c>
      <c r="AA234" s="11">
        <f>IF(Parametros!B8=1,0.2+0.8*(1/(1+EXP(-9*(S234-0.25)))),1)</f>
        <v/>
      </c>
      <c r="AB234" s="10">
        <f>X234*Y234*Z234*AA234</f>
        <v/>
      </c>
    </row>
    <row r="235">
      <c r="A235" t="inlineStr">
        <is>
          <t>nfp8vf</t>
        </is>
      </c>
      <c r="B235" t="inlineStr">
        <is>
          <t>João Gabriel Camargo</t>
        </is>
      </c>
      <c r="C235" s="8" t="n">
        <v>0.7435</v>
      </c>
      <c r="D235" s="8" t="n">
        <v>0.4309</v>
      </c>
      <c r="E235" s="8" t="n">
        <v>0.6806</v>
      </c>
      <c r="F235" s="8" t="n">
        <v>0.2271</v>
      </c>
      <c r="G235" s="8" t="n">
        <v>0.5191</v>
      </c>
      <c r="H235" s="8" t="n">
        <v>0.8008</v>
      </c>
      <c r="I235" s="8" t="n">
        <v>0.2227</v>
      </c>
      <c r="J235" s="8" t="n">
        <v>0.7333</v>
      </c>
      <c r="K235" s="8" t="n">
        <v>0.356</v>
      </c>
      <c r="L235" s="9">
        <f>1-(1-Mecanismos!B2)*(1-C235)</f>
        <v/>
      </c>
      <c r="M235" s="9">
        <f>Mecanismos!B7*D235</f>
        <v/>
      </c>
      <c r="N235" s="9">
        <f>Mecanismos!B4*(1-E235)</f>
        <v/>
      </c>
      <c r="O235" s="9">
        <f>Mecanismos!B5*(1-F235)</f>
        <v/>
      </c>
      <c r="P235" s="9">
        <f>Mecanismos!B6*(1-I235)</f>
        <v/>
      </c>
      <c r="Q235" s="9">
        <f>Mecanismos!B9*(1-G235)</f>
        <v/>
      </c>
      <c r="R235" s="9">
        <f>Mecanismos!B9*(1-J235)</f>
        <v/>
      </c>
      <c r="S235" s="9">
        <f>Mecanismos!B8*H235</f>
        <v/>
      </c>
      <c r="T235" s="9">
        <f>Mecanismos!B10*H235</f>
        <v/>
      </c>
      <c r="U235" s="9">
        <f>Mecanismos!B8*K235</f>
        <v/>
      </c>
      <c r="V235" s="9">
        <f>Mecanismos!B3*D235</f>
        <v/>
      </c>
      <c r="W235" s="9">
        <f>Parametros!B2+Parametros!B4*(S235+T235+U235+V235)-Parametros!B3*(L235+M235+N235+O235+P235+Q235+R235)</f>
        <v/>
      </c>
      <c r="X235" s="10">
        <f>1/(1+EXP(-W235))</f>
        <v/>
      </c>
      <c r="Y235" s="11">
        <f>IF(Parametros!B6=1,0.15+0.85*(1/(1+EXP(-8*((1-N235)-0.45)))),1)</f>
        <v/>
      </c>
      <c r="Z235" s="11">
        <f>IF(Parametros!B7=1,MAX(0.05,1-L235^1.6),1)</f>
        <v/>
      </c>
      <c r="AA235" s="11">
        <f>IF(Parametros!B8=1,0.2+0.8*(1/(1+EXP(-9*(S235-0.25)))),1)</f>
        <v/>
      </c>
      <c r="AB235" s="10">
        <f>X235*Y235*Z235*AA235</f>
        <v/>
      </c>
    </row>
    <row r="236">
      <c r="A236" t="inlineStr">
        <is>
          <t>eepuj1</t>
        </is>
      </c>
      <c r="B236" t="inlineStr">
        <is>
          <t>João Gabriel Fernandes</t>
        </is>
      </c>
      <c r="C236" s="8" t="n">
        <v>0.7821</v>
      </c>
      <c r="D236" s="8" t="n">
        <v>0.4439</v>
      </c>
      <c r="E236" s="8" t="n">
        <v>0.7257</v>
      </c>
      <c r="F236" s="8" t="n">
        <v>0.1628</v>
      </c>
      <c r="G236" s="8" t="n">
        <v>0.4234</v>
      </c>
      <c r="H236" s="8" t="n">
        <v>0.4056</v>
      </c>
      <c r="I236" s="8" t="n">
        <v>0.2935</v>
      </c>
      <c r="J236" s="8" t="n">
        <v>0.8683999999999999</v>
      </c>
      <c r="K236" s="8" t="n">
        <v>0.5873</v>
      </c>
      <c r="L236" s="9">
        <f>1-(1-Mecanismos!B2)*(1-C236)</f>
        <v/>
      </c>
      <c r="M236" s="9">
        <f>Mecanismos!B7*D236</f>
        <v/>
      </c>
      <c r="N236" s="9">
        <f>Mecanismos!B4*(1-E236)</f>
        <v/>
      </c>
      <c r="O236" s="9">
        <f>Mecanismos!B5*(1-F236)</f>
        <v/>
      </c>
      <c r="P236" s="9">
        <f>Mecanismos!B6*(1-I236)</f>
        <v/>
      </c>
      <c r="Q236" s="9">
        <f>Mecanismos!B9*(1-G236)</f>
        <v/>
      </c>
      <c r="R236" s="9">
        <f>Mecanismos!B9*(1-J236)</f>
        <v/>
      </c>
      <c r="S236" s="9">
        <f>Mecanismos!B8*H236</f>
        <v/>
      </c>
      <c r="T236" s="9">
        <f>Mecanismos!B10*H236</f>
        <v/>
      </c>
      <c r="U236" s="9">
        <f>Mecanismos!B8*K236</f>
        <v/>
      </c>
      <c r="V236" s="9">
        <f>Mecanismos!B3*D236</f>
        <v/>
      </c>
      <c r="W236" s="9">
        <f>Parametros!B2+Parametros!B4*(S236+T236+U236+V236)-Parametros!B3*(L236+M236+N236+O236+P236+Q236+R236)</f>
        <v/>
      </c>
      <c r="X236" s="10">
        <f>1/(1+EXP(-W236))</f>
        <v/>
      </c>
      <c r="Y236" s="11">
        <f>IF(Parametros!B6=1,0.15+0.85*(1/(1+EXP(-8*((1-N236)-0.45)))),1)</f>
        <v/>
      </c>
      <c r="Z236" s="11">
        <f>IF(Parametros!B7=1,MAX(0.05,1-L236^1.6),1)</f>
        <v/>
      </c>
      <c r="AA236" s="11">
        <f>IF(Parametros!B8=1,0.2+0.8*(1/(1+EXP(-9*(S236-0.25)))),1)</f>
        <v/>
      </c>
      <c r="AB236" s="10">
        <f>X236*Y236*Z236*AA236</f>
        <v/>
      </c>
    </row>
    <row r="237">
      <c r="A237" t="inlineStr">
        <is>
          <t>pbmmvs</t>
        </is>
      </c>
      <c r="B237" t="inlineStr">
        <is>
          <t>João Gabriel Peixoto</t>
        </is>
      </c>
      <c r="C237" s="8" t="n">
        <v>0.7533</v>
      </c>
      <c r="D237" s="8" t="n">
        <v>0.6173999999999999</v>
      </c>
      <c r="E237" s="8" t="n">
        <v>0.3053</v>
      </c>
      <c r="F237" s="8" t="n">
        <v>0.7289</v>
      </c>
      <c r="G237" s="8" t="n">
        <v>0.5086000000000001</v>
      </c>
      <c r="H237" s="8" t="n">
        <v>0.5504</v>
      </c>
      <c r="I237" s="8" t="n">
        <v>0.5158</v>
      </c>
      <c r="J237" s="8" t="n">
        <v>0.7852</v>
      </c>
      <c r="K237" s="8" t="n">
        <v>0.663</v>
      </c>
      <c r="L237" s="9">
        <f>1-(1-Mecanismos!B2)*(1-C237)</f>
        <v/>
      </c>
      <c r="M237" s="9">
        <f>Mecanismos!B7*D237</f>
        <v/>
      </c>
      <c r="N237" s="9">
        <f>Mecanismos!B4*(1-E237)</f>
        <v/>
      </c>
      <c r="O237" s="9">
        <f>Mecanismos!B5*(1-F237)</f>
        <v/>
      </c>
      <c r="P237" s="9">
        <f>Mecanismos!B6*(1-I237)</f>
        <v/>
      </c>
      <c r="Q237" s="9">
        <f>Mecanismos!B9*(1-G237)</f>
        <v/>
      </c>
      <c r="R237" s="9">
        <f>Mecanismos!B9*(1-J237)</f>
        <v/>
      </c>
      <c r="S237" s="9">
        <f>Mecanismos!B8*H237</f>
        <v/>
      </c>
      <c r="T237" s="9">
        <f>Mecanismos!B10*H237</f>
        <v/>
      </c>
      <c r="U237" s="9">
        <f>Mecanismos!B8*K237</f>
        <v/>
      </c>
      <c r="V237" s="9">
        <f>Mecanismos!B3*D237</f>
        <v/>
      </c>
      <c r="W237" s="9">
        <f>Parametros!B2+Parametros!B4*(S237+T237+U237+V237)-Parametros!B3*(L237+M237+N237+O237+P237+Q237+R237)</f>
        <v/>
      </c>
      <c r="X237" s="10">
        <f>1/(1+EXP(-W237))</f>
        <v/>
      </c>
      <c r="Y237" s="11">
        <f>IF(Parametros!B6=1,0.15+0.85*(1/(1+EXP(-8*((1-N237)-0.45)))),1)</f>
        <v/>
      </c>
      <c r="Z237" s="11">
        <f>IF(Parametros!B7=1,MAX(0.05,1-L237^1.6),1)</f>
        <v/>
      </c>
      <c r="AA237" s="11">
        <f>IF(Parametros!B8=1,0.2+0.8*(1/(1+EXP(-9*(S237-0.25)))),1)</f>
        <v/>
      </c>
      <c r="AB237" s="10">
        <f>X237*Y237*Z237*AA237</f>
        <v/>
      </c>
    </row>
    <row r="238">
      <c r="A238" t="inlineStr">
        <is>
          <t>a7jox5</t>
        </is>
      </c>
      <c r="B238" t="inlineStr">
        <is>
          <t>João Guilherme Mendes</t>
        </is>
      </c>
      <c r="C238" s="8" t="n">
        <v>0.6689000000000001</v>
      </c>
      <c r="D238" s="8" t="n">
        <v>0.4331</v>
      </c>
      <c r="E238" s="8" t="n">
        <v>0.6748</v>
      </c>
      <c r="F238" s="8" t="n">
        <v>0.4088</v>
      </c>
      <c r="G238" s="8" t="n">
        <v>0.3548</v>
      </c>
      <c r="H238" s="8" t="n">
        <v>0.5617</v>
      </c>
      <c r="I238" s="8" t="n">
        <v>0.5928</v>
      </c>
      <c r="J238" s="8" t="n">
        <v>0.6399</v>
      </c>
      <c r="K238" s="8" t="n">
        <v>0.3716</v>
      </c>
      <c r="L238" s="9">
        <f>1-(1-Mecanismos!B2)*(1-C238)</f>
        <v/>
      </c>
      <c r="M238" s="9">
        <f>Mecanismos!B7*D238</f>
        <v/>
      </c>
      <c r="N238" s="9">
        <f>Mecanismos!B4*(1-E238)</f>
        <v/>
      </c>
      <c r="O238" s="9">
        <f>Mecanismos!B5*(1-F238)</f>
        <v/>
      </c>
      <c r="P238" s="9">
        <f>Mecanismos!B6*(1-I238)</f>
        <v/>
      </c>
      <c r="Q238" s="9">
        <f>Mecanismos!B9*(1-G238)</f>
        <v/>
      </c>
      <c r="R238" s="9">
        <f>Mecanismos!B9*(1-J238)</f>
        <v/>
      </c>
      <c r="S238" s="9">
        <f>Mecanismos!B8*H238</f>
        <v/>
      </c>
      <c r="T238" s="9">
        <f>Mecanismos!B10*H238</f>
        <v/>
      </c>
      <c r="U238" s="9">
        <f>Mecanismos!B8*K238</f>
        <v/>
      </c>
      <c r="V238" s="9">
        <f>Mecanismos!B3*D238</f>
        <v/>
      </c>
      <c r="W238" s="9">
        <f>Parametros!B2+Parametros!B4*(S238+T238+U238+V238)-Parametros!B3*(L238+M238+N238+O238+P238+Q238+R238)</f>
        <v/>
      </c>
      <c r="X238" s="10">
        <f>1/(1+EXP(-W238))</f>
        <v/>
      </c>
      <c r="Y238" s="11">
        <f>IF(Parametros!B6=1,0.15+0.85*(1/(1+EXP(-8*((1-N238)-0.45)))),1)</f>
        <v/>
      </c>
      <c r="Z238" s="11">
        <f>IF(Parametros!B7=1,MAX(0.05,1-L238^1.6),1)</f>
        <v/>
      </c>
      <c r="AA238" s="11">
        <f>IF(Parametros!B8=1,0.2+0.8*(1/(1+EXP(-9*(S238-0.25)))),1)</f>
        <v/>
      </c>
      <c r="AB238" s="10">
        <f>X238*Y238*Z238*AA238</f>
        <v/>
      </c>
    </row>
    <row r="239">
      <c r="A239" t="inlineStr">
        <is>
          <t>n7iu8c</t>
        </is>
      </c>
      <c r="B239" t="inlineStr">
        <is>
          <t>João Lucas Cunha</t>
        </is>
      </c>
      <c r="C239" s="8" t="n">
        <v>0.6477000000000001</v>
      </c>
      <c r="D239" s="8" t="n">
        <v>0.7302</v>
      </c>
      <c r="E239" s="8" t="n">
        <v>0.4997</v>
      </c>
      <c r="F239" s="8" t="n">
        <v>0.8431</v>
      </c>
      <c r="G239" s="8" t="n">
        <v>0.3441</v>
      </c>
      <c r="H239" s="8" t="n">
        <v>0.5907</v>
      </c>
      <c r="I239" s="8" t="n">
        <v>0.8171</v>
      </c>
      <c r="J239" s="8" t="n">
        <v>0.6858</v>
      </c>
      <c r="K239" s="8" t="n">
        <v>0.7103</v>
      </c>
      <c r="L239" s="9">
        <f>1-(1-Mecanismos!B2)*(1-C239)</f>
        <v/>
      </c>
      <c r="M239" s="9">
        <f>Mecanismos!B7*D239</f>
        <v/>
      </c>
      <c r="N239" s="9">
        <f>Mecanismos!B4*(1-E239)</f>
        <v/>
      </c>
      <c r="O239" s="9">
        <f>Mecanismos!B5*(1-F239)</f>
        <v/>
      </c>
      <c r="P239" s="9">
        <f>Mecanismos!B6*(1-I239)</f>
        <v/>
      </c>
      <c r="Q239" s="9">
        <f>Mecanismos!B9*(1-G239)</f>
        <v/>
      </c>
      <c r="R239" s="9">
        <f>Mecanismos!B9*(1-J239)</f>
        <v/>
      </c>
      <c r="S239" s="9">
        <f>Mecanismos!B8*H239</f>
        <v/>
      </c>
      <c r="T239" s="9">
        <f>Mecanismos!B10*H239</f>
        <v/>
      </c>
      <c r="U239" s="9">
        <f>Mecanismos!B8*K239</f>
        <v/>
      </c>
      <c r="V239" s="9">
        <f>Mecanismos!B3*D239</f>
        <v/>
      </c>
      <c r="W239" s="9">
        <f>Parametros!B2+Parametros!B4*(S239+T239+U239+V239)-Parametros!B3*(L239+M239+N239+O239+P239+Q239+R239)</f>
        <v/>
      </c>
      <c r="X239" s="10">
        <f>1/(1+EXP(-W239))</f>
        <v/>
      </c>
      <c r="Y239" s="11">
        <f>IF(Parametros!B6=1,0.15+0.85*(1/(1+EXP(-8*((1-N239)-0.45)))),1)</f>
        <v/>
      </c>
      <c r="Z239" s="11">
        <f>IF(Parametros!B7=1,MAX(0.05,1-L239^1.6),1)</f>
        <v/>
      </c>
      <c r="AA239" s="11">
        <f>IF(Parametros!B8=1,0.2+0.8*(1/(1+EXP(-9*(S239-0.25)))),1)</f>
        <v/>
      </c>
      <c r="AB239" s="10">
        <f>X239*Y239*Z239*AA239</f>
        <v/>
      </c>
    </row>
    <row r="240">
      <c r="A240" t="inlineStr">
        <is>
          <t>92cbrz</t>
        </is>
      </c>
      <c r="B240" t="inlineStr">
        <is>
          <t>João Lucas Pastor</t>
        </is>
      </c>
      <c r="C240" s="8" t="n">
        <v>0.366</v>
      </c>
      <c r="D240" s="8" t="n">
        <v>0.8069</v>
      </c>
      <c r="E240" s="8" t="n">
        <v>0.299</v>
      </c>
      <c r="F240" s="8" t="n">
        <v>0.676</v>
      </c>
      <c r="G240" s="8" t="n">
        <v>0.6453</v>
      </c>
      <c r="H240" s="8" t="n">
        <v>0.6677</v>
      </c>
      <c r="I240" s="8" t="n">
        <v>0.5686</v>
      </c>
      <c r="J240" s="8" t="n">
        <v>0.904</v>
      </c>
      <c r="K240" s="8" t="n">
        <v>0.5286999999999999</v>
      </c>
      <c r="L240" s="9">
        <f>1-(1-Mecanismos!B2)*(1-C240)</f>
        <v/>
      </c>
      <c r="M240" s="9">
        <f>Mecanismos!B7*D240</f>
        <v/>
      </c>
      <c r="N240" s="9">
        <f>Mecanismos!B4*(1-E240)</f>
        <v/>
      </c>
      <c r="O240" s="9">
        <f>Mecanismos!B5*(1-F240)</f>
        <v/>
      </c>
      <c r="P240" s="9">
        <f>Mecanismos!B6*(1-I240)</f>
        <v/>
      </c>
      <c r="Q240" s="9">
        <f>Mecanismos!B9*(1-G240)</f>
        <v/>
      </c>
      <c r="R240" s="9">
        <f>Mecanismos!B9*(1-J240)</f>
        <v/>
      </c>
      <c r="S240" s="9">
        <f>Mecanismos!B8*H240</f>
        <v/>
      </c>
      <c r="T240" s="9">
        <f>Mecanismos!B10*H240</f>
        <v/>
      </c>
      <c r="U240" s="9">
        <f>Mecanismos!B8*K240</f>
        <v/>
      </c>
      <c r="V240" s="9">
        <f>Mecanismos!B3*D240</f>
        <v/>
      </c>
      <c r="W240" s="9">
        <f>Parametros!B2+Parametros!B4*(S240+T240+U240+V240)-Parametros!B3*(L240+M240+N240+O240+P240+Q240+R240)</f>
        <v/>
      </c>
      <c r="X240" s="10">
        <f>1/(1+EXP(-W240))</f>
        <v/>
      </c>
      <c r="Y240" s="11">
        <f>IF(Parametros!B6=1,0.15+0.85*(1/(1+EXP(-8*((1-N240)-0.45)))),1)</f>
        <v/>
      </c>
      <c r="Z240" s="11">
        <f>IF(Parametros!B7=1,MAX(0.05,1-L240^1.6),1)</f>
        <v/>
      </c>
      <c r="AA240" s="11">
        <f>IF(Parametros!B8=1,0.2+0.8*(1/(1+EXP(-9*(S240-0.25)))),1)</f>
        <v/>
      </c>
      <c r="AB240" s="10">
        <f>X240*Y240*Z240*AA240</f>
        <v/>
      </c>
    </row>
    <row r="241">
      <c r="A241" t="inlineStr">
        <is>
          <t>0df37h</t>
        </is>
      </c>
      <c r="B241" t="inlineStr">
        <is>
          <t>João Miguel Castro</t>
        </is>
      </c>
      <c r="C241" s="8" t="n">
        <v>0.628</v>
      </c>
      <c r="D241" s="8" t="n">
        <v>0.4778</v>
      </c>
      <c r="E241" s="8" t="n">
        <v>0.5103</v>
      </c>
      <c r="F241" s="8" t="n">
        <v>0.6782</v>
      </c>
      <c r="G241" s="8" t="n">
        <v>0.3997</v>
      </c>
      <c r="H241" s="8" t="n">
        <v>0.8437</v>
      </c>
      <c r="I241" s="8" t="n">
        <v>0.6661</v>
      </c>
      <c r="J241" s="8" t="n">
        <v>0.861</v>
      </c>
      <c r="K241" s="8" t="n">
        <v>0.2604</v>
      </c>
      <c r="L241" s="9">
        <f>1-(1-Mecanismos!B2)*(1-C241)</f>
        <v/>
      </c>
      <c r="M241" s="9">
        <f>Mecanismos!B7*D241</f>
        <v/>
      </c>
      <c r="N241" s="9">
        <f>Mecanismos!B4*(1-E241)</f>
        <v/>
      </c>
      <c r="O241" s="9">
        <f>Mecanismos!B5*(1-F241)</f>
        <v/>
      </c>
      <c r="P241" s="9">
        <f>Mecanismos!B6*(1-I241)</f>
        <v/>
      </c>
      <c r="Q241" s="9">
        <f>Mecanismos!B9*(1-G241)</f>
        <v/>
      </c>
      <c r="R241" s="9">
        <f>Mecanismos!B9*(1-J241)</f>
        <v/>
      </c>
      <c r="S241" s="9">
        <f>Mecanismos!B8*H241</f>
        <v/>
      </c>
      <c r="T241" s="9">
        <f>Mecanismos!B10*H241</f>
        <v/>
      </c>
      <c r="U241" s="9">
        <f>Mecanismos!B8*K241</f>
        <v/>
      </c>
      <c r="V241" s="9">
        <f>Mecanismos!B3*D241</f>
        <v/>
      </c>
      <c r="W241" s="9">
        <f>Parametros!B2+Parametros!B4*(S241+T241+U241+V241)-Parametros!B3*(L241+M241+N241+O241+P241+Q241+R241)</f>
        <v/>
      </c>
      <c r="X241" s="10">
        <f>1/(1+EXP(-W241))</f>
        <v/>
      </c>
      <c r="Y241" s="11">
        <f>IF(Parametros!B6=1,0.15+0.85*(1/(1+EXP(-8*((1-N241)-0.45)))),1)</f>
        <v/>
      </c>
      <c r="Z241" s="11">
        <f>IF(Parametros!B7=1,MAX(0.05,1-L241^1.6),1)</f>
        <v/>
      </c>
      <c r="AA241" s="11">
        <f>IF(Parametros!B8=1,0.2+0.8*(1/(1+EXP(-9*(S241-0.25)))),1)</f>
        <v/>
      </c>
      <c r="AB241" s="10">
        <f>X241*Y241*Z241*AA241</f>
        <v/>
      </c>
    </row>
    <row r="242">
      <c r="A242" t="inlineStr">
        <is>
          <t>3trc82</t>
        </is>
      </c>
      <c r="B242" t="inlineStr">
        <is>
          <t>João Miguel Nascimento</t>
        </is>
      </c>
      <c r="C242" s="8" t="n">
        <v>0.7034</v>
      </c>
      <c r="D242" s="8" t="n">
        <v>0.4708</v>
      </c>
      <c r="E242" s="8" t="n">
        <v>0.7202</v>
      </c>
      <c r="F242" s="8" t="n">
        <v>0.7165</v>
      </c>
      <c r="G242" s="8" t="n">
        <v>0.5115</v>
      </c>
      <c r="H242" s="8" t="n">
        <v>0.6506999999999999</v>
      </c>
      <c r="I242" s="8" t="n">
        <v>0.406</v>
      </c>
      <c r="J242" s="8" t="n">
        <v>0.6343</v>
      </c>
      <c r="K242" s="8" t="n">
        <v>0.5729</v>
      </c>
      <c r="L242" s="9">
        <f>1-(1-Mecanismos!B2)*(1-C242)</f>
        <v/>
      </c>
      <c r="M242" s="9">
        <f>Mecanismos!B7*D242</f>
        <v/>
      </c>
      <c r="N242" s="9">
        <f>Mecanismos!B4*(1-E242)</f>
        <v/>
      </c>
      <c r="O242" s="9">
        <f>Mecanismos!B5*(1-F242)</f>
        <v/>
      </c>
      <c r="P242" s="9">
        <f>Mecanismos!B6*(1-I242)</f>
        <v/>
      </c>
      <c r="Q242" s="9">
        <f>Mecanismos!B9*(1-G242)</f>
        <v/>
      </c>
      <c r="R242" s="9">
        <f>Mecanismos!B9*(1-J242)</f>
        <v/>
      </c>
      <c r="S242" s="9">
        <f>Mecanismos!B8*H242</f>
        <v/>
      </c>
      <c r="T242" s="9">
        <f>Mecanismos!B10*H242</f>
        <v/>
      </c>
      <c r="U242" s="9">
        <f>Mecanismos!B8*K242</f>
        <v/>
      </c>
      <c r="V242" s="9">
        <f>Mecanismos!B3*D242</f>
        <v/>
      </c>
      <c r="W242" s="9">
        <f>Parametros!B2+Parametros!B4*(S242+T242+U242+V242)-Parametros!B3*(L242+M242+N242+O242+P242+Q242+R242)</f>
        <v/>
      </c>
      <c r="X242" s="10">
        <f>1/(1+EXP(-W242))</f>
        <v/>
      </c>
      <c r="Y242" s="11">
        <f>IF(Parametros!B6=1,0.15+0.85*(1/(1+EXP(-8*((1-N242)-0.45)))),1)</f>
        <v/>
      </c>
      <c r="Z242" s="11">
        <f>IF(Parametros!B7=1,MAX(0.05,1-L242^1.6),1)</f>
        <v/>
      </c>
      <c r="AA242" s="11">
        <f>IF(Parametros!B8=1,0.2+0.8*(1/(1+EXP(-9*(S242-0.25)))),1)</f>
        <v/>
      </c>
      <c r="AB242" s="10">
        <f>X242*Y242*Z242*AA242</f>
        <v/>
      </c>
    </row>
    <row r="243">
      <c r="A243" t="inlineStr">
        <is>
          <t>fy0ydt</t>
        </is>
      </c>
      <c r="B243" t="inlineStr">
        <is>
          <t>João Miguel Nogueira</t>
        </is>
      </c>
      <c r="C243" s="8" t="n">
        <v>0.5643</v>
      </c>
      <c r="D243" s="8" t="n">
        <v>0.6046</v>
      </c>
      <c r="E243" s="8" t="n">
        <v>0.2756</v>
      </c>
      <c r="F243" s="8" t="n">
        <v>0.6604</v>
      </c>
      <c r="G243" s="8" t="n">
        <v>0.5437</v>
      </c>
      <c r="H243" s="8" t="n">
        <v>0.4213</v>
      </c>
      <c r="I243" s="8" t="n">
        <v>0.5788</v>
      </c>
      <c r="J243" s="8" t="n">
        <v>0.7776</v>
      </c>
      <c r="K243" s="8" t="n">
        <v>0.3022</v>
      </c>
      <c r="L243" s="9">
        <f>1-(1-Mecanismos!B2)*(1-C243)</f>
        <v/>
      </c>
      <c r="M243" s="9">
        <f>Mecanismos!B7*D243</f>
        <v/>
      </c>
      <c r="N243" s="9">
        <f>Mecanismos!B4*(1-E243)</f>
        <v/>
      </c>
      <c r="O243" s="9">
        <f>Mecanismos!B5*(1-F243)</f>
        <v/>
      </c>
      <c r="P243" s="9">
        <f>Mecanismos!B6*(1-I243)</f>
        <v/>
      </c>
      <c r="Q243" s="9">
        <f>Mecanismos!B9*(1-G243)</f>
        <v/>
      </c>
      <c r="R243" s="9">
        <f>Mecanismos!B9*(1-J243)</f>
        <v/>
      </c>
      <c r="S243" s="9">
        <f>Mecanismos!B8*H243</f>
        <v/>
      </c>
      <c r="T243" s="9">
        <f>Mecanismos!B10*H243</f>
        <v/>
      </c>
      <c r="U243" s="9">
        <f>Mecanismos!B8*K243</f>
        <v/>
      </c>
      <c r="V243" s="9">
        <f>Mecanismos!B3*D243</f>
        <v/>
      </c>
      <c r="W243" s="9">
        <f>Parametros!B2+Parametros!B4*(S243+T243+U243+V243)-Parametros!B3*(L243+M243+N243+O243+P243+Q243+R243)</f>
        <v/>
      </c>
      <c r="X243" s="10">
        <f>1/(1+EXP(-W243))</f>
        <v/>
      </c>
      <c r="Y243" s="11">
        <f>IF(Parametros!B6=1,0.15+0.85*(1/(1+EXP(-8*((1-N243)-0.45)))),1)</f>
        <v/>
      </c>
      <c r="Z243" s="11">
        <f>IF(Parametros!B7=1,MAX(0.05,1-L243^1.6),1)</f>
        <v/>
      </c>
      <c r="AA243" s="11">
        <f>IF(Parametros!B8=1,0.2+0.8*(1/(1+EXP(-9*(S243-0.25)))),1)</f>
        <v/>
      </c>
      <c r="AB243" s="10">
        <f>X243*Y243*Z243*AA243</f>
        <v/>
      </c>
    </row>
    <row r="244">
      <c r="A244" t="inlineStr">
        <is>
          <t>o884sg</t>
        </is>
      </c>
      <c r="B244" t="inlineStr">
        <is>
          <t>João Miguel da Luz</t>
        </is>
      </c>
      <c r="C244" s="8" t="n">
        <v>0.3628</v>
      </c>
      <c r="D244" s="8" t="n">
        <v>0.4051</v>
      </c>
      <c r="E244" s="8" t="n">
        <v>0.8101</v>
      </c>
      <c r="F244" s="8" t="n">
        <v>0.7019</v>
      </c>
      <c r="G244" s="8" t="n">
        <v>0.3169</v>
      </c>
      <c r="H244" s="8" t="n">
        <v>0.5735</v>
      </c>
      <c r="I244" s="8" t="n">
        <v>0.7040999999999999</v>
      </c>
      <c r="J244" s="8" t="n">
        <v>0.8897</v>
      </c>
      <c r="K244" s="8" t="n">
        <v>0.4166</v>
      </c>
      <c r="L244" s="9">
        <f>1-(1-Mecanismos!B2)*(1-C244)</f>
        <v/>
      </c>
      <c r="M244" s="9">
        <f>Mecanismos!B7*D244</f>
        <v/>
      </c>
      <c r="N244" s="9">
        <f>Mecanismos!B4*(1-E244)</f>
        <v/>
      </c>
      <c r="O244" s="9">
        <f>Mecanismos!B5*(1-F244)</f>
        <v/>
      </c>
      <c r="P244" s="9">
        <f>Mecanismos!B6*(1-I244)</f>
        <v/>
      </c>
      <c r="Q244" s="9">
        <f>Mecanismos!B9*(1-G244)</f>
        <v/>
      </c>
      <c r="R244" s="9">
        <f>Mecanismos!B9*(1-J244)</f>
        <v/>
      </c>
      <c r="S244" s="9">
        <f>Mecanismos!B8*H244</f>
        <v/>
      </c>
      <c r="T244" s="9">
        <f>Mecanismos!B10*H244</f>
        <v/>
      </c>
      <c r="U244" s="9">
        <f>Mecanismos!B8*K244</f>
        <v/>
      </c>
      <c r="V244" s="9">
        <f>Mecanismos!B3*D244</f>
        <v/>
      </c>
      <c r="W244" s="9">
        <f>Parametros!B2+Parametros!B4*(S244+T244+U244+V244)-Parametros!B3*(L244+M244+N244+O244+P244+Q244+R244)</f>
        <v/>
      </c>
      <c r="X244" s="10">
        <f>1/(1+EXP(-W244))</f>
        <v/>
      </c>
      <c r="Y244" s="11">
        <f>IF(Parametros!B6=1,0.15+0.85*(1/(1+EXP(-8*((1-N244)-0.45)))),1)</f>
        <v/>
      </c>
      <c r="Z244" s="11">
        <f>IF(Parametros!B7=1,MAX(0.05,1-L244^1.6),1)</f>
        <v/>
      </c>
      <c r="AA244" s="11">
        <f>IF(Parametros!B8=1,0.2+0.8*(1/(1+EXP(-9*(S244-0.25)))),1)</f>
        <v/>
      </c>
      <c r="AB244" s="10">
        <f>X244*Y244*Z244*AA244</f>
        <v/>
      </c>
    </row>
    <row r="245">
      <c r="A245" t="inlineStr">
        <is>
          <t>0pyokg</t>
        </is>
      </c>
      <c r="B245" t="inlineStr">
        <is>
          <t>João Pedro Martins</t>
        </is>
      </c>
      <c r="C245" s="8" t="n">
        <v>0.6991000000000001</v>
      </c>
      <c r="D245" s="8" t="n">
        <v>0.5255</v>
      </c>
      <c r="E245" s="8" t="n">
        <v>0.4745</v>
      </c>
      <c r="F245" s="8" t="n">
        <v>0.6094000000000001</v>
      </c>
      <c r="G245" s="8" t="n">
        <v>0.2778</v>
      </c>
      <c r="H245" s="8" t="n">
        <v>0.5895</v>
      </c>
      <c r="I245" s="8" t="n">
        <v>0.5433</v>
      </c>
      <c r="J245" s="8" t="n">
        <v>0.721</v>
      </c>
      <c r="K245" s="8" t="n">
        <v>0.3327</v>
      </c>
      <c r="L245" s="9">
        <f>1-(1-Mecanismos!B2)*(1-C245)</f>
        <v/>
      </c>
      <c r="M245" s="9">
        <f>Mecanismos!B7*D245</f>
        <v/>
      </c>
      <c r="N245" s="9">
        <f>Mecanismos!B4*(1-E245)</f>
        <v/>
      </c>
      <c r="O245" s="9">
        <f>Mecanismos!B5*(1-F245)</f>
        <v/>
      </c>
      <c r="P245" s="9">
        <f>Mecanismos!B6*(1-I245)</f>
        <v/>
      </c>
      <c r="Q245" s="9">
        <f>Mecanismos!B9*(1-G245)</f>
        <v/>
      </c>
      <c r="R245" s="9">
        <f>Mecanismos!B9*(1-J245)</f>
        <v/>
      </c>
      <c r="S245" s="9">
        <f>Mecanismos!B8*H245</f>
        <v/>
      </c>
      <c r="T245" s="9">
        <f>Mecanismos!B10*H245</f>
        <v/>
      </c>
      <c r="U245" s="9">
        <f>Mecanismos!B8*K245</f>
        <v/>
      </c>
      <c r="V245" s="9">
        <f>Mecanismos!B3*D245</f>
        <v/>
      </c>
      <c r="W245" s="9">
        <f>Parametros!B2+Parametros!B4*(S245+T245+U245+V245)-Parametros!B3*(L245+M245+N245+O245+P245+Q245+R245)</f>
        <v/>
      </c>
      <c r="X245" s="10">
        <f>1/(1+EXP(-W245))</f>
        <v/>
      </c>
      <c r="Y245" s="11">
        <f>IF(Parametros!B6=1,0.15+0.85*(1/(1+EXP(-8*((1-N245)-0.45)))),1)</f>
        <v/>
      </c>
      <c r="Z245" s="11">
        <f>IF(Parametros!B7=1,MAX(0.05,1-L245^1.6),1)</f>
        <v/>
      </c>
      <c r="AA245" s="11">
        <f>IF(Parametros!B8=1,0.2+0.8*(1/(1+EXP(-9*(S245-0.25)))),1)</f>
        <v/>
      </c>
      <c r="AB245" s="10">
        <f>X245*Y245*Z245*AA245</f>
        <v/>
      </c>
    </row>
    <row r="246">
      <c r="A246" t="inlineStr">
        <is>
          <t>n23kl3</t>
        </is>
      </c>
      <c r="B246" t="inlineStr">
        <is>
          <t>João Vitor Garcia</t>
        </is>
      </c>
      <c r="C246" s="8" t="n">
        <v>0.6860000000000001</v>
      </c>
      <c r="D246" s="8" t="n">
        <v>0.2819</v>
      </c>
      <c r="E246" s="8" t="n">
        <v>0.6582</v>
      </c>
      <c r="F246" s="8" t="n">
        <v>0.4917</v>
      </c>
      <c r="G246" s="8" t="n">
        <v>0.5790999999999999</v>
      </c>
      <c r="H246" s="8" t="n">
        <v>0.549</v>
      </c>
      <c r="I246" s="8" t="n">
        <v>0.5755</v>
      </c>
      <c r="J246" s="8" t="n">
        <v>0.5285</v>
      </c>
      <c r="K246" s="8" t="n">
        <v>0.309</v>
      </c>
      <c r="L246" s="9">
        <f>1-(1-Mecanismos!B2)*(1-C246)</f>
        <v/>
      </c>
      <c r="M246" s="9">
        <f>Mecanismos!B7*D246</f>
        <v/>
      </c>
      <c r="N246" s="9">
        <f>Mecanismos!B4*(1-E246)</f>
        <v/>
      </c>
      <c r="O246" s="9">
        <f>Mecanismos!B5*(1-F246)</f>
        <v/>
      </c>
      <c r="P246" s="9">
        <f>Mecanismos!B6*(1-I246)</f>
        <v/>
      </c>
      <c r="Q246" s="9">
        <f>Mecanismos!B9*(1-G246)</f>
        <v/>
      </c>
      <c r="R246" s="9">
        <f>Mecanismos!B9*(1-J246)</f>
        <v/>
      </c>
      <c r="S246" s="9">
        <f>Mecanismos!B8*H246</f>
        <v/>
      </c>
      <c r="T246" s="9">
        <f>Mecanismos!B10*H246</f>
        <v/>
      </c>
      <c r="U246" s="9">
        <f>Mecanismos!B8*K246</f>
        <v/>
      </c>
      <c r="V246" s="9">
        <f>Mecanismos!B3*D246</f>
        <v/>
      </c>
      <c r="W246" s="9">
        <f>Parametros!B2+Parametros!B4*(S246+T246+U246+V246)-Parametros!B3*(L246+M246+N246+O246+P246+Q246+R246)</f>
        <v/>
      </c>
      <c r="X246" s="10">
        <f>1/(1+EXP(-W246))</f>
        <v/>
      </c>
      <c r="Y246" s="11">
        <f>IF(Parametros!B6=1,0.15+0.85*(1/(1+EXP(-8*((1-N246)-0.45)))),1)</f>
        <v/>
      </c>
      <c r="Z246" s="11">
        <f>IF(Parametros!B7=1,MAX(0.05,1-L246^1.6),1)</f>
        <v/>
      </c>
      <c r="AA246" s="11">
        <f>IF(Parametros!B8=1,0.2+0.8*(1/(1+EXP(-9*(S246-0.25)))),1)</f>
        <v/>
      </c>
      <c r="AB246" s="10">
        <f>X246*Y246*Z246*AA246</f>
        <v/>
      </c>
    </row>
    <row r="247">
      <c r="A247" t="inlineStr">
        <is>
          <t>afiyxd</t>
        </is>
      </c>
      <c r="B247" t="inlineStr">
        <is>
          <t>João Vitor Machado</t>
        </is>
      </c>
      <c r="C247" s="8" t="n">
        <v>0.6451</v>
      </c>
      <c r="D247" s="8" t="n">
        <v>0.3452</v>
      </c>
      <c r="E247" s="8" t="n">
        <v>0.4822</v>
      </c>
      <c r="F247" s="8" t="n">
        <v>0.7828000000000001</v>
      </c>
      <c r="G247" s="8" t="n">
        <v>0.498</v>
      </c>
      <c r="H247" s="8" t="n">
        <v>0.5437</v>
      </c>
      <c r="I247" s="8" t="n">
        <v>0.4241</v>
      </c>
      <c r="J247" s="8" t="n">
        <v>0.7056</v>
      </c>
      <c r="K247" s="8" t="n">
        <v>0.2169</v>
      </c>
      <c r="L247" s="9">
        <f>1-(1-Mecanismos!B2)*(1-C247)</f>
        <v/>
      </c>
      <c r="M247" s="9">
        <f>Mecanismos!B7*D247</f>
        <v/>
      </c>
      <c r="N247" s="9">
        <f>Mecanismos!B4*(1-E247)</f>
        <v/>
      </c>
      <c r="O247" s="9">
        <f>Mecanismos!B5*(1-F247)</f>
        <v/>
      </c>
      <c r="P247" s="9">
        <f>Mecanismos!B6*(1-I247)</f>
        <v/>
      </c>
      <c r="Q247" s="9">
        <f>Mecanismos!B9*(1-G247)</f>
        <v/>
      </c>
      <c r="R247" s="9">
        <f>Mecanismos!B9*(1-J247)</f>
        <v/>
      </c>
      <c r="S247" s="9">
        <f>Mecanismos!B8*H247</f>
        <v/>
      </c>
      <c r="T247" s="9">
        <f>Mecanismos!B10*H247</f>
        <v/>
      </c>
      <c r="U247" s="9">
        <f>Mecanismos!B8*K247</f>
        <v/>
      </c>
      <c r="V247" s="9">
        <f>Mecanismos!B3*D247</f>
        <v/>
      </c>
      <c r="W247" s="9">
        <f>Parametros!B2+Parametros!B4*(S247+T247+U247+V247)-Parametros!B3*(L247+M247+N247+O247+P247+Q247+R247)</f>
        <v/>
      </c>
      <c r="X247" s="10">
        <f>1/(1+EXP(-W247))</f>
        <v/>
      </c>
      <c r="Y247" s="11">
        <f>IF(Parametros!B6=1,0.15+0.85*(1/(1+EXP(-8*((1-N247)-0.45)))),1)</f>
        <v/>
      </c>
      <c r="Z247" s="11">
        <f>IF(Parametros!B7=1,MAX(0.05,1-L247^1.6),1)</f>
        <v/>
      </c>
      <c r="AA247" s="11">
        <f>IF(Parametros!B8=1,0.2+0.8*(1/(1+EXP(-9*(S247-0.25)))),1)</f>
        <v/>
      </c>
      <c r="AB247" s="10">
        <f>X247*Y247*Z247*AA247</f>
        <v/>
      </c>
    </row>
    <row r="248">
      <c r="A248" t="inlineStr">
        <is>
          <t>it5mti</t>
        </is>
      </c>
      <c r="B248" t="inlineStr">
        <is>
          <t>João Vitor Rocha</t>
        </is>
      </c>
      <c r="C248" s="8" t="n">
        <v>0.4478</v>
      </c>
      <c r="D248" s="8" t="n">
        <v>0.4576</v>
      </c>
      <c r="E248" s="8" t="n">
        <v>0.6848</v>
      </c>
      <c r="F248" s="8" t="n">
        <v>0.5502</v>
      </c>
      <c r="G248" s="8" t="n">
        <v>0.5981</v>
      </c>
      <c r="H248" s="8" t="n">
        <v>0.7</v>
      </c>
      <c r="I248" s="8" t="n">
        <v>0.4642</v>
      </c>
      <c r="J248" s="8" t="n">
        <v>0.77</v>
      </c>
      <c r="K248" s="8" t="n">
        <v>0.5196</v>
      </c>
      <c r="L248" s="9">
        <f>1-(1-Mecanismos!B2)*(1-C248)</f>
        <v/>
      </c>
      <c r="M248" s="9">
        <f>Mecanismos!B7*D248</f>
        <v/>
      </c>
      <c r="N248" s="9">
        <f>Mecanismos!B4*(1-E248)</f>
        <v/>
      </c>
      <c r="O248" s="9">
        <f>Mecanismos!B5*(1-F248)</f>
        <v/>
      </c>
      <c r="P248" s="9">
        <f>Mecanismos!B6*(1-I248)</f>
        <v/>
      </c>
      <c r="Q248" s="9">
        <f>Mecanismos!B9*(1-G248)</f>
        <v/>
      </c>
      <c r="R248" s="9">
        <f>Mecanismos!B9*(1-J248)</f>
        <v/>
      </c>
      <c r="S248" s="9">
        <f>Mecanismos!B8*H248</f>
        <v/>
      </c>
      <c r="T248" s="9">
        <f>Mecanismos!B10*H248</f>
        <v/>
      </c>
      <c r="U248" s="9">
        <f>Mecanismos!B8*K248</f>
        <v/>
      </c>
      <c r="V248" s="9">
        <f>Mecanismos!B3*D248</f>
        <v/>
      </c>
      <c r="W248" s="9">
        <f>Parametros!B2+Parametros!B4*(S248+T248+U248+V248)-Parametros!B3*(L248+M248+N248+O248+P248+Q248+R248)</f>
        <v/>
      </c>
      <c r="X248" s="10">
        <f>1/(1+EXP(-W248))</f>
        <v/>
      </c>
      <c r="Y248" s="11">
        <f>IF(Parametros!B6=1,0.15+0.85*(1/(1+EXP(-8*((1-N248)-0.45)))),1)</f>
        <v/>
      </c>
      <c r="Z248" s="11">
        <f>IF(Parametros!B7=1,MAX(0.05,1-L248^1.6),1)</f>
        <v/>
      </c>
      <c r="AA248" s="11">
        <f>IF(Parametros!B8=1,0.2+0.8*(1/(1+EXP(-9*(S248-0.25)))),1)</f>
        <v/>
      </c>
      <c r="AB248" s="10">
        <f>X248*Y248*Z248*AA248</f>
        <v/>
      </c>
    </row>
    <row r="249">
      <c r="A249" t="inlineStr">
        <is>
          <t>stvmyz</t>
        </is>
      </c>
      <c r="B249" t="inlineStr">
        <is>
          <t>João Vitor Santos</t>
        </is>
      </c>
      <c r="C249" s="8" t="n">
        <v>0.6785</v>
      </c>
      <c r="D249" s="8" t="n">
        <v>0.6907</v>
      </c>
      <c r="E249" s="8" t="n">
        <v>0.7291</v>
      </c>
      <c r="F249" s="8" t="n">
        <v>0.3781</v>
      </c>
      <c r="G249" s="8" t="n">
        <v>0.2464</v>
      </c>
      <c r="H249" s="8" t="n">
        <v>0.5666</v>
      </c>
      <c r="I249" s="8" t="n">
        <v>0.4909</v>
      </c>
      <c r="J249" s="8" t="n">
        <v>0.9675</v>
      </c>
      <c r="K249" s="8" t="n">
        <v>0.3582</v>
      </c>
      <c r="L249" s="9">
        <f>1-(1-Mecanismos!B2)*(1-C249)</f>
        <v/>
      </c>
      <c r="M249" s="9">
        <f>Mecanismos!B7*D249</f>
        <v/>
      </c>
      <c r="N249" s="9">
        <f>Mecanismos!B4*(1-E249)</f>
        <v/>
      </c>
      <c r="O249" s="9">
        <f>Mecanismos!B5*(1-F249)</f>
        <v/>
      </c>
      <c r="P249" s="9">
        <f>Mecanismos!B6*(1-I249)</f>
        <v/>
      </c>
      <c r="Q249" s="9">
        <f>Mecanismos!B9*(1-G249)</f>
        <v/>
      </c>
      <c r="R249" s="9">
        <f>Mecanismos!B9*(1-J249)</f>
        <v/>
      </c>
      <c r="S249" s="9">
        <f>Mecanismos!B8*H249</f>
        <v/>
      </c>
      <c r="T249" s="9">
        <f>Mecanismos!B10*H249</f>
        <v/>
      </c>
      <c r="U249" s="9">
        <f>Mecanismos!B8*K249</f>
        <v/>
      </c>
      <c r="V249" s="9">
        <f>Mecanismos!B3*D249</f>
        <v/>
      </c>
      <c r="W249" s="9">
        <f>Parametros!B2+Parametros!B4*(S249+T249+U249+V249)-Parametros!B3*(L249+M249+N249+O249+P249+Q249+R249)</f>
        <v/>
      </c>
      <c r="X249" s="10">
        <f>1/(1+EXP(-W249))</f>
        <v/>
      </c>
      <c r="Y249" s="11">
        <f>IF(Parametros!B6=1,0.15+0.85*(1/(1+EXP(-8*((1-N249)-0.45)))),1)</f>
        <v/>
      </c>
      <c r="Z249" s="11">
        <f>IF(Parametros!B7=1,MAX(0.05,1-L249^1.6),1)</f>
        <v/>
      </c>
      <c r="AA249" s="11">
        <f>IF(Parametros!B8=1,0.2+0.8*(1/(1+EXP(-9*(S249-0.25)))),1)</f>
        <v/>
      </c>
      <c r="AB249" s="10">
        <f>X249*Y249*Z249*AA249</f>
        <v/>
      </c>
    </row>
    <row r="250">
      <c r="A250" t="inlineStr">
        <is>
          <t>iuagmq</t>
        </is>
      </c>
      <c r="B250" t="inlineStr">
        <is>
          <t>Julia Castro</t>
        </is>
      </c>
      <c r="C250" s="8" t="n">
        <v>0.5989</v>
      </c>
      <c r="D250" s="8" t="n">
        <v>0.3309</v>
      </c>
      <c r="E250" s="8" t="n">
        <v>0.6555</v>
      </c>
      <c r="F250" s="8" t="n">
        <v>0.4469</v>
      </c>
      <c r="G250" s="8" t="n">
        <v>0.5038</v>
      </c>
      <c r="H250" s="8" t="n">
        <v>0.5183</v>
      </c>
      <c r="I250" s="8" t="n">
        <v>0.1637</v>
      </c>
      <c r="J250" s="8" t="n">
        <v>0.8873</v>
      </c>
      <c r="K250" s="8" t="n">
        <v>0.5826</v>
      </c>
      <c r="L250" s="9">
        <f>1-(1-Mecanismos!B2)*(1-C250)</f>
        <v/>
      </c>
      <c r="M250" s="9">
        <f>Mecanismos!B7*D250</f>
        <v/>
      </c>
      <c r="N250" s="9">
        <f>Mecanismos!B4*(1-E250)</f>
        <v/>
      </c>
      <c r="O250" s="9">
        <f>Mecanismos!B5*(1-F250)</f>
        <v/>
      </c>
      <c r="P250" s="9">
        <f>Mecanismos!B6*(1-I250)</f>
        <v/>
      </c>
      <c r="Q250" s="9">
        <f>Mecanismos!B9*(1-G250)</f>
        <v/>
      </c>
      <c r="R250" s="9">
        <f>Mecanismos!B9*(1-J250)</f>
        <v/>
      </c>
      <c r="S250" s="9">
        <f>Mecanismos!B8*H250</f>
        <v/>
      </c>
      <c r="T250" s="9">
        <f>Mecanismos!B10*H250</f>
        <v/>
      </c>
      <c r="U250" s="9">
        <f>Mecanismos!B8*K250</f>
        <v/>
      </c>
      <c r="V250" s="9">
        <f>Mecanismos!B3*D250</f>
        <v/>
      </c>
      <c r="W250" s="9">
        <f>Parametros!B2+Parametros!B4*(S250+T250+U250+V250)-Parametros!B3*(L250+M250+N250+O250+P250+Q250+R250)</f>
        <v/>
      </c>
      <c r="X250" s="10">
        <f>1/(1+EXP(-W250))</f>
        <v/>
      </c>
      <c r="Y250" s="11">
        <f>IF(Parametros!B6=1,0.15+0.85*(1/(1+EXP(-8*((1-N250)-0.45)))),1)</f>
        <v/>
      </c>
      <c r="Z250" s="11">
        <f>IF(Parametros!B7=1,MAX(0.05,1-L250^1.6),1)</f>
        <v/>
      </c>
      <c r="AA250" s="11">
        <f>IF(Parametros!B8=1,0.2+0.8*(1/(1+EXP(-9*(S250-0.25)))),1)</f>
        <v/>
      </c>
      <c r="AB250" s="10">
        <f>X250*Y250*Z250*AA250</f>
        <v/>
      </c>
    </row>
    <row r="251">
      <c r="A251" t="inlineStr">
        <is>
          <t>vp2x63</t>
        </is>
      </c>
      <c r="B251" t="inlineStr">
        <is>
          <t>Julia Câmara</t>
        </is>
      </c>
      <c r="C251" s="8" t="n">
        <v>0.522</v>
      </c>
      <c r="D251" s="8" t="n">
        <v>0.4156</v>
      </c>
      <c r="E251" s="8" t="n">
        <v>0.5946</v>
      </c>
      <c r="F251" s="8" t="n">
        <v>0.586</v>
      </c>
      <c r="G251" s="8" t="n">
        <v>0.5948</v>
      </c>
      <c r="H251" s="8" t="n">
        <v>0.6155</v>
      </c>
      <c r="I251" s="8" t="n">
        <v>0.4324</v>
      </c>
      <c r="J251" s="8" t="n">
        <v>0.7956</v>
      </c>
      <c r="K251" s="8" t="n">
        <v>0.7381</v>
      </c>
      <c r="L251" s="9">
        <f>1-(1-Mecanismos!B2)*(1-C251)</f>
        <v/>
      </c>
      <c r="M251" s="9">
        <f>Mecanismos!B7*D251</f>
        <v/>
      </c>
      <c r="N251" s="9">
        <f>Mecanismos!B4*(1-E251)</f>
        <v/>
      </c>
      <c r="O251" s="9">
        <f>Mecanismos!B5*(1-F251)</f>
        <v/>
      </c>
      <c r="P251" s="9">
        <f>Mecanismos!B6*(1-I251)</f>
        <v/>
      </c>
      <c r="Q251" s="9">
        <f>Mecanismos!B9*(1-G251)</f>
        <v/>
      </c>
      <c r="R251" s="9">
        <f>Mecanismos!B9*(1-J251)</f>
        <v/>
      </c>
      <c r="S251" s="9">
        <f>Mecanismos!B8*H251</f>
        <v/>
      </c>
      <c r="T251" s="9">
        <f>Mecanismos!B10*H251</f>
        <v/>
      </c>
      <c r="U251" s="9">
        <f>Mecanismos!B8*K251</f>
        <v/>
      </c>
      <c r="V251" s="9">
        <f>Mecanismos!B3*D251</f>
        <v/>
      </c>
      <c r="W251" s="9">
        <f>Parametros!B2+Parametros!B4*(S251+T251+U251+V251)-Parametros!B3*(L251+M251+N251+O251+P251+Q251+R251)</f>
        <v/>
      </c>
      <c r="X251" s="10">
        <f>1/(1+EXP(-W251))</f>
        <v/>
      </c>
      <c r="Y251" s="11">
        <f>IF(Parametros!B6=1,0.15+0.85*(1/(1+EXP(-8*((1-N251)-0.45)))),1)</f>
        <v/>
      </c>
      <c r="Z251" s="11">
        <f>IF(Parametros!B7=1,MAX(0.05,1-L251^1.6),1)</f>
        <v/>
      </c>
      <c r="AA251" s="11">
        <f>IF(Parametros!B8=1,0.2+0.8*(1/(1+EXP(-9*(S251-0.25)))),1)</f>
        <v/>
      </c>
      <c r="AB251" s="10">
        <f>X251*Y251*Z251*AA251</f>
        <v/>
      </c>
    </row>
    <row r="252">
      <c r="A252" t="inlineStr">
        <is>
          <t>wbrklc</t>
        </is>
      </c>
      <c r="B252" t="inlineStr">
        <is>
          <t>Julia Ferreira</t>
        </is>
      </c>
      <c r="C252" s="8" t="n">
        <v>0.6225000000000001</v>
      </c>
      <c r="D252" s="8" t="n">
        <v>0.4256</v>
      </c>
      <c r="E252" s="8" t="n">
        <v>0.3938</v>
      </c>
      <c r="F252" s="8" t="n">
        <v>0.5929</v>
      </c>
      <c r="G252" s="8" t="n">
        <v>0.376</v>
      </c>
      <c r="H252" s="8" t="n">
        <v>0.5522</v>
      </c>
      <c r="I252" s="8" t="n">
        <v>0.4237</v>
      </c>
      <c r="J252" s="8" t="n">
        <v>0.5283</v>
      </c>
      <c r="K252" s="8" t="n">
        <v>0.6746</v>
      </c>
      <c r="L252" s="9">
        <f>1-(1-Mecanismos!B2)*(1-C252)</f>
        <v/>
      </c>
      <c r="M252" s="9">
        <f>Mecanismos!B7*D252</f>
        <v/>
      </c>
      <c r="N252" s="9">
        <f>Mecanismos!B4*(1-E252)</f>
        <v/>
      </c>
      <c r="O252" s="9">
        <f>Mecanismos!B5*(1-F252)</f>
        <v/>
      </c>
      <c r="P252" s="9">
        <f>Mecanismos!B6*(1-I252)</f>
        <v/>
      </c>
      <c r="Q252" s="9">
        <f>Mecanismos!B9*(1-G252)</f>
        <v/>
      </c>
      <c r="R252" s="9">
        <f>Mecanismos!B9*(1-J252)</f>
        <v/>
      </c>
      <c r="S252" s="9">
        <f>Mecanismos!B8*H252</f>
        <v/>
      </c>
      <c r="T252" s="9">
        <f>Mecanismos!B10*H252</f>
        <v/>
      </c>
      <c r="U252" s="9">
        <f>Mecanismos!B8*K252</f>
        <v/>
      </c>
      <c r="V252" s="9">
        <f>Mecanismos!B3*D252</f>
        <v/>
      </c>
      <c r="W252" s="9">
        <f>Parametros!B2+Parametros!B4*(S252+T252+U252+V252)-Parametros!B3*(L252+M252+N252+O252+P252+Q252+R252)</f>
        <v/>
      </c>
      <c r="X252" s="10">
        <f>1/(1+EXP(-W252))</f>
        <v/>
      </c>
      <c r="Y252" s="11">
        <f>IF(Parametros!B6=1,0.15+0.85*(1/(1+EXP(-8*((1-N252)-0.45)))),1)</f>
        <v/>
      </c>
      <c r="Z252" s="11">
        <f>IF(Parametros!B7=1,MAX(0.05,1-L252^1.6),1)</f>
        <v/>
      </c>
      <c r="AA252" s="11">
        <f>IF(Parametros!B8=1,0.2+0.8*(1/(1+EXP(-9*(S252-0.25)))),1)</f>
        <v/>
      </c>
      <c r="AB252" s="10">
        <f>X252*Y252*Z252*AA252</f>
        <v/>
      </c>
    </row>
    <row r="253">
      <c r="A253" t="inlineStr">
        <is>
          <t>3pib3e</t>
        </is>
      </c>
      <c r="B253" t="inlineStr">
        <is>
          <t>Juliana Andrade</t>
        </is>
      </c>
      <c r="C253" s="8" t="n">
        <v>0.7524999999999999</v>
      </c>
      <c r="D253" s="8" t="n">
        <v>0.6669</v>
      </c>
      <c r="E253" s="8" t="n">
        <v>0.591</v>
      </c>
      <c r="F253" s="8" t="n">
        <v>0.7094</v>
      </c>
      <c r="G253" s="8" t="n">
        <v>0.6051</v>
      </c>
      <c r="H253" s="8" t="n">
        <v>0.604</v>
      </c>
      <c r="I253" s="8" t="n">
        <v>0.6598000000000001</v>
      </c>
      <c r="J253" s="8" t="n">
        <v>0.9258</v>
      </c>
      <c r="K253" s="8" t="n">
        <v>0.3744</v>
      </c>
      <c r="L253" s="9">
        <f>1-(1-Mecanismos!B2)*(1-C253)</f>
        <v/>
      </c>
      <c r="M253" s="9">
        <f>Mecanismos!B7*D253</f>
        <v/>
      </c>
      <c r="N253" s="9">
        <f>Mecanismos!B4*(1-E253)</f>
        <v/>
      </c>
      <c r="O253" s="9">
        <f>Mecanismos!B5*(1-F253)</f>
        <v/>
      </c>
      <c r="P253" s="9">
        <f>Mecanismos!B6*(1-I253)</f>
        <v/>
      </c>
      <c r="Q253" s="9">
        <f>Mecanismos!B9*(1-G253)</f>
        <v/>
      </c>
      <c r="R253" s="9">
        <f>Mecanismos!B9*(1-J253)</f>
        <v/>
      </c>
      <c r="S253" s="9">
        <f>Mecanismos!B8*H253</f>
        <v/>
      </c>
      <c r="T253" s="9">
        <f>Mecanismos!B10*H253</f>
        <v/>
      </c>
      <c r="U253" s="9">
        <f>Mecanismos!B8*K253</f>
        <v/>
      </c>
      <c r="V253" s="9">
        <f>Mecanismos!B3*D253</f>
        <v/>
      </c>
      <c r="W253" s="9">
        <f>Parametros!B2+Parametros!B4*(S253+T253+U253+V253)-Parametros!B3*(L253+M253+N253+O253+P253+Q253+R253)</f>
        <v/>
      </c>
      <c r="X253" s="10">
        <f>1/(1+EXP(-W253))</f>
        <v/>
      </c>
      <c r="Y253" s="11">
        <f>IF(Parametros!B6=1,0.15+0.85*(1/(1+EXP(-8*((1-N253)-0.45)))),1)</f>
        <v/>
      </c>
      <c r="Z253" s="11">
        <f>IF(Parametros!B7=1,MAX(0.05,1-L253^1.6),1)</f>
        <v/>
      </c>
      <c r="AA253" s="11">
        <f>IF(Parametros!B8=1,0.2+0.8*(1/(1+EXP(-9*(S253-0.25)))),1)</f>
        <v/>
      </c>
      <c r="AB253" s="10">
        <f>X253*Y253*Z253*AA253</f>
        <v/>
      </c>
    </row>
    <row r="254">
      <c r="A254" t="inlineStr">
        <is>
          <t>tvytuy</t>
        </is>
      </c>
      <c r="B254" t="inlineStr">
        <is>
          <t>Juliana Cassiano</t>
        </is>
      </c>
      <c r="C254" s="8" t="n">
        <v>0.7609</v>
      </c>
      <c r="D254" s="8" t="n">
        <v>0.7507</v>
      </c>
      <c r="E254" s="8" t="n">
        <v>0.6646</v>
      </c>
      <c r="F254" s="8" t="n">
        <v>0.6421</v>
      </c>
      <c r="G254" s="8" t="n">
        <v>0.4461</v>
      </c>
      <c r="H254" s="8" t="n">
        <v>0.5574</v>
      </c>
      <c r="I254" s="8" t="n">
        <v>0.1465</v>
      </c>
      <c r="J254" s="8" t="n">
        <v>0.5315</v>
      </c>
      <c r="K254" s="8" t="n">
        <v>0.3932</v>
      </c>
      <c r="L254" s="9">
        <f>1-(1-Mecanismos!B2)*(1-C254)</f>
        <v/>
      </c>
      <c r="M254" s="9">
        <f>Mecanismos!B7*D254</f>
        <v/>
      </c>
      <c r="N254" s="9">
        <f>Mecanismos!B4*(1-E254)</f>
        <v/>
      </c>
      <c r="O254" s="9">
        <f>Mecanismos!B5*(1-F254)</f>
        <v/>
      </c>
      <c r="P254" s="9">
        <f>Mecanismos!B6*(1-I254)</f>
        <v/>
      </c>
      <c r="Q254" s="9">
        <f>Mecanismos!B9*(1-G254)</f>
        <v/>
      </c>
      <c r="R254" s="9">
        <f>Mecanismos!B9*(1-J254)</f>
        <v/>
      </c>
      <c r="S254" s="9">
        <f>Mecanismos!B8*H254</f>
        <v/>
      </c>
      <c r="T254" s="9">
        <f>Mecanismos!B10*H254</f>
        <v/>
      </c>
      <c r="U254" s="9">
        <f>Mecanismos!B8*K254</f>
        <v/>
      </c>
      <c r="V254" s="9">
        <f>Mecanismos!B3*D254</f>
        <v/>
      </c>
      <c r="W254" s="9">
        <f>Parametros!B2+Parametros!B4*(S254+T254+U254+V254)-Parametros!B3*(L254+M254+N254+O254+P254+Q254+R254)</f>
        <v/>
      </c>
      <c r="X254" s="10">
        <f>1/(1+EXP(-W254))</f>
        <v/>
      </c>
      <c r="Y254" s="11">
        <f>IF(Parametros!B6=1,0.15+0.85*(1/(1+EXP(-8*((1-N254)-0.45)))),1)</f>
        <v/>
      </c>
      <c r="Z254" s="11">
        <f>IF(Parametros!B7=1,MAX(0.05,1-L254^1.6),1)</f>
        <v/>
      </c>
      <c r="AA254" s="11">
        <f>IF(Parametros!B8=1,0.2+0.8*(1/(1+EXP(-9*(S254-0.25)))),1)</f>
        <v/>
      </c>
      <c r="AB254" s="10">
        <f>X254*Y254*Z254*AA254</f>
        <v/>
      </c>
    </row>
    <row r="255">
      <c r="A255" t="inlineStr">
        <is>
          <t>uj1z37</t>
        </is>
      </c>
      <c r="B255" t="inlineStr">
        <is>
          <t>Juliana Duarte</t>
        </is>
      </c>
      <c r="C255" s="8" t="n">
        <v>0.5165999999999999</v>
      </c>
      <c r="D255" s="8" t="n">
        <v>0.413</v>
      </c>
      <c r="E255" s="8" t="n">
        <v>0.3266</v>
      </c>
      <c r="F255" s="8" t="n">
        <v>0.5363</v>
      </c>
      <c r="G255" s="8" t="n">
        <v>0.5604</v>
      </c>
      <c r="H255" s="8" t="n">
        <v>0.4455</v>
      </c>
      <c r="I255" s="8" t="n">
        <v>0.7506</v>
      </c>
      <c r="J255" s="8" t="n">
        <v>0.8483000000000001</v>
      </c>
      <c r="K255" s="8" t="n">
        <v>0.6169</v>
      </c>
      <c r="L255" s="9">
        <f>1-(1-Mecanismos!B2)*(1-C255)</f>
        <v/>
      </c>
      <c r="M255" s="9">
        <f>Mecanismos!B7*D255</f>
        <v/>
      </c>
      <c r="N255" s="9">
        <f>Mecanismos!B4*(1-E255)</f>
        <v/>
      </c>
      <c r="O255" s="9">
        <f>Mecanismos!B5*(1-F255)</f>
        <v/>
      </c>
      <c r="P255" s="9">
        <f>Mecanismos!B6*(1-I255)</f>
        <v/>
      </c>
      <c r="Q255" s="9">
        <f>Mecanismos!B9*(1-G255)</f>
        <v/>
      </c>
      <c r="R255" s="9">
        <f>Mecanismos!B9*(1-J255)</f>
        <v/>
      </c>
      <c r="S255" s="9">
        <f>Mecanismos!B8*H255</f>
        <v/>
      </c>
      <c r="T255" s="9">
        <f>Mecanismos!B10*H255</f>
        <v/>
      </c>
      <c r="U255" s="9">
        <f>Mecanismos!B8*K255</f>
        <v/>
      </c>
      <c r="V255" s="9">
        <f>Mecanismos!B3*D255</f>
        <v/>
      </c>
      <c r="W255" s="9">
        <f>Parametros!B2+Parametros!B4*(S255+T255+U255+V255)-Parametros!B3*(L255+M255+N255+O255+P255+Q255+R255)</f>
        <v/>
      </c>
      <c r="X255" s="10">
        <f>1/(1+EXP(-W255))</f>
        <v/>
      </c>
      <c r="Y255" s="11">
        <f>IF(Parametros!B6=1,0.15+0.85*(1/(1+EXP(-8*((1-N255)-0.45)))),1)</f>
        <v/>
      </c>
      <c r="Z255" s="11">
        <f>IF(Parametros!B7=1,MAX(0.05,1-L255^1.6),1)</f>
        <v/>
      </c>
      <c r="AA255" s="11">
        <f>IF(Parametros!B8=1,0.2+0.8*(1/(1+EXP(-9*(S255-0.25)))),1)</f>
        <v/>
      </c>
      <c r="AB255" s="10">
        <f>X255*Y255*Z255*AA255</f>
        <v/>
      </c>
    </row>
    <row r="256">
      <c r="A256" t="inlineStr">
        <is>
          <t>mo2wzg</t>
        </is>
      </c>
      <c r="B256" t="inlineStr">
        <is>
          <t>Juliana Lima</t>
        </is>
      </c>
      <c r="C256" s="8" t="n">
        <v>0.7772</v>
      </c>
      <c r="D256" s="8" t="n">
        <v>0.4655</v>
      </c>
      <c r="E256" s="8" t="n">
        <v>0.4749</v>
      </c>
      <c r="F256" s="8" t="n">
        <v>0.6723</v>
      </c>
      <c r="G256" s="8" t="n">
        <v>0.5144</v>
      </c>
      <c r="H256" s="8" t="n">
        <v>0.527</v>
      </c>
      <c r="I256" s="8" t="n">
        <v>0.4951</v>
      </c>
      <c r="J256" s="8" t="n">
        <v>0.8163</v>
      </c>
      <c r="K256" s="8" t="n">
        <v>0.6119</v>
      </c>
      <c r="L256" s="9">
        <f>1-(1-Mecanismos!B2)*(1-C256)</f>
        <v/>
      </c>
      <c r="M256" s="9">
        <f>Mecanismos!B7*D256</f>
        <v/>
      </c>
      <c r="N256" s="9">
        <f>Mecanismos!B4*(1-E256)</f>
        <v/>
      </c>
      <c r="O256" s="9">
        <f>Mecanismos!B5*(1-F256)</f>
        <v/>
      </c>
      <c r="P256" s="9">
        <f>Mecanismos!B6*(1-I256)</f>
        <v/>
      </c>
      <c r="Q256" s="9">
        <f>Mecanismos!B9*(1-G256)</f>
        <v/>
      </c>
      <c r="R256" s="9">
        <f>Mecanismos!B9*(1-J256)</f>
        <v/>
      </c>
      <c r="S256" s="9">
        <f>Mecanismos!B8*H256</f>
        <v/>
      </c>
      <c r="T256" s="9">
        <f>Mecanismos!B10*H256</f>
        <v/>
      </c>
      <c r="U256" s="9">
        <f>Mecanismos!B8*K256</f>
        <v/>
      </c>
      <c r="V256" s="9">
        <f>Mecanismos!B3*D256</f>
        <v/>
      </c>
      <c r="W256" s="9">
        <f>Parametros!B2+Parametros!B4*(S256+T256+U256+V256)-Parametros!B3*(L256+M256+N256+O256+P256+Q256+R256)</f>
        <v/>
      </c>
      <c r="X256" s="10">
        <f>1/(1+EXP(-W256))</f>
        <v/>
      </c>
      <c r="Y256" s="11">
        <f>IF(Parametros!B6=1,0.15+0.85*(1/(1+EXP(-8*((1-N256)-0.45)))),1)</f>
        <v/>
      </c>
      <c r="Z256" s="11">
        <f>IF(Parametros!B7=1,MAX(0.05,1-L256^1.6),1)</f>
        <v/>
      </c>
      <c r="AA256" s="11">
        <f>IF(Parametros!B8=1,0.2+0.8*(1/(1+EXP(-9*(S256-0.25)))),1)</f>
        <v/>
      </c>
      <c r="AB256" s="10">
        <f>X256*Y256*Z256*AA256</f>
        <v/>
      </c>
    </row>
    <row r="257">
      <c r="A257" t="inlineStr">
        <is>
          <t>e59unl</t>
        </is>
      </c>
      <c r="B257" t="inlineStr">
        <is>
          <t>Júlia Sá</t>
        </is>
      </c>
      <c r="C257" s="8" t="n">
        <v>0.5822000000000001</v>
      </c>
      <c r="D257" s="8" t="n">
        <v>0.6615</v>
      </c>
      <c r="E257" s="8" t="n">
        <v>0.6224</v>
      </c>
      <c r="F257" s="8" t="n">
        <v>0.5833</v>
      </c>
      <c r="G257" s="8" t="n">
        <v>0.4602</v>
      </c>
      <c r="H257" s="8" t="n">
        <v>0.5216</v>
      </c>
      <c r="I257" s="8" t="n">
        <v>0.753</v>
      </c>
      <c r="J257" s="8" t="n">
        <v>0.8371</v>
      </c>
      <c r="K257" s="8" t="n">
        <v>0.5211</v>
      </c>
      <c r="L257" s="9">
        <f>1-(1-Mecanismos!B2)*(1-C257)</f>
        <v/>
      </c>
      <c r="M257" s="9">
        <f>Mecanismos!B7*D257</f>
        <v/>
      </c>
      <c r="N257" s="9">
        <f>Mecanismos!B4*(1-E257)</f>
        <v/>
      </c>
      <c r="O257" s="9">
        <f>Mecanismos!B5*(1-F257)</f>
        <v/>
      </c>
      <c r="P257" s="9">
        <f>Mecanismos!B6*(1-I257)</f>
        <v/>
      </c>
      <c r="Q257" s="9">
        <f>Mecanismos!B9*(1-G257)</f>
        <v/>
      </c>
      <c r="R257" s="9">
        <f>Mecanismos!B9*(1-J257)</f>
        <v/>
      </c>
      <c r="S257" s="9">
        <f>Mecanismos!B8*H257</f>
        <v/>
      </c>
      <c r="T257" s="9">
        <f>Mecanismos!B10*H257</f>
        <v/>
      </c>
      <c r="U257" s="9">
        <f>Mecanismos!B8*K257</f>
        <v/>
      </c>
      <c r="V257" s="9">
        <f>Mecanismos!B3*D257</f>
        <v/>
      </c>
      <c r="W257" s="9">
        <f>Parametros!B2+Parametros!B4*(S257+T257+U257+V257)-Parametros!B3*(L257+M257+N257+O257+P257+Q257+R257)</f>
        <v/>
      </c>
      <c r="X257" s="10">
        <f>1/(1+EXP(-W257))</f>
        <v/>
      </c>
      <c r="Y257" s="11">
        <f>IF(Parametros!B6=1,0.15+0.85*(1/(1+EXP(-8*((1-N257)-0.45)))),1)</f>
        <v/>
      </c>
      <c r="Z257" s="11">
        <f>IF(Parametros!B7=1,MAX(0.05,1-L257^1.6),1)</f>
        <v/>
      </c>
      <c r="AA257" s="11">
        <f>IF(Parametros!B8=1,0.2+0.8*(1/(1+EXP(-9*(S257-0.25)))),1)</f>
        <v/>
      </c>
      <c r="AB257" s="10">
        <f>X257*Y257*Z257*AA257</f>
        <v/>
      </c>
    </row>
    <row r="258">
      <c r="A258" t="inlineStr">
        <is>
          <t>52089u</t>
        </is>
      </c>
      <c r="B258" t="inlineStr">
        <is>
          <t>Kaique Cirino</t>
        </is>
      </c>
      <c r="C258" s="8" t="n">
        <v>0.4016</v>
      </c>
      <c r="D258" s="8" t="n">
        <v>0.5153</v>
      </c>
      <c r="E258" s="8" t="n">
        <v>0.5750999999999999</v>
      </c>
      <c r="F258" s="8" t="n">
        <v>0.7092000000000001</v>
      </c>
      <c r="G258" s="8" t="n">
        <v>0.2823</v>
      </c>
      <c r="H258" s="8" t="n">
        <v>0.8673</v>
      </c>
      <c r="I258" s="8" t="n">
        <v>0.3692</v>
      </c>
      <c r="J258" s="8" t="n">
        <v>0.8955</v>
      </c>
      <c r="K258" s="8" t="n">
        <v>0.7433999999999999</v>
      </c>
      <c r="L258" s="9">
        <f>1-(1-Mecanismos!B2)*(1-C258)</f>
        <v/>
      </c>
      <c r="M258" s="9">
        <f>Mecanismos!B7*D258</f>
        <v/>
      </c>
      <c r="N258" s="9">
        <f>Mecanismos!B4*(1-E258)</f>
        <v/>
      </c>
      <c r="O258" s="9">
        <f>Mecanismos!B5*(1-F258)</f>
        <v/>
      </c>
      <c r="P258" s="9">
        <f>Mecanismos!B6*(1-I258)</f>
        <v/>
      </c>
      <c r="Q258" s="9">
        <f>Mecanismos!B9*(1-G258)</f>
        <v/>
      </c>
      <c r="R258" s="9">
        <f>Mecanismos!B9*(1-J258)</f>
        <v/>
      </c>
      <c r="S258" s="9">
        <f>Mecanismos!B8*H258</f>
        <v/>
      </c>
      <c r="T258" s="9">
        <f>Mecanismos!B10*H258</f>
        <v/>
      </c>
      <c r="U258" s="9">
        <f>Mecanismos!B8*K258</f>
        <v/>
      </c>
      <c r="V258" s="9">
        <f>Mecanismos!B3*D258</f>
        <v/>
      </c>
      <c r="W258" s="9">
        <f>Parametros!B2+Parametros!B4*(S258+T258+U258+V258)-Parametros!B3*(L258+M258+N258+O258+P258+Q258+R258)</f>
        <v/>
      </c>
      <c r="X258" s="10">
        <f>1/(1+EXP(-W258))</f>
        <v/>
      </c>
      <c r="Y258" s="11">
        <f>IF(Parametros!B6=1,0.15+0.85*(1/(1+EXP(-8*((1-N258)-0.45)))),1)</f>
        <v/>
      </c>
      <c r="Z258" s="11">
        <f>IF(Parametros!B7=1,MAX(0.05,1-L258^1.6),1)</f>
        <v/>
      </c>
      <c r="AA258" s="11">
        <f>IF(Parametros!B8=1,0.2+0.8*(1/(1+EXP(-9*(S258-0.25)))),1)</f>
        <v/>
      </c>
      <c r="AB258" s="10">
        <f>X258*Y258*Z258*AA258</f>
        <v/>
      </c>
    </row>
    <row r="259">
      <c r="A259" t="inlineStr">
        <is>
          <t>nx5z04</t>
        </is>
      </c>
      <c r="B259" t="inlineStr">
        <is>
          <t>Kaique Rezende</t>
        </is>
      </c>
      <c r="C259" s="8" t="n">
        <v>0.5248</v>
      </c>
      <c r="D259" s="8" t="n">
        <v>0.4041</v>
      </c>
      <c r="E259" s="8" t="n">
        <v>0.4968</v>
      </c>
      <c r="F259" s="8" t="n">
        <v>0.5876</v>
      </c>
      <c r="G259" s="8" t="n">
        <v>0.4248</v>
      </c>
      <c r="H259" s="8" t="n">
        <v>0.7039</v>
      </c>
      <c r="I259" s="8" t="n">
        <v>0.6087</v>
      </c>
      <c r="J259" s="8" t="n">
        <v>0.7937</v>
      </c>
      <c r="K259" s="8" t="n">
        <v>0.6454</v>
      </c>
      <c r="L259" s="9">
        <f>1-(1-Mecanismos!B2)*(1-C259)</f>
        <v/>
      </c>
      <c r="M259" s="9">
        <f>Mecanismos!B7*D259</f>
        <v/>
      </c>
      <c r="N259" s="9">
        <f>Mecanismos!B4*(1-E259)</f>
        <v/>
      </c>
      <c r="O259" s="9">
        <f>Mecanismos!B5*(1-F259)</f>
        <v/>
      </c>
      <c r="P259" s="9">
        <f>Mecanismos!B6*(1-I259)</f>
        <v/>
      </c>
      <c r="Q259" s="9">
        <f>Mecanismos!B9*(1-G259)</f>
        <v/>
      </c>
      <c r="R259" s="9">
        <f>Mecanismos!B9*(1-J259)</f>
        <v/>
      </c>
      <c r="S259" s="9">
        <f>Mecanismos!B8*H259</f>
        <v/>
      </c>
      <c r="T259" s="9">
        <f>Mecanismos!B10*H259</f>
        <v/>
      </c>
      <c r="U259" s="9">
        <f>Mecanismos!B8*K259</f>
        <v/>
      </c>
      <c r="V259" s="9">
        <f>Mecanismos!B3*D259</f>
        <v/>
      </c>
      <c r="W259" s="9">
        <f>Parametros!B2+Parametros!B4*(S259+T259+U259+V259)-Parametros!B3*(L259+M259+N259+O259+P259+Q259+R259)</f>
        <v/>
      </c>
      <c r="X259" s="10">
        <f>1/(1+EXP(-W259))</f>
        <v/>
      </c>
      <c r="Y259" s="11">
        <f>IF(Parametros!B6=1,0.15+0.85*(1/(1+EXP(-8*((1-N259)-0.45)))),1)</f>
        <v/>
      </c>
      <c r="Z259" s="11">
        <f>IF(Parametros!B7=1,MAX(0.05,1-L259^1.6),1)</f>
        <v/>
      </c>
      <c r="AA259" s="11">
        <f>IF(Parametros!B8=1,0.2+0.8*(1/(1+EXP(-9*(S259-0.25)))),1)</f>
        <v/>
      </c>
      <c r="AB259" s="10">
        <f>X259*Y259*Z259*AA259</f>
        <v/>
      </c>
    </row>
    <row r="260">
      <c r="A260" t="inlineStr">
        <is>
          <t>4q25n2</t>
        </is>
      </c>
      <c r="B260" t="inlineStr">
        <is>
          <t>Kaique Silveira</t>
        </is>
      </c>
      <c r="C260" s="8" t="n">
        <v>0.4602</v>
      </c>
      <c r="D260" s="8" t="n">
        <v>0.3429</v>
      </c>
      <c r="E260" s="8" t="n">
        <v>0.3762</v>
      </c>
      <c r="F260" s="8" t="n">
        <v>0.4753</v>
      </c>
      <c r="G260" s="8" t="n">
        <v>0.7237</v>
      </c>
      <c r="H260" s="8" t="n">
        <v>0.4295</v>
      </c>
      <c r="I260" s="8" t="n">
        <v>0.7643</v>
      </c>
      <c r="J260" s="8" t="n">
        <v>0.6871</v>
      </c>
      <c r="K260" s="8" t="n">
        <v>0.3123</v>
      </c>
      <c r="L260" s="9">
        <f>1-(1-Mecanismos!B2)*(1-C260)</f>
        <v/>
      </c>
      <c r="M260" s="9">
        <f>Mecanismos!B7*D260</f>
        <v/>
      </c>
      <c r="N260" s="9">
        <f>Mecanismos!B4*(1-E260)</f>
        <v/>
      </c>
      <c r="O260" s="9">
        <f>Mecanismos!B5*(1-F260)</f>
        <v/>
      </c>
      <c r="P260" s="9">
        <f>Mecanismos!B6*(1-I260)</f>
        <v/>
      </c>
      <c r="Q260" s="9">
        <f>Mecanismos!B9*(1-G260)</f>
        <v/>
      </c>
      <c r="R260" s="9">
        <f>Mecanismos!B9*(1-J260)</f>
        <v/>
      </c>
      <c r="S260" s="9">
        <f>Mecanismos!B8*H260</f>
        <v/>
      </c>
      <c r="T260" s="9">
        <f>Mecanismos!B10*H260</f>
        <v/>
      </c>
      <c r="U260" s="9">
        <f>Mecanismos!B8*K260</f>
        <v/>
      </c>
      <c r="V260" s="9">
        <f>Mecanismos!B3*D260</f>
        <v/>
      </c>
      <c r="W260" s="9">
        <f>Parametros!B2+Parametros!B4*(S260+T260+U260+V260)-Parametros!B3*(L260+M260+N260+O260+P260+Q260+R260)</f>
        <v/>
      </c>
      <c r="X260" s="10">
        <f>1/(1+EXP(-W260))</f>
        <v/>
      </c>
      <c r="Y260" s="11">
        <f>IF(Parametros!B6=1,0.15+0.85*(1/(1+EXP(-8*((1-N260)-0.45)))),1)</f>
        <v/>
      </c>
      <c r="Z260" s="11">
        <f>IF(Parametros!B7=1,MAX(0.05,1-L260^1.6),1)</f>
        <v/>
      </c>
      <c r="AA260" s="11">
        <f>IF(Parametros!B8=1,0.2+0.8*(1/(1+EXP(-9*(S260-0.25)))),1)</f>
        <v/>
      </c>
      <c r="AB260" s="10">
        <f>X260*Y260*Z260*AA260</f>
        <v/>
      </c>
    </row>
    <row r="261">
      <c r="A261" t="inlineStr">
        <is>
          <t>l2ydx0</t>
        </is>
      </c>
      <c r="B261" t="inlineStr">
        <is>
          <t>Kaique da Paz</t>
        </is>
      </c>
      <c r="C261" s="8" t="n">
        <v>0.586</v>
      </c>
      <c r="D261" s="8" t="n">
        <v>0.6541</v>
      </c>
      <c r="E261" s="8" t="n">
        <v>0.5604</v>
      </c>
      <c r="F261" s="8" t="n">
        <v>0.3983</v>
      </c>
      <c r="G261" s="8" t="n">
        <v>0.5668</v>
      </c>
      <c r="H261" s="8" t="n">
        <v>0.6428</v>
      </c>
      <c r="I261" s="8" t="n">
        <v>0.4225</v>
      </c>
      <c r="J261" s="8" t="n">
        <v>0.8112</v>
      </c>
      <c r="K261" s="8" t="n">
        <v>0.6429</v>
      </c>
      <c r="L261" s="9">
        <f>1-(1-Mecanismos!B2)*(1-C261)</f>
        <v/>
      </c>
      <c r="M261" s="9">
        <f>Mecanismos!B7*D261</f>
        <v/>
      </c>
      <c r="N261" s="9">
        <f>Mecanismos!B4*(1-E261)</f>
        <v/>
      </c>
      <c r="O261" s="9">
        <f>Mecanismos!B5*(1-F261)</f>
        <v/>
      </c>
      <c r="P261" s="9">
        <f>Mecanismos!B6*(1-I261)</f>
        <v/>
      </c>
      <c r="Q261" s="9">
        <f>Mecanismos!B9*(1-G261)</f>
        <v/>
      </c>
      <c r="R261" s="9">
        <f>Mecanismos!B9*(1-J261)</f>
        <v/>
      </c>
      <c r="S261" s="9">
        <f>Mecanismos!B8*H261</f>
        <v/>
      </c>
      <c r="T261" s="9">
        <f>Mecanismos!B10*H261</f>
        <v/>
      </c>
      <c r="U261" s="9">
        <f>Mecanismos!B8*K261</f>
        <v/>
      </c>
      <c r="V261" s="9">
        <f>Mecanismos!B3*D261</f>
        <v/>
      </c>
      <c r="W261" s="9">
        <f>Parametros!B2+Parametros!B4*(S261+T261+U261+V261)-Parametros!B3*(L261+M261+N261+O261+P261+Q261+R261)</f>
        <v/>
      </c>
      <c r="X261" s="10">
        <f>1/(1+EXP(-W261))</f>
        <v/>
      </c>
      <c r="Y261" s="11">
        <f>IF(Parametros!B6=1,0.15+0.85*(1/(1+EXP(-8*((1-N261)-0.45)))),1)</f>
        <v/>
      </c>
      <c r="Z261" s="11">
        <f>IF(Parametros!B7=1,MAX(0.05,1-L261^1.6),1)</f>
        <v/>
      </c>
      <c r="AA261" s="11">
        <f>IF(Parametros!B8=1,0.2+0.8*(1/(1+EXP(-9*(S261-0.25)))),1)</f>
        <v/>
      </c>
      <c r="AB261" s="10">
        <f>X261*Y261*Z261*AA261</f>
        <v/>
      </c>
    </row>
    <row r="262">
      <c r="A262" t="inlineStr">
        <is>
          <t>n04poa</t>
        </is>
      </c>
      <c r="B262" t="inlineStr">
        <is>
          <t>Kamilly Fernandes</t>
        </is>
      </c>
      <c r="C262" s="8" t="n">
        <v>0.5984</v>
      </c>
      <c r="D262" s="8" t="n">
        <v>0.2391</v>
      </c>
      <c r="E262" s="8" t="n">
        <v>0.6539</v>
      </c>
      <c r="F262" s="8" t="n">
        <v>0.4562</v>
      </c>
      <c r="G262" s="8" t="n">
        <v>0.476</v>
      </c>
      <c r="H262" s="8" t="n">
        <v>0.503</v>
      </c>
      <c r="I262" s="8" t="n">
        <v>0.3439</v>
      </c>
      <c r="J262" s="8" t="n">
        <v>0.7831</v>
      </c>
      <c r="K262" s="8" t="n">
        <v>0.5538999999999999</v>
      </c>
      <c r="L262" s="9">
        <f>1-(1-Mecanismos!B2)*(1-C262)</f>
        <v/>
      </c>
      <c r="M262" s="9">
        <f>Mecanismos!B7*D262</f>
        <v/>
      </c>
      <c r="N262" s="9">
        <f>Mecanismos!B4*(1-E262)</f>
        <v/>
      </c>
      <c r="O262" s="9">
        <f>Mecanismos!B5*(1-F262)</f>
        <v/>
      </c>
      <c r="P262" s="9">
        <f>Mecanismos!B6*(1-I262)</f>
        <v/>
      </c>
      <c r="Q262" s="9">
        <f>Mecanismos!B9*(1-G262)</f>
        <v/>
      </c>
      <c r="R262" s="9">
        <f>Mecanismos!B9*(1-J262)</f>
        <v/>
      </c>
      <c r="S262" s="9">
        <f>Mecanismos!B8*H262</f>
        <v/>
      </c>
      <c r="T262" s="9">
        <f>Mecanismos!B10*H262</f>
        <v/>
      </c>
      <c r="U262" s="9">
        <f>Mecanismos!B8*K262</f>
        <v/>
      </c>
      <c r="V262" s="9">
        <f>Mecanismos!B3*D262</f>
        <v/>
      </c>
      <c r="W262" s="9">
        <f>Parametros!B2+Parametros!B4*(S262+T262+U262+V262)-Parametros!B3*(L262+M262+N262+O262+P262+Q262+R262)</f>
        <v/>
      </c>
      <c r="X262" s="10">
        <f>1/(1+EXP(-W262))</f>
        <v/>
      </c>
      <c r="Y262" s="11">
        <f>IF(Parametros!B6=1,0.15+0.85*(1/(1+EXP(-8*((1-N262)-0.45)))),1)</f>
        <v/>
      </c>
      <c r="Z262" s="11">
        <f>IF(Parametros!B7=1,MAX(0.05,1-L262^1.6),1)</f>
        <v/>
      </c>
      <c r="AA262" s="11">
        <f>IF(Parametros!B8=1,0.2+0.8*(1/(1+EXP(-9*(S262-0.25)))),1)</f>
        <v/>
      </c>
      <c r="AB262" s="10">
        <f>X262*Y262*Z262*AA262</f>
        <v/>
      </c>
    </row>
    <row r="263">
      <c r="A263" t="inlineStr">
        <is>
          <t>s7rqkg</t>
        </is>
      </c>
      <c r="B263" t="inlineStr">
        <is>
          <t>Kamilly Pacheco</t>
        </is>
      </c>
      <c r="C263" s="8" t="n">
        <v>0.7246</v>
      </c>
      <c r="D263" s="8" t="n">
        <v>0.5945</v>
      </c>
      <c r="E263" s="8" t="n">
        <v>0.3197</v>
      </c>
      <c r="F263" s="8" t="n">
        <v>0.4843</v>
      </c>
      <c r="G263" s="8" t="n">
        <v>0.6137</v>
      </c>
      <c r="H263" s="8" t="n">
        <v>0.5921999999999999</v>
      </c>
      <c r="I263" s="8" t="n">
        <v>0.7978</v>
      </c>
      <c r="J263" s="8" t="n">
        <v>0.5647</v>
      </c>
      <c r="K263" s="8" t="n">
        <v>0.4386</v>
      </c>
      <c r="L263" s="9">
        <f>1-(1-Mecanismos!B2)*(1-C263)</f>
        <v/>
      </c>
      <c r="M263" s="9">
        <f>Mecanismos!B7*D263</f>
        <v/>
      </c>
      <c r="N263" s="9">
        <f>Mecanismos!B4*(1-E263)</f>
        <v/>
      </c>
      <c r="O263" s="9">
        <f>Mecanismos!B5*(1-F263)</f>
        <v/>
      </c>
      <c r="P263" s="9">
        <f>Mecanismos!B6*(1-I263)</f>
        <v/>
      </c>
      <c r="Q263" s="9">
        <f>Mecanismos!B9*(1-G263)</f>
        <v/>
      </c>
      <c r="R263" s="9">
        <f>Mecanismos!B9*(1-J263)</f>
        <v/>
      </c>
      <c r="S263" s="9">
        <f>Mecanismos!B8*H263</f>
        <v/>
      </c>
      <c r="T263" s="9">
        <f>Mecanismos!B10*H263</f>
        <v/>
      </c>
      <c r="U263" s="9">
        <f>Mecanismos!B8*K263</f>
        <v/>
      </c>
      <c r="V263" s="9">
        <f>Mecanismos!B3*D263</f>
        <v/>
      </c>
      <c r="W263" s="9">
        <f>Parametros!B2+Parametros!B4*(S263+T263+U263+V263)-Parametros!B3*(L263+M263+N263+O263+P263+Q263+R263)</f>
        <v/>
      </c>
      <c r="X263" s="10">
        <f>1/(1+EXP(-W263))</f>
        <v/>
      </c>
      <c r="Y263" s="11">
        <f>IF(Parametros!B6=1,0.15+0.85*(1/(1+EXP(-8*((1-N263)-0.45)))),1)</f>
        <v/>
      </c>
      <c r="Z263" s="11">
        <f>IF(Parametros!B7=1,MAX(0.05,1-L263^1.6),1)</f>
        <v/>
      </c>
      <c r="AA263" s="11">
        <f>IF(Parametros!B8=1,0.2+0.8*(1/(1+EXP(-9*(S263-0.25)))),1)</f>
        <v/>
      </c>
      <c r="AB263" s="10">
        <f>X263*Y263*Z263*AA263</f>
        <v/>
      </c>
    </row>
    <row r="264">
      <c r="A264" t="inlineStr">
        <is>
          <t>yfphvp</t>
        </is>
      </c>
      <c r="B264" t="inlineStr">
        <is>
          <t>Kamilly Rodrigues</t>
        </is>
      </c>
      <c r="C264" s="8" t="n">
        <v>0.7775</v>
      </c>
      <c r="D264" s="8" t="n">
        <v>0.5835</v>
      </c>
      <c r="E264" s="8" t="n">
        <v>0.2977</v>
      </c>
      <c r="F264" s="8" t="n">
        <v>0.5116000000000001</v>
      </c>
      <c r="G264" s="8" t="n">
        <v>0.5528</v>
      </c>
      <c r="H264" s="8" t="n">
        <v>0.7071</v>
      </c>
      <c r="I264" s="8" t="n">
        <v>0.6569</v>
      </c>
      <c r="J264" s="8" t="n">
        <v>0.8115</v>
      </c>
      <c r="K264" s="8" t="n">
        <v>0.5788</v>
      </c>
      <c r="L264" s="9">
        <f>1-(1-Mecanismos!B2)*(1-C264)</f>
        <v/>
      </c>
      <c r="M264" s="9">
        <f>Mecanismos!B7*D264</f>
        <v/>
      </c>
      <c r="N264" s="9">
        <f>Mecanismos!B4*(1-E264)</f>
        <v/>
      </c>
      <c r="O264" s="9">
        <f>Mecanismos!B5*(1-F264)</f>
        <v/>
      </c>
      <c r="P264" s="9">
        <f>Mecanismos!B6*(1-I264)</f>
        <v/>
      </c>
      <c r="Q264" s="9">
        <f>Mecanismos!B9*(1-G264)</f>
        <v/>
      </c>
      <c r="R264" s="9">
        <f>Mecanismos!B9*(1-J264)</f>
        <v/>
      </c>
      <c r="S264" s="9">
        <f>Mecanismos!B8*H264</f>
        <v/>
      </c>
      <c r="T264" s="9">
        <f>Mecanismos!B10*H264</f>
        <v/>
      </c>
      <c r="U264" s="9">
        <f>Mecanismos!B8*K264</f>
        <v/>
      </c>
      <c r="V264" s="9">
        <f>Mecanismos!B3*D264</f>
        <v/>
      </c>
      <c r="W264" s="9">
        <f>Parametros!B2+Parametros!B4*(S264+T264+U264+V264)-Parametros!B3*(L264+M264+N264+O264+P264+Q264+R264)</f>
        <v/>
      </c>
      <c r="X264" s="10">
        <f>1/(1+EXP(-W264))</f>
        <v/>
      </c>
      <c r="Y264" s="11">
        <f>IF(Parametros!B6=1,0.15+0.85*(1/(1+EXP(-8*((1-N264)-0.45)))),1)</f>
        <v/>
      </c>
      <c r="Z264" s="11">
        <f>IF(Parametros!B7=1,MAX(0.05,1-L264^1.6),1)</f>
        <v/>
      </c>
      <c r="AA264" s="11">
        <f>IF(Parametros!B8=1,0.2+0.8*(1/(1+EXP(-9*(S264-0.25)))),1)</f>
        <v/>
      </c>
      <c r="AB264" s="10">
        <f>X264*Y264*Z264*AA264</f>
        <v/>
      </c>
    </row>
    <row r="265">
      <c r="A265" t="inlineStr">
        <is>
          <t>vvqzz6</t>
        </is>
      </c>
      <c r="B265" t="inlineStr">
        <is>
          <t>Kamilly Silva</t>
        </is>
      </c>
      <c r="C265" s="8" t="n">
        <v>0.5491</v>
      </c>
      <c r="D265" s="8" t="n">
        <v>0.6664</v>
      </c>
      <c r="E265" s="8" t="n">
        <v>0.6491</v>
      </c>
      <c r="F265" s="8" t="n">
        <v>0.5195</v>
      </c>
      <c r="G265" s="8" t="n">
        <v>0.4415</v>
      </c>
      <c r="H265" s="8" t="n">
        <v>0.4286</v>
      </c>
      <c r="I265" s="8" t="n">
        <v>0.7955</v>
      </c>
      <c r="J265" s="8" t="n">
        <v>0.9104</v>
      </c>
      <c r="K265" s="8" t="n">
        <v>0.4071</v>
      </c>
      <c r="L265" s="9">
        <f>1-(1-Mecanismos!B2)*(1-C265)</f>
        <v/>
      </c>
      <c r="M265" s="9">
        <f>Mecanismos!B7*D265</f>
        <v/>
      </c>
      <c r="N265" s="9">
        <f>Mecanismos!B4*(1-E265)</f>
        <v/>
      </c>
      <c r="O265" s="9">
        <f>Mecanismos!B5*(1-F265)</f>
        <v/>
      </c>
      <c r="P265" s="9">
        <f>Mecanismos!B6*(1-I265)</f>
        <v/>
      </c>
      <c r="Q265" s="9">
        <f>Mecanismos!B9*(1-G265)</f>
        <v/>
      </c>
      <c r="R265" s="9">
        <f>Mecanismos!B9*(1-J265)</f>
        <v/>
      </c>
      <c r="S265" s="9">
        <f>Mecanismos!B8*H265</f>
        <v/>
      </c>
      <c r="T265" s="9">
        <f>Mecanismos!B10*H265</f>
        <v/>
      </c>
      <c r="U265" s="9">
        <f>Mecanismos!B8*K265</f>
        <v/>
      </c>
      <c r="V265" s="9">
        <f>Mecanismos!B3*D265</f>
        <v/>
      </c>
      <c r="W265" s="9">
        <f>Parametros!B2+Parametros!B4*(S265+T265+U265+V265)-Parametros!B3*(L265+M265+N265+O265+P265+Q265+R265)</f>
        <v/>
      </c>
      <c r="X265" s="10">
        <f>1/(1+EXP(-W265))</f>
        <v/>
      </c>
      <c r="Y265" s="11">
        <f>IF(Parametros!B6=1,0.15+0.85*(1/(1+EXP(-8*((1-N265)-0.45)))),1)</f>
        <v/>
      </c>
      <c r="Z265" s="11">
        <f>IF(Parametros!B7=1,MAX(0.05,1-L265^1.6),1)</f>
        <v/>
      </c>
      <c r="AA265" s="11">
        <f>IF(Parametros!B8=1,0.2+0.8*(1/(1+EXP(-9*(S265-0.25)))),1)</f>
        <v/>
      </c>
      <c r="AB265" s="10">
        <f>X265*Y265*Z265*AA265</f>
        <v/>
      </c>
    </row>
    <row r="266">
      <c r="A266" t="inlineStr">
        <is>
          <t>kxroj3</t>
        </is>
      </c>
      <c r="B266" t="inlineStr">
        <is>
          <t>Kamilly da Paz</t>
        </is>
      </c>
      <c r="C266" s="8" t="n">
        <v>0.6431</v>
      </c>
      <c r="D266" s="8" t="n">
        <v>0.7014</v>
      </c>
      <c r="E266" s="8" t="n">
        <v>0.6158</v>
      </c>
      <c r="F266" s="8" t="n">
        <v>0.3967</v>
      </c>
      <c r="G266" s="8" t="n">
        <v>0.5790999999999999</v>
      </c>
      <c r="H266" s="8" t="n">
        <v>0.6317</v>
      </c>
      <c r="I266" s="8" t="n">
        <v>0.5049</v>
      </c>
      <c r="J266" s="8" t="n">
        <v>0.9077</v>
      </c>
      <c r="K266" s="8" t="n">
        <v>0.173</v>
      </c>
      <c r="L266" s="9">
        <f>1-(1-Mecanismos!B2)*(1-C266)</f>
        <v/>
      </c>
      <c r="M266" s="9">
        <f>Mecanismos!B7*D266</f>
        <v/>
      </c>
      <c r="N266" s="9">
        <f>Mecanismos!B4*(1-E266)</f>
        <v/>
      </c>
      <c r="O266" s="9">
        <f>Mecanismos!B5*(1-F266)</f>
        <v/>
      </c>
      <c r="P266" s="9">
        <f>Mecanismos!B6*(1-I266)</f>
        <v/>
      </c>
      <c r="Q266" s="9">
        <f>Mecanismos!B9*(1-G266)</f>
        <v/>
      </c>
      <c r="R266" s="9">
        <f>Mecanismos!B9*(1-J266)</f>
        <v/>
      </c>
      <c r="S266" s="9">
        <f>Mecanismos!B8*H266</f>
        <v/>
      </c>
      <c r="T266" s="9">
        <f>Mecanismos!B10*H266</f>
        <v/>
      </c>
      <c r="U266" s="9">
        <f>Mecanismos!B8*K266</f>
        <v/>
      </c>
      <c r="V266" s="9">
        <f>Mecanismos!B3*D266</f>
        <v/>
      </c>
      <c r="W266" s="9">
        <f>Parametros!B2+Parametros!B4*(S266+T266+U266+V266)-Parametros!B3*(L266+M266+N266+O266+P266+Q266+R266)</f>
        <v/>
      </c>
      <c r="X266" s="10">
        <f>1/(1+EXP(-W266))</f>
        <v/>
      </c>
      <c r="Y266" s="11">
        <f>IF(Parametros!B6=1,0.15+0.85*(1/(1+EXP(-8*((1-N266)-0.45)))),1)</f>
        <v/>
      </c>
      <c r="Z266" s="11">
        <f>IF(Parametros!B7=1,MAX(0.05,1-L266^1.6),1)</f>
        <v/>
      </c>
      <c r="AA266" s="11">
        <f>IF(Parametros!B8=1,0.2+0.8*(1/(1+EXP(-9*(S266-0.25)))),1)</f>
        <v/>
      </c>
      <c r="AB266" s="10">
        <f>X266*Y266*Z266*AA266</f>
        <v/>
      </c>
    </row>
    <row r="267">
      <c r="A267" t="inlineStr">
        <is>
          <t>ns8dlz</t>
        </is>
      </c>
      <c r="B267" t="inlineStr">
        <is>
          <t>Kevin Aparecida</t>
        </is>
      </c>
      <c r="C267" s="8" t="n">
        <v>0.4289</v>
      </c>
      <c r="D267" s="8" t="n">
        <v>0.658</v>
      </c>
      <c r="E267" s="8" t="n">
        <v>0.4517</v>
      </c>
      <c r="F267" s="8" t="n">
        <v>0.6749000000000001</v>
      </c>
      <c r="G267" s="8" t="n">
        <v>0.6211</v>
      </c>
      <c r="H267" s="8" t="n">
        <v>0.674</v>
      </c>
      <c r="I267" s="8" t="n">
        <v>0.5886</v>
      </c>
      <c r="J267" s="8" t="n">
        <v>0.2457</v>
      </c>
      <c r="K267" s="8" t="n">
        <v>0.5809</v>
      </c>
      <c r="L267" s="9">
        <f>1-(1-Mecanismos!B2)*(1-C267)</f>
        <v/>
      </c>
      <c r="M267" s="9">
        <f>Mecanismos!B7*D267</f>
        <v/>
      </c>
      <c r="N267" s="9">
        <f>Mecanismos!B4*(1-E267)</f>
        <v/>
      </c>
      <c r="O267" s="9">
        <f>Mecanismos!B5*(1-F267)</f>
        <v/>
      </c>
      <c r="P267" s="9">
        <f>Mecanismos!B6*(1-I267)</f>
        <v/>
      </c>
      <c r="Q267" s="9">
        <f>Mecanismos!B9*(1-G267)</f>
        <v/>
      </c>
      <c r="R267" s="9">
        <f>Mecanismos!B9*(1-J267)</f>
        <v/>
      </c>
      <c r="S267" s="9">
        <f>Mecanismos!B8*H267</f>
        <v/>
      </c>
      <c r="T267" s="9">
        <f>Mecanismos!B10*H267</f>
        <v/>
      </c>
      <c r="U267" s="9">
        <f>Mecanismos!B8*K267</f>
        <v/>
      </c>
      <c r="V267" s="9">
        <f>Mecanismos!B3*D267</f>
        <v/>
      </c>
      <c r="W267" s="9">
        <f>Parametros!B2+Parametros!B4*(S267+T267+U267+V267)-Parametros!B3*(L267+M267+N267+O267+P267+Q267+R267)</f>
        <v/>
      </c>
      <c r="X267" s="10">
        <f>1/(1+EXP(-W267))</f>
        <v/>
      </c>
      <c r="Y267" s="11">
        <f>IF(Parametros!B6=1,0.15+0.85*(1/(1+EXP(-8*((1-N267)-0.45)))),1)</f>
        <v/>
      </c>
      <c r="Z267" s="11">
        <f>IF(Parametros!B7=1,MAX(0.05,1-L267^1.6),1)</f>
        <v/>
      </c>
      <c r="AA267" s="11">
        <f>IF(Parametros!B8=1,0.2+0.8*(1/(1+EXP(-9*(S267-0.25)))),1)</f>
        <v/>
      </c>
      <c r="AB267" s="10">
        <f>X267*Y267*Z267*AA267</f>
        <v/>
      </c>
    </row>
    <row r="268">
      <c r="A268" t="inlineStr">
        <is>
          <t>2sydk4</t>
        </is>
      </c>
      <c r="B268" t="inlineStr">
        <is>
          <t>Kevin Montenegro</t>
        </is>
      </c>
      <c r="C268" s="8" t="n">
        <v>0.7004</v>
      </c>
      <c r="D268" s="8" t="n">
        <v>0.6334</v>
      </c>
      <c r="E268" s="8" t="n">
        <v>0.7077</v>
      </c>
      <c r="F268" s="8" t="n">
        <v>0.2866</v>
      </c>
      <c r="G268" s="8" t="n">
        <v>0.3281</v>
      </c>
      <c r="H268" s="8" t="n">
        <v>0.5562</v>
      </c>
      <c r="I268" s="8" t="n">
        <v>0.1716</v>
      </c>
      <c r="J268" s="8" t="n">
        <v>0.8219</v>
      </c>
      <c r="K268" s="8" t="n">
        <v>0.4955</v>
      </c>
      <c r="L268" s="9">
        <f>1-(1-Mecanismos!B2)*(1-C268)</f>
        <v/>
      </c>
      <c r="M268" s="9">
        <f>Mecanismos!B7*D268</f>
        <v/>
      </c>
      <c r="N268" s="9">
        <f>Mecanismos!B4*(1-E268)</f>
        <v/>
      </c>
      <c r="O268" s="9">
        <f>Mecanismos!B5*(1-F268)</f>
        <v/>
      </c>
      <c r="P268" s="9">
        <f>Mecanismos!B6*(1-I268)</f>
        <v/>
      </c>
      <c r="Q268" s="9">
        <f>Mecanismos!B9*(1-G268)</f>
        <v/>
      </c>
      <c r="R268" s="9">
        <f>Mecanismos!B9*(1-J268)</f>
        <v/>
      </c>
      <c r="S268" s="9">
        <f>Mecanismos!B8*H268</f>
        <v/>
      </c>
      <c r="T268" s="9">
        <f>Mecanismos!B10*H268</f>
        <v/>
      </c>
      <c r="U268" s="9">
        <f>Mecanismos!B8*K268</f>
        <v/>
      </c>
      <c r="V268" s="9">
        <f>Mecanismos!B3*D268</f>
        <v/>
      </c>
      <c r="W268" s="9">
        <f>Parametros!B2+Parametros!B4*(S268+T268+U268+V268)-Parametros!B3*(L268+M268+N268+O268+P268+Q268+R268)</f>
        <v/>
      </c>
      <c r="X268" s="10">
        <f>1/(1+EXP(-W268))</f>
        <v/>
      </c>
      <c r="Y268" s="11">
        <f>IF(Parametros!B6=1,0.15+0.85*(1/(1+EXP(-8*((1-N268)-0.45)))),1)</f>
        <v/>
      </c>
      <c r="Z268" s="11">
        <f>IF(Parametros!B7=1,MAX(0.05,1-L268^1.6),1)</f>
        <v/>
      </c>
      <c r="AA268" s="11">
        <f>IF(Parametros!B8=1,0.2+0.8*(1/(1+EXP(-9*(S268-0.25)))),1)</f>
        <v/>
      </c>
      <c r="AB268" s="10">
        <f>X268*Y268*Z268*AA268</f>
        <v/>
      </c>
    </row>
    <row r="269">
      <c r="A269" t="inlineStr">
        <is>
          <t>xbu3do</t>
        </is>
      </c>
      <c r="B269" t="inlineStr">
        <is>
          <t>Lara Nunes</t>
        </is>
      </c>
      <c r="C269" s="8" t="n">
        <v>0.7368</v>
      </c>
      <c r="D269" s="8" t="n">
        <v>0.5789</v>
      </c>
      <c r="E269" s="8" t="n">
        <v>0.4048</v>
      </c>
      <c r="F269" s="8" t="n">
        <v>0.2736</v>
      </c>
      <c r="G269" s="8" t="n">
        <v>0.2742</v>
      </c>
      <c r="H269" s="8" t="n">
        <v>0.6693</v>
      </c>
      <c r="I269" s="8" t="n">
        <v>0.3173</v>
      </c>
      <c r="J269" s="8" t="n">
        <v>0.6669</v>
      </c>
      <c r="K269" s="8" t="n">
        <v>0.5563</v>
      </c>
      <c r="L269" s="9">
        <f>1-(1-Mecanismos!B2)*(1-C269)</f>
        <v/>
      </c>
      <c r="M269" s="9">
        <f>Mecanismos!B7*D269</f>
        <v/>
      </c>
      <c r="N269" s="9">
        <f>Mecanismos!B4*(1-E269)</f>
        <v/>
      </c>
      <c r="O269" s="9">
        <f>Mecanismos!B5*(1-F269)</f>
        <v/>
      </c>
      <c r="P269" s="9">
        <f>Mecanismos!B6*(1-I269)</f>
        <v/>
      </c>
      <c r="Q269" s="9">
        <f>Mecanismos!B9*(1-G269)</f>
        <v/>
      </c>
      <c r="R269" s="9">
        <f>Mecanismos!B9*(1-J269)</f>
        <v/>
      </c>
      <c r="S269" s="9">
        <f>Mecanismos!B8*H269</f>
        <v/>
      </c>
      <c r="T269" s="9">
        <f>Mecanismos!B10*H269</f>
        <v/>
      </c>
      <c r="U269" s="9">
        <f>Mecanismos!B8*K269</f>
        <v/>
      </c>
      <c r="V269" s="9">
        <f>Mecanismos!B3*D269</f>
        <v/>
      </c>
      <c r="W269" s="9">
        <f>Parametros!B2+Parametros!B4*(S269+T269+U269+V269)-Parametros!B3*(L269+M269+N269+O269+P269+Q269+R269)</f>
        <v/>
      </c>
      <c r="X269" s="10">
        <f>1/(1+EXP(-W269))</f>
        <v/>
      </c>
      <c r="Y269" s="11">
        <f>IF(Parametros!B6=1,0.15+0.85*(1/(1+EXP(-8*((1-N269)-0.45)))),1)</f>
        <v/>
      </c>
      <c r="Z269" s="11">
        <f>IF(Parametros!B7=1,MAX(0.05,1-L269^1.6),1)</f>
        <v/>
      </c>
      <c r="AA269" s="11">
        <f>IF(Parametros!B8=1,0.2+0.8*(1/(1+EXP(-9*(S269-0.25)))),1)</f>
        <v/>
      </c>
      <c r="AB269" s="10">
        <f>X269*Y269*Z269*AA269</f>
        <v/>
      </c>
    </row>
    <row r="270">
      <c r="A270" t="inlineStr">
        <is>
          <t>dry6pa</t>
        </is>
      </c>
      <c r="B270" t="inlineStr">
        <is>
          <t>Larissa Cunha</t>
        </is>
      </c>
      <c r="C270" s="8" t="n">
        <v>0.5183</v>
      </c>
      <c r="D270" s="8" t="n">
        <v>0.4465</v>
      </c>
      <c r="E270" s="8" t="n">
        <v>0.5105</v>
      </c>
      <c r="F270" s="8" t="n">
        <v>0.4583</v>
      </c>
      <c r="G270" s="8" t="n">
        <v>0.4874</v>
      </c>
      <c r="H270" s="8" t="n">
        <v>0.7364000000000001</v>
      </c>
      <c r="I270" s="8" t="n">
        <v>0.4278</v>
      </c>
      <c r="J270" s="8" t="n">
        <v>0.9453</v>
      </c>
      <c r="K270" s="8" t="n">
        <v>0.571</v>
      </c>
      <c r="L270" s="9">
        <f>1-(1-Mecanismos!B2)*(1-C270)</f>
        <v/>
      </c>
      <c r="M270" s="9">
        <f>Mecanismos!B7*D270</f>
        <v/>
      </c>
      <c r="N270" s="9">
        <f>Mecanismos!B4*(1-E270)</f>
        <v/>
      </c>
      <c r="O270" s="9">
        <f>Mecanismos!B5*(1-F270)</f>
        <v/>
      </c>
      <c r="P270" s="9">
        <f>Mecanismos!B6*(1-I270)</f>
        <v/>
      </c>
      <c r="Q270" s="9">
        <f>Mecanismos!B9*(1-G270)</f>
        <v/>
      </c>
      <c r="R270" s="9">
        <f>Mecanismos!B9*(1-J270)</f>
        <v/>
      </c>
      <c r="S270" s="9">
        <f>Mecanismos!B8*H270</f>
        <v/>
      </c>
      <c r="T270" s="9">
        <f>Mecanismos!B10*H270</f>
        <v/>
      </c>
      <c r="U270" s="9">
        <f>Mecanismos!B8*K270</f>
        <v/>
      </c>
      <c r="V270" s="9">
        <f>Mecanismos!B3*D270</f>
        <v/>
      </c>
      <c r="W270" s="9">
        <f>Parametros!B2+Parametros!B4*(S270+T270+U270+V270)-Parametros!B3*(L270+M270+N270+O270+P270+Q270+R270)</f>
        <v/>
      </c>
      <c r="X270" s="10">
        <f>1/(1+EXP(-W270))</f>
        <v/>
      </c>
      <c r="Y270" s="11">
        <f>IF(Parametros!B6=1,0.15+0.85*(1/(1+EXP(-8*((1-N270)-0.45)))),1)</f>
        <v/>
      </c>
      <c r="Z270" s="11">
        <f>IF(Parametros!B7=1,MAX(0.05,1-L270^1.6),1)</f>
        <v/>
      </c>
      <c r="AA270" s="11">
        <f>IF(Parametros!B8=1,0.2+0.8*(1/(1+EXP(-9*(S270-0.25)))),1)</f>
        <v/>
      </c>
      <c r="AB270" s="10">
        <f>X270*Y270*Z270*AA270</f>
        <v/>
      </c>
    </row>
    <row r="271">
      <c r="A271" t="inlineStr">
        <is>
          <t>ttvk7d</t>
        </is>
      </c>
      <c r="B271" t="inlineStr">
        <is>
          <t>Larissa Câmara</t>
        </is>
      </c>
      <c r="C271" s="8" t="n">
        <v>0.6562</v>
      </c>
      <c r="D271" s="8" t="n">
        <v>0.4321</v>
      </c>
      <c r="E271" s="8" t="n">
        <v>0.4912</v>
      </c>
      <c r="F271" s="8" t="n">
        <v>0.3498</v>
      </c>
      <c r="G271" s="8" t="n">
        <v>0.4275</v>
      </c>
      <c r="H271" s="8" t="n">
        <v>0.6106</v>
      </c>
      <c r="I271" s="8" t="n">
        <v>0.422</v>
      </c>
      <c r="J271" s="8" t="n">
        <v>0.7085</v>
      </c>
      <c r="K271" s="8" t="n">
        <v>0.6346000000000001</v>
      </c>
      <c r="L271" s="9">
        <f>1-(1-Mecanismos!B2)*(1-C271)</f>
        <v/>
      </c>
      <c r="M271" s="9">
        <f>Mecanismos!B7*D271</f>
        <v/>
      </c>
      <c r="N271" s="9">
        <f>Mecanismos!B4*(1-E271)</f>
        <v/>
      </c>
      <c r="O271" s="9">
        <f>Mecanismos!B5*(1-F271)</f>
        <v/>
      </c>
      <c r="P271" s="9">
        <f>Mecanismos!B6*(1-I271)</f>
        <v/>
      </c>
      <c r="Q271" s="9">
        <f>Mecanismos!B9*(1-G271)</f>
        <v/>
      </c>
      <c r="R271" s="9">
        <f>Mecanismos!B9*(1-J271)</f>
        <v/>
      </c>
      <c r="S271" s="9">
        <f>Mecanismos!B8*H271</f>
        <v/>
      </c>
      <c r="T271" s="9">
        <f>Mecanismos!B10*H271</f>
        <v/>
      </c>
      <c r="U271" s="9">
        <f>Mecanismos!B8*K271</f>
        <v/>
      </c>
      <c r="V271" s="9">
        <f>Mecanismos!B3*D271</f>
        <v/>
      </c>
      <c r="W271" s="9">
        <f>Parametros!B2+Parametros!B4*(S271+T271+U271+V271)-Parametros!B3*(L271+M271+N271+O271+P271+Q271+R271)</f>
        <v/>
      </c>
      <c r="X271" s="10">
        <f>1/(1+EXP(-W271))</f>
        <v/>
      </c>
      <c r="Y271" s="11">
        <f>IF(Parametros!B6=1,0.15+0.85*(1/(1+EXP(-8*((1-N271)-0.45)))),1)</f>
        <v/>
      </c>
      <c r="Z271" s="11">
        <f>IF(Parametros!B7=1,MAX(0.05,1-L271^1.6),1)</f>
        <v/>
      </c>
      <c r="AA271" s="11">
        <f>IF(Parametros!B8=1,0.2+0.8*(1/(1+EXP(-9*(S271-0.25)))),1)</f>
        <v/>
      </c>
      <c r="AB271" s="10">
        <f>X271*Y271*Z271*AA271</f>
        <v/>
      </c>
    </row>
    <row r="272">
      <c r="A272" t="inlineStr">
        <is>
          <t>lc9kma</t>
        </is>
      </c>
      <c r="B272" t="inlineStr">
        <is>
          <t>Laura Cirino</t>
        </is>
      </c>
      <c r="C272" s="8" t="n">
        <v>0.5397</v>
      </c>
      <c r="D272" s="8" t="n">
        <v>0.734</v>
      </c>
      <c r="E272" s="8" t="n">
        <v>0.4947</v>
      </c>
      <c r="F272" s="8" t="n">
        <v>0.5406</v>
      </c>
      <c r="G272" s="8" t="n">
        <v>0.595</v>
      </c>
      <c r="H272" s="8" t="n">
        <v>0.5754</v>
      </c>
      <c r="I272" s="8" t="n">
        <v>0.5221</v>
      </c>
      <c r="J272" s="8" t="n">
        <v>0.6591</v>
      </c>
      <c r="K272" s="8" t="n">
        <v>0.0688</v>
      </c>
      <c r="L272" s="9">
        <f>1-(1-Mecanismos!B2)*(1-C272)</f>
        <v/>
      </c>
      <c r="M272" s="9">
        <f>Mecanismos!B7*D272</f>
        <v/>
      </c>
      <c r="N272" s="9">
        <f>Mecanismos!B4*(1-E272)</f>
        <v/>
      </c>
      <c r="O272" s="9">
        <f>Mecanismos!B5*(1-F272)</f>
        <v/>
      </c>
      <c r="P272" s="9">
        <f>Mecanismos!B6*(1-I272)</f>
        <v/>
      </c>
      <c r="Q272" s="9">
        <f>Mecanismos!B9*(1-G272)</f>
        <v/>
      </c>
      <c r="R272" s="9">
        <f>Mecanismos!B9*(1-J272)</f>
        <v/>
      </c>
      <c r="S272" s="9">
        <f>Mecanismos!B8*H272</f>
        <v/>
      </c>
      <c r="T272" s="9">
        <f>Mecanismos!B10*H272</f>
        <v/>
      </c>
      <c r="U272" s="9">
        <f>Mecanismos!B8*K272</f>
        <v/>
      </c>
      <c r="V272" s="9">
        <f>Mecanismos!B3*D272</f>
        <v/>
      </c>
      <c r="W272" s="9">
        <f>Parametros!B2+Parametros!B4*(S272+T272+U272+V272)-Parametros!B3*(L272+M272+N272+O272+P272+Q272+R272)</f>
        <v/>
      </c>
      <c r="X272" s="10">
        <f>1/(1+EXP(-W272))</f>
        <v/>
      </c>
      <c r="Y272" s="11">
        <f>IF(Parametros!B6=1,0.15+0.85*(1/(1+EXP(-8*((1-N272)-0.45)))),1)</f>
        <v/>
      </c>
      <c r="Z272" s="11">
        <f>IF(Parametros!B7=1,MAX(0.05,1-L272^1.6),1)</f>
        <v/>
      </c>
      <c r="AA272" s="11">
        <f>IF(Parametros!B8=1,0.2+0.8*(1/(1+EXP(-9*(S272-0.25)))),1)</f>
        <v/>
      </c>
      <c r="AB272" s="10">
        <f>X272*Y272*Z272*AA272</f>
        <v/>
      </c>
    </row>
    <row r="273">
      <c r="A273" t="inlineStr">
        <is>
          <t>uz0svm</t>
        </is>
      </c>
      <c r="B273" t="inlineStr">
        <is>
          <t>Laura Gomes</t>
        </is>
      </c>
      <c r="C273" s="8" t="n">
        <v>0.6419</v>
      </c>
      <c r="D273" s="8" t="n">
        <v>0.6544</v>
      </c>
      <c r="E273" s="8" t="n">
        <v>0.5833</v>
      </c>
      <c r="F273" s="8" t="n">
        <v>0.402</v>
      </c>
      <c r="G273" s="8" t="n">
        <v>0.4972</v>
      </c>
      <c r="H273" s="8" t="n">
        <v>0.6662</v>
      </c>
      <c r="I273" s="8" t="n">
        <v>0.5382</v>
      </c>
      <c r="J273" s="8" t="n">
        <v>0.5868</v>
      </c>
      <c r="K273" s="8" t="n">
        <v>0.3933</v>
      </c>
      <c r="L273" s="9">
        <f>1-(1-Mecanismos!B2)*(1-C273)</f>
        <v/>
      </c>
      <c r="M273" s="9">
        <f>Mecanismos!B7*D273</f>
        <v/>
      </c>
      <c r="N273" s="9">
        <f>Mecanismos!B4*(1-E273)</f>
        <v/>
      </c>
      <c r="O273" s="9">
        <f>Mecanismos!B5*(1-F273)</f>
        <v/>
      </c>
      <c r="P273" s="9">
        <f>Mecanismos!B6*(1-I273)</f>
        <v/>
      </c>
      <c r="Q273" s="9">
        <f>Mecanismos!B9*(1-G273)</f>
        <v/>
      </c>
      <c r="R273" s="9">
        <f>Mecanismos!B9*(1-J273)</f>
        <v/>
      </c>
      <c r="S273" s="9">
        <f>Mecanismos!B8*H273</f>
        <v/>
      </c>
      <c r="T273" s="9">
        <f>Mecanismos!B10*H273</f>
        <v/>
      </c>
      <c r="U273" s="9">
        <f>Mecanismos!B8*K273</f>
        <v/>
      </c>
      <c r="V273" s="9">
        <f>Mecanismos!B3*D273</f>
        <v/>
      </c>
      <c r="W273" s="9">
        <f>Parametros!B2+Parametros!B4*(S273+T273+U273+V273)-Parametros!B3*(L273+M273+N273+O273+P273+Q273+R273)</f>
        <v/>
      </c>
      <c r="X273" s="10">
        <f>1/(1+EXP(-W273))</f>
        <v/>
      </c>
      <c r="Y273" s="11">
        <f>IF(Parametros!B6=1,0.15+0.85*(1/(1+EXP(-8*((1-N273)-0.45)))),1)</f>
        <v/>
      </c>
      <c r="Z273" s="11">
        <f>IF(Parametros!B7=1,MAX(0.05,1-L273^1.6),1)</f>
        <v/>
      </c>
      <c r="AA273" s="11">
        <f>IF(Parametros!B8=1,0.2+0.8*(1/(1+EXP(-9*(S273-0.25)))),1)</f>
        <v/>
      </c>
      <c r="AB273" s="10">
        <f>X273*Y273*Z273*AA273</f>
        <v/>
      </c>
    </row>
    <row r="274">
      <c r="A274" t="inlineStr">
        <is>
          <t>7s3k63</t>
        </is>
      </c>
      <c r="B274" t="inlineStr">
        <is>
          <t>Laura Pacheco</t>
        </is>
      </c>
      <c r="C274" s="8" t="n">
        <v>0.7766</v>
      </c>
      <c r="D274" s="8" t="n">
        <v>0.6586</v>
      </c>
      <c r="E274" s="8" t="n">
        <v>0.5578</v>
      </c>
      <c r="F274" s="8" t="n">
        <v>0.2208</v>
      </c>
      <c r="G274" s="8" t="n">
        <v>0.5404</v>
      </c>
      <c r="H274" s="8" t="n">
        <v>0.455</v>
      </c>
      <c r="I274" s="8" t="n">
        <v>0.6283</v>
      </c>
      <c r="J274" s="8" t="n">
        <v>0.8386</v>
      </c>
      <c r="K274" s="8" t="n">
        <v>0.1941</v>
      </c>
      <c r="L274" s="9">
        <f>1-(1-Mecanismos!B2)*(1-C274)</f>
        <v/>
      </c>
      <c r="M274" s="9">
        <f>Mecanismos!B7*D274</f>
        <v/>
      </c>
      <c r="N274" s="9">
        <f>Mecanismos!B4*(1-E274)</f>
        <v/>
      </c>
      <c r="O274" s="9">
        <f>Mecanismos!B5*(1-F274)</f>
        <v/>
      </c>
      <c r="P274" s="9">
        <f>Mecanismos!B6*(1-I274)</f>
        <v/>
      </c>
      <c r="Q274" s="9">
        <f>Mecanismos!B9*(1-G274)</f>
        <v/>
      </c>
      <c r="R274" s="9">
        <f>Mecanismos!B9*(1-J274)</f>
        <v/>
      </c>
      <c r="S274" s="9">
        <f>Mecanismos!B8*H274</f>
        <v/>
      </c>
      <c r="T274" s="9">
        <f>Mecanismos!B10*H274</f>
        <v/>
      </c>
      <c r="U274" s="9">
        <f>Mecanismos!B8*K274</f>
        <v/>
      </c>
      <c r="V274" s="9">
        <f>Mecanismos!B3*D274</f>
        <v/>
      </c>
      <c r="W274" s="9">
        <f>Parametros!B2+Parametros!B4*(S274+T274+U274+V274)-Parametros!B3*(L274+M274+N274+O274+P274+Q274+R274)</f>
        <v/>
      </c>
      <c r="X274" s="10">
        <f>1/(1+EXP(-W274))</f>
        <v/>
      </c>
      <c r="Y274" s="11">
        <f>IF(Parametros!B6=1,0.15+0.85*(1/(1+EXP(-8*((1-N274)-0.45)))),1)</f>
        <v/>
      </c>
      <c r="Z274" s="11">
        <f>IF(Parametros!B7=1,MAX(0.05,1-L274^1.6),1)</f>
        <v/>
      </c>
      <c r="AA274" s="11">
        <f>IF(Parametros!B8=1,0.2+0.8*(1/(1+EXP(-9*(S274-0.25)))),1)</f>
        <v/>
      </c>
      <c r="AB274" s="10">
        <f>X274*Y274*Z274*AA274</f>
        <v/>
      </c>
    </row>
    <row r="275">
      <c r="A275" t="inlineStr">
        <is>
          <t>ksrsra</t>
        </is>
      </c>
      <c r="B275" t="inlineStr">
        <is>
          <t>Lavínia Almeida</t>
        </is>
      </c>
      <c r="C275" s="8" t="n">
        <v>0.6091</v>
      </c>
      <c r="D275" s="8" t="n">
        <v>0.6183999999999999</v>
      </c>
      <c r="E275" s="8" t="n">
        <v>0.5379</v>
      </c>
      <c r="F275" s="8" t="n">
        <v>0.4762</v>
      </c>
      <c r="G275" s="8" t="n">
        <v>0.5436</v>
      </c>
      <c r="H275" s="8" t="n">
        <v>0.6923</v>
      </c>
      <c r="I275" s="8" t="n">
        <v>0.7111</v>
      </c>
      <c r="J275" s="8" t="n">
        <v>0.8468</v>
      </c>
      <c r="K275" s="8" t="n">
        <v>0.2561</v>
      </c>
      <c r="L275" s="9">
        <f>1-(1-Mecanismos!B2)*(1-C275)</f>
        <v/>
      </c>
      <c r="M275" s="9">
        <f>Mecanismos!B7*D275</f>
        <v/>
      </c>
      <c r="N275" s="9">
        <f>Mecanismos!B4*(1-E275)</f>
        <v/>
      </c>
      <c r="O275" s="9">
        <f>Mecanismos!B5*(1-F275)</f>
        <v/>
      </c>
      <c r="P275" s="9">
        <f>Mecanismos!B6*(1-I275)</f>
        <v/>
      </c>
      <c r="Q275" s="9">
        <f>Mecanismos!B9*(1-G275)</f>
        <v/>
      </c>
      <c r="R275" s="9">
        <f>Mecanismos!B9*(1-J275)</f>
        <v/>
      </c>
      <c r="S275" s="9">
        <f>Mecanismos!B8*H275</f>
        <v/>
      </c>
      <c r="T275" s="9">
        <f>Mecanismos!B10*H275</f>
        <v/>
      </c>
      <c r="U275" s="9">
        <f>Mecanismos!B8*K275</f>
        <v/>
      </c>
      <c r="V275" s="9">
        <f>Mecanismos!B3*D275</f>
        <v/>
      </c>
      <c r="W275" s="9">
        <f>Parametros!B2+Parametros!B4*(S275+T275+U275+V275)-Parametros!B3*(L275+M275+N275+O275+P275+Q275+R275)</f>
        <v/>
      </c>
      <c r="X275" s="10">
        <f>1/(1+EXP(-W275))</f>
        <v/>
      </c>
      <c r="Y275" s="11">
        <f>IF(Parametros!B6=1,0.15+0.85*(1/(1+EXP(-8*((1-N275)-0.45)))),1)</f>
        <v/>
      </c>
      <c r="Z275" s="11">
        <f>IF(Parametros!B7=1,MAX(0.05,1-L275^1.6),1)</f>
        <v/>
      </c>
      <c r="AA275" s="11">
        <f>IF(Parametros!B8=1,0.2+0.8*(1/(1+EXP(-9*(S275-0.25)))),1)</f>
        <v/>
      </c>
      <c r="AB275" s="10">
        <f>X275*Y275*Z275*AA275</f>
        <v/>
      </c>
    </row>
    <row r="276">
      <c r="A276" t="inlineStr">
        <is>
          <t>nynjme</t>
        </is>
      </c>
      <c r="B276" t="inlineStr">
        <is>
          <t>Lavínia Rocha</t>
        </is>
      </c>
      <c r="C276" s="8" t="n">
        <v>0.6819</v>
      </c>
      <c r="D276" s="8" t="n">
        <v>0.5869</v>
      </c>
      <c r="E276" s="8" t="n">
        <v>0.7148</v>
      </c>
      <c r="F276" s="8" t="n">
        <v>0.4513</v>
      </c>
      <c r="G276" s="8" t="n">
        <v>0.6242</v>
      </c>
      <c r="H276" s="8" t="n">
        <v>0.506</v>
      </c>
      <c r="I276" s="8" t="n">
        <v>0.5336</v>
      </c>
      <c r="J276" s="8" t="n">
        <v>0.7749</v>
      </c>
      <c r="K276" s="8" t="n">
        <v>0.4396</v>
      </c>
      <c r="L276" s="9">
        <f>1-(1-Mecanismos!B2)*(1-C276)</f>
        <v/>
      </c>
      <c r="M276" s="9">
        <f>Mecanismos!B7*D276</f>
        <v/>
      </c>
      <c r="N276" s="9">
        <f>Mecanismos!B4*(1-E276)</f>
        <v/>
      </c>
      <c r="O276" s="9">
        <f>Mecanismos!B5*(1-F276)</f>
        <v/>
      </c>
      <c r="P276" s="9">
        <f>Mecanismos!B6*(1-I276)</f>
        <v/>
      </c>
      <c r="Q276" s="9">
        <f>Mecanismos!B9*(1-G276)</f>
        <v/>
      </c>
      <c r="R276" s="9">
        <f>Mecanismos!B9*(1-J276)</f>
        <v/>
      </c>
      <c r="S276" s="9">
        <f>Mecanismos!B8*H276</f>
        <v/>
      </c>
      <c r="T276" s="9">
        <f>Mecanismos!B10*H276</f>
        <v/>
      </c>
      <c r="U276" s="9">
        <f>Mecanismos!B8*K276</f>
        <v/>
      </c>
      <c r="V276" s="9">
        <f>Mecanismos!B3*D276</f>
        <v/>
      </c>
      <c r="W276" s="9">
        <f>Parametros!B2+Parametros!B4*(S276+T276+U276+V276)-Parametros!B3*(L276+M276+N276+O276+P276+Q276+R276)</f>
        <v/>
      </c>
      <c r="X276" s="10">
        <f>1/(1+EXP(-W276))</f>
        <v/>
      </c>
      <c r="Y276" s="11">
        <f>IF(Parametros!B6=1,0.15+0.85*(1/(1+EXP(-8*((1-N276)-0.45)))),1)</f>
        <v/>
      </c>
      <c r="Z276" s="11">
        <f>IF(Parametros!B7=1,MAX(0.05,1-L276^1.6),1)</f>
        <v/>
      </c>
      <c r="AA276" s="11">
        <f>IF(Parametros!B8=1,0.2+0.8*(1/(1+EXP(-9*(S276-0.25)))),1)</f>
        <v/>
      </c>
      <c r="AB276" s="10">
        <f>X276*Y276*Z276*AA276</f>
        <v/>
      </c>
    </row>
    <row r="277">
      <c r="A277" t="inlineStr">
        <is>
          <t>1mksp5</t>
        </is>
      </c>
      <c r="B277" t="inlineStr">
        <is>
          <t>Lavínia da Luz</t>
        </is>
      </c>
      <c r="C277" s="8" t="n">
        <v>0.7163</v>
      </c>
      <c r="D277" s="8" t="n">
        <v>0.4271</v>
      </c>
      <c r="E277" s="8" t="n">
        <v>0.4303</v>
      </c>
      <c r="F277" s="8" t="n">
        <v>0.445</v>
      </c>
      <c r="G277" s="8" t="n">
        <v>0.4929</v>
      </c>
      <c r="H277" s="8" t="n">
        <v>0.678</v>
      </c>
      <c r="I277" s="8" t="n">
        <v>0.8839</v>
      </c>
      <c r="J277" s="8" t="n">
        <v>0.8073</v>
      </c>
      <c r="K277" s="8" t="n">
        <v>0.6101</v>
      </c>
      <c r="L277" s="9">
        <f>1-(1-Mecanismos!B2)*(1-C277)</f>
        <v/>
      </c>
      <c r="M277" s="9">
        <f>Mecanismos!B7*D277</f>
        <v/>
      </c>
      <c r="N277" s="9">
        <f>Mecanismos!B4*(1-E277)</f>
        <v/>
      </c>
      <c r="O277" s="9">
        <f>Mecanismos!B5*(1-F277)</f>
        <v/>
      </c>
      <c r="P277" s="9">
        <f>Mecanismos!B6*(1-I277)</f>
        <v/>
      </c>
      <c r="Q277" s="9">
        <f>Mecanismos!B9*(1-G277)</f>
        <v/>
      </c>
      <c r="R277" s="9">
        <f>Mecanismos!B9*(1-J277)</f>
        <v/>
      </c>
      <c r="S277" s="9">
        <f>Mecanismos!B8*H277</f>
        <v/>
      </c>
      <c r="T277" s="9">
        <f>Mecanismos!B10*H277</f>
        <v/>
      </c>
      <c r="U277" s="9">
        <f>Mecanismos!B8*K277</f>
        <v/>
      </c>
      <c r="V277" s="9">
        <f>Mecanismos!B3*D277</f>
        <v/>
      </c>
      <c r="W277" s="9">
        <f>Parametros!B2+Parametros!B4*(S277+T277+U277+V277)-Parametros!B3*(L277+M277+N277+O277+P277+Q277+R277)</f>
        <v/>
      </c>
      <c r="X277" s="10">
        <f>1/(1+EXP(-W277))</f>
        <v/>
      </c>
      <c r="Y277" s="11">
        <f>IF(Parametros!B6=1,0.15+0.85*(1/(1+EXP(-8*((1-N277)-0.45)))),1)</f>
        <v/>
      </c>
      <c r="Z277" s="11">
        <f>IF(Parametros!B7=1,MAX(0.05,1-L277^1.6),1)</f>
        <v/>
      </c>
      <c r="AA277" s="11">
        <f>IF(Parametros!B8=1,0.2+0.8*(1/(1+EXP(-9*(S277-0.25)))),1)</f>
        <v/>
      </c>
      <c r="AB277" s="10">
        <f>X277*Y277*Z277*AA277</f>
        <v/>
      </c>
    </row>
    <row r="278">
      <c r="A278" t="inlineStr">
        <is>
          <t>lokyjr</t>
        </is>
      </c>
      <c r="B278" t="inlineStr">
        <is>
          <t>Laís Aragão</t>
        </is>
      </c>
      <c r="C278" s="8" t="n">
        <v>0.4414</v>
      </c>
      <c r="D278" s="8" t="n">
        <v>0.5836</v>
      </c>
      <c r="E278" s="8" t="n">
        <v>0.6713</v>
      </c>
      <c r="F278" s="8" t="n">
        <v>0.6804</v>
      </c>
      <c r="G278" s="8" t="n">
        <v>0.5566</v>
      </c>
      <c r="H278" s="8" t="n">
        <v>0.7074</v>
      </c>
      <c r="I278" s="8" t="n">
        <v>0.5202</v>
      </c>
      <c r="J278" s="8" t="n">
        <v>0.8242</v>
      </c>
      <c r="K278" s="8" t="n">
        <v>0.4591</v>
      </c>
      <c r="L278" s="9">
        <f>1-(1-Mecanismos!B2)*(1-C278)</f>
        <v/>
      </c>
      <c r="M278" s="9">
        <f>Mecanismos!B7*D278</f>
        <v/>
      </c>
      <c r="N278" s="9">
        <f>Mecanismos!B4*(1-E278)</f>
        <v/>
      </c>
      <c r="O278" s="9">
        <f>Mecanismos!B5*(1-F278)</f>
        <v/>
      </c>
      <c r="P278" s="9">
        <f>Mecanismos!B6*(1-I278)</f>
        <v/>
      </c>
      <c r="Q278" s="9">
        <f>Mecanismos!B9*(1-G278)</f>
        <v/>
      </c>
      <c r="R278" s="9">
        <f>Mecanismos!B9*(1-J278)</f>
        <v/>
      </c>
      <c r="S278" s="9">
        <f>Mecanismos!B8*H278</f>
        <v/>
      </c>
      <c r="T278" s="9">
        <f>Mecanismos!B10*H278</f>
        <v/>
      </c>
      <c r="U278" s="9">
        <f>Mecanismos!B8*K278</f>
        <v/>
      </c>
      <c r="V278" s="9">
        <f>Mecanismos!B3*D278</f>
        <v/>
      </c>
      <c r="W278" s="9">
        <f>Parametros!B2+Parametros!B4*(S278+T278+U278+V278)-Parametros!B3*(L278+M278+N278+O278+P278+Q278+R278)</f>
        <v/>
      </c>
      <c r="X278" s="10">
        <f>1/(1+EXP(-W278))</f>
        <v/>
      </c>
      <c r="Y278" s="11">
        <f>IF(Parametros!B6=1,0.15+0.85*(1/(1+EXP(-8*((1-N278)-0.45)))),1)</f>
        <v/>
      </c>
      <c r="Z278" s="11">
        <f>IF(Parametros!B7=1,MAX(0.05,1-L278^1.6),1)</f>
        <v/>
      </c>
      <c r="AA278" s="11">
        <f>IF(Parametros!B8=1,0.2+0.8*(1/(1+EXP(-9*(S278-0.25)))),1)</f>
        <v/>
      </c>
      <c r="AB278" s="10">
        <f>X278*Y278*Z278*AA278</f>
        <v/>
      </c>
    </row>
    <row r="279">
      <c r="A279" t="inlineStr">
        <is>
          <t>9pfv06</t>
        </is>
      </c>
      <c r="B279" t="inlineStr">
        <is>
          <t>Leandro Abreu</t>
        </is>
      </c>
      <c r="C279" s="8" t="n">
        <v>0.5984</v>
      </c>
      <c r="D279" s="8" t="n">
        <v>0.3753</v>
      </c>
      <c r="E279" s="8" t="n">
        <v>0.5929</v>
      </c>
      <c r="F279" s="8" t="n">
        <v>0.6748</v>
      </c>
      <c r="G279" s="8" t="n">
        <v>0.4339</v>
      </c>
      <c r="H279" s="8" t="n">
        <v>0.5293</v>
      </c>
      <c r="I279" s="8" t="n">
        <v>0.3155</v>
      </c>
      <c r="J279" s="8" t="n">
        <v>0.979</v>
      </c>
      <c r="K279" s="8" t="n">
        <v>0.7728</v>
      </c>
      <c r="L279" s="9">
        <f>1-(1-Mecanismos!B2)*(1-C279)</f>
        <v/>
      </c>
      <c r="M279" s="9">
        <f>Mecanismos!B7*D279</f>
        <v/>
      </c>
      <c r="N279" s="9">
        <f>Mecanismos!B4*(1-E279)</f>
        <v/>
      </c>
      <c r="O279" s="9">
        <f>Mecanismos!B5*(1-F279)</f>
        <v/>
      </c>
      <c r="P279" s="9">
        <f>Mecanismos!B6*(1-I279)</f>
        <v/>
      </c>
      <c r="Q279" s="9">
        <f>Mecanismos!B9*(1-G279)</f>
        <v/>
      </c>
      <c r="R279" s="9">
        <f>Mecanismos!B9*(1-J279)</f>
        <v/>
      </c>
      <c r="S279" s="9">
        <f>Mecanismos!B8*H279</f>
        <v/>
      </c>
      <c r="T279" s="9">
        <f>Mecanismos!B10*H279</f>
        <v/>
      </c>
      <c r="U279" s="9">
        <f>Mecanismos!B8*K279</f>
        <v/>
      </c>
      <c r="V279" s="9">
        <f>Mecanismos!B3*D279</f>
        <v/>
      </c>
      <c r="W279" s="9">
        <f>Parametros!B2+Parametros!B4*(S279+T279+U279+V279)-Parametros!B3*(L279+M279+N279+O279+P279+Q279+R279)</f>
        <v/>
      </c>
      <c r="X279" s="10">
        <f>1/(1+EXP(-W279))</f>
        <v/>
      </c>
      <c r="Y279" s="11">
        <f>IF(Parametros!B6=1,0.15+0.85*(1/(1+EXP(-8*((1-N279)-0.45)))),1)</f>
        <v/>
      </c>
      <c r="Z279" s="11">
        <f>IF(Parametros!B7=1,MAX(0.05,1-L279^1.6),1)</f>
        <v/>
      </c>
      <c r="AA279" s="11">
        <f>IF(Parametros!B8=1,0.2+0.8*(1/(1+EXP(-9*(S279-0.25)))),1)</f>
        <v/>
      </c>
      <c r="AB279" s="10">
        <f>X279*Y279*Z279*AA279</f>
        <v/>
      </c>
    </row>
    <row r="280">
      <c r="A280" t="inlineStr">
        <is>
          <t>gqolm5</t>
        </is>
      </c>
      <c r="B280" t="inlineStr">
        <is>
          <t>Leandro Araújo</t>
        </is>
      </c>
      <c r="C280" s="8" t="n">
        <v>0.8819</v>
      </c>
      <c r="D280" s="8" t="n">
        <v>0.5586</v>
      </c>
      <c r="E280" s="8" t="n">
        <v>0.7402</v>
      </c>
      <c r="F280" s="8" t="n">
        <v>0.4854</v>
      </c>
      <c r="G280" s="8" t="n">
        <v>0.584</v>
      </c>
      <c r="H280" s="8" t="n">
        <v>0.6792</v>
      </c>
      <c r="I280" s="8" t="n">
        <v>0.6813</v>
      </c>
      <c r="J280" s="8" t="n">
        <v>0.6587</v>
      </c>
      <c r="K280" s="8" t="n">
        <v>0.5457</v>
      </c>
      <c r="L280" s="9">
        <f>1-(1-Mecanismos!B2)*(1-C280)</f>
        <v/>
      </c>
      <c r="M280" s="9">
        <f>Mecanismos!B7*D280</f>
        <v/>
      </c>
      <c r="N280" s="9">
        <f>Mecanismos!B4*(1-E280)</f>
        <v/>
      </c>
      <c r="O280" s="9">
        <f>Mecanismos!B5*(1-F280)</f>
        <v/>
      </c>
      <c r="P280" s="9">
        <f>Mecanismos!B6*(1-I280)</f>
        <v/>
      </c>
      <c r="Q280" s="9">
        <f>Mecanismos!B9*(1-G280)</f>
        <v/>
      </c>
      <c r="R280" s="9">
        <f>Mecanismos!B9*(1-J280)</f>
        <v/>
      </c>
      <c r="S280" s="9">
        <f>Mecanismos!B8*H280</f>
        <v/>
      </c>
      <c r="T280" s="9">
        <f>Mecanismos!B10*H280</f>
        <v/>
      </c>
      <c r="U280" s="9">
        <f>Mecanismos!B8*K280</f>
        <v/>
      </c>
      <c r="V280" s="9">
        <f>Mecanismos!B3*D280</f>
        <v/>
      </c>
      <c r="W280" s="9">
        <f>Parametros!B2+Parametros!B4*(S280+T280+U280+V280)-Parametros!B3*(L280+M280+N280+O280+P280+Q280+R280)</f>
        <v/>
      </c>
      <c r="X280" s="10">
        <f>1/(1+EXP(-W280))</f>
        <v/>
      </c>
      <c r="Y280" s="11">
        <f>IF(Parametros!B6=1,0.15+0.85*(1/(1+EXP(-8*((1-N280)-0.45)))),1)</f>
        <v/>
      </c>
      <c r="Z280" s="11">
        <f>IF(Parametros!B7=1,MAX(0.05,1-L280^1.6),1)</f>
        <v/>
      </c>
      <c r="AA280" s="11">
        <f>IF(Parametros!B8=1,0.2+0.8*(1/(1+EXP(-9*(S280-0.25)))),1)</f>
        <v/>
      </c>
      <c r="AB280" s="10">
        <f>X280*Y280*Z280*AA280</f>
        <v/>
      </c>
    </row>
    <row r="281">
      <c r="A281" t="inlineStr">
        <is>
          <t>bt4dn9</t>
        </is>
      </c>
      <c r="B281" t="inlineStr">
        <is>
          <t>Leandro Gonçalves</t>
        </is>
      </c>
      <c r="C281" s="8" t="n">
        <v>0.5335</v>
      </c>
      <c r="D281" s="8" t="n">
        <v>0.6854</v>
      </c>
      <c r="E281" s="8" t="n">
        <v>0.346</v>
      </c>
      <c r="F281" s="8" t="n">
        <v>0.4916</v>
      </c>
      <c r="G281" s="8" t="n">
        <v>0.615</v>
      </c>
      <c r="H281" s="8" t="n">
        <v>0.712</v>
      </c>
      <c r="I281" s="8" t="n">
        <v>0.7097</v>
      </c>
      <c r="J281" s="8" t="n">
        <v>0.8844</v>
      </c>
      <c r="K281" s="8" t="n">
        <v>0.1241</v>
      </c>
      <c r="L281" s="9">
        <f>1-(1-Mecanismos!B2)*(1-C281)</f>
        <v/>
      </c>
      <c r="M281" s="9">
        <f>Mecanismos!B7*D281</f>
        <v/>
      </c>
      <c r="N281" s="9">
        <f>Mecanismos!B4*(1-E281)</f>
        <v/>
      </c>
      <c r="O281" s="9">
        <f>Mecanismos!B5*(1-F281)</f>
        <v/>
      </c>
      <c r="P281" s="9">
        <f>Mecanismos!B6*(1-I281)</f>
        <v/>
      </c>
      <c r="Q281" s="9">
        <f>Mecanismos!B9*(1-G281)</f>
        <v/>
      </c>
      <c r="R281" s="9">
        <f>Mecanismos!B9*(1-J281)</f>
        <v/>
      </c>
      <c r="S281" s="9">
        <f>Mecanismos!B8*H281</f>
        <v/>
      </c>
      <c r="T281" s="9">
        <f>Mecanismos!B10*H281</f>
        <v/>
      </c>
      <c r="U281" s="9">
        <f>Mecanismos!B8*K281</f>
        <v/>
      </c>
      <c r="V281" s="9">
        <f>Mecanismos!B3*D281</f>
        <v/>
      </c>
      <c r="W281" s="9">
        <f>Parametros!B2+Parametros!B4*(S281+T281+U281+V281)-Parametros!B3*(L281+M281+N281+O281+P281+Q281+R281)</f>
        <v/>
      </c>
      <c r="X281" s="10">
        <f>1/(1+EXP(-W281))</f>
        <v/>
      </c>
      <c r="Y281" s="11">
        <f>IF(Parametros!B6=1,0.15+0.85*(1/(1+EXP(-8*((1-N281)-0.45)))),1)</f>
        <v/>
      </c>
      <c r="Z281" s="11">
        <f>IF(Parametros!B7=1,MAX(0.05,1-L281^1.6),1)</f>
        <v/>
      </c>
      <c r="AA281" s="11">
        <f>IF(Parametros!B8=1,0.2+0.8*(1/(1+EXP(-9*(S281-0.25)))),1)</f>
        <v/>
      </c>
      <c r="AB281" s="10">
        <f>X281*Y281*Z281*AA281</f>
        <v/>
      </c>
    </row>
    <row r="282">
      <c r="A282" t="inlineStr">
        <is>
          <t>zluofn</t>
        </is>
      </c>
      <c r="B282" t="inlineStr">
        <is>
          <t>Leonardo Barbosa</t>
        </is>
      </c>
      <c r="C282" s="8" t="n">
        <v>0.7412</v>
      </c>
      <c r="D282" s="8" t="n">
        <v>0.2305</v>
      </c>
      <c r="E282" s="8" t="n">
        <v>0.6664</v>
      </c>
      <c r="F282" s="8" t="n">
        <v>0.2159</v>
      </c>
      <c r="G282" s="8" t="n">
        <v>0.4939</v>
      </c>
      <c r="H282" s="8" t="n">
        <v>0.6472</v>
      </c>
      <c r="I282" s="8" t="n">
        <v>0.3248</v>
      </c>
      <c r="J282" s="8" t="n">
        <v>0.7489</v>
      </c>
      <c r="K282" s="8" t="n">
        <v>0.404</v>
      </c>
      <c r="L282" s="9">
        <f>1-(1-Mecanismos!B2)*(1-C282)</f>
        <v/>
      </c>
      <c r="M282" s="9">
        <f>Mecanismos!B7*D282</f>
        <v/>
      </c>
      <c r="N282" s="9">
        <f>Mecanismos!B4*(1-E282)</f>
        <v/>
      </c>
      <c r="O282" s="9">
        <f>Mecanismos!B5*(1-F282)</f>
        <v/>
      </c>
      <c r="P282" s="9">
        <f>Mecanismos!B6*(1-I282)</f>
        <v/>
      </c>
      <c r="Q282" s="9">
        <f>Mecanismos!B9*(1-G282)</f>
        <v/>
      </c>
      <c r="R282" s="9">
        <f>Mecanismos!B9*(1-J282)</f>
        <v/>
      </c>
      <c r="S282" s="9">
        <f>Mecanismos!B8*H282</f>
        <v/>
      </c>
      <c r="T282" s="9">
        <f>Mecanismos!B10*H282</f>
        <v/>
      </c>
      <c r="U282" s="9">
        <f>Mecanismos!B8*K282</f>
        <v/>
      </c>
      <c r="V282" s="9">
        <f>Mecanismos!B3*D282</f>
        <v/>
      </c>
      <c r="W282" s="9">
        <f>Parametros!B2+Parametros!B4*(S282+T282+U282+V282)-Parametros!B3*(L282+M282+N282+O282+P282+Q282+R282)</f>
        <v/>
      </c>
      <c r="X282" s="10">
        <f>1/(1+EXP(-W282))</f>
        <v/>
      </c>
      <c r="Y282" s="11">
        <f>IF(Parametros!B6=1,0.15+0.85*(1/(1+EXP(-8*((1-N282)-0.45)))),1)</f>
        <v/>
      </c>
      <c r="Z282" s="11">
        <f>IF(Parametros!B7=1,MAX(0.05,1-L282^1.6),1)</f>
        <v/>
      </c>
      <c r="AA282" s="11">
        <f>IF(Parametros!B8=1,0.2+0.8*(1/(1+EXP(-9*(S282-0.25)))),1)</f>
        <v/>
      </c>
      <c r="AB282" s="10">
        <f>X282*Y282*Z282*AA282</f>
        <v/>
      </c>
    </row>
    <row r="283">
      <c r="A283" t="inlineStr">
        <is>
          <t>4n0tni</t>
        </is>
      </c>
      <c r="B283" t="inlineStr">
        <is>
          <t>Letícia Cavalcante</t>
        </is>
      </c>
      <c r="C283" s="8" t="n">
        <v>0.5068</v>
      </c>
      <c r="D283" s="8" t="n">
        <v>0.656</v>
      </c>
      <c r="E283" s="8" t="n">
        <v>0.695</v>
      </c>
      <c r="F283" s="8" t="n">
        <v>0.482</v>
      </c>
      <c r="G283" s="8" t="n">
        <v>0.4203</v>
      </c>
      <c r="H283" s="8" t="n">
        <v>0.5810999999999999</v>
      </c>
      <c r="I283" s="8" t="n">
        <v>0.7133</v>
      </c>
      <c r="J283" s="8" t="n">
        <v>0.8764</v>
      </c>
      <c r="K283" s="8" t="n">
        <v>0.3253</v>
      </c>
      <c r="L283" s="9">
        <f>1-(1-Mecanismos!B2)*(1-C283)</f>
        <v/>
      </c>
      <c r="M283" s="9">
        <f>Mecanismos!B7*D283</f>
        <v/>
      </c>
      <c r="N283" s="9">
        <f>Mecanismos!B4*(1-E283)</f>
        <v/>
      </c>
      <c r="O283" s="9">
        <f>Mecanismos!B5*(1-F283)</f>
        <v/>
      </c>
      <c r="P283" s="9">
        <f>Mecanismos!B6*(1-I283)</f>
        <v/>
      </c>
      <c r="Q283" s="9">
        <f>Mecanismos!B9*(1-G283)</f>
        <v/>
      </c>
      <c r="R283" s="9">
        <f>Mecanismos!B9*(1-J283)</f>
        <v/>
      </c>
      <c r="S283" s="9">
        <f>Mecanismos!B8*H283</f>
        <v/>
      </c>
      <c r="T283" s="9">
        <f>Mecanismos!B10*H283</f>
        <v/>
      </c>
      <c r="U283" s="9">
        <f>Mecanismos!B8*K283</f>
        <v/>
      </c>
      <c r="V283" s="9">
        <f>Mecanismos!B3*D283</f>
        <v/>
      </c>
      <c r="W283" s="9">
        <f>Parametros!B2+Parametros!B4*(S283+T283+U283+V283)-Parametros!B3*(L283+M283+N283+O283+P283+Q283+R283)</f>
        <v/>
      </c>
      <c r="X283" s="10">
        <f>1/(1+EXP(-W283))</f>
        <v/>
      </c>
      <c r="Y283" s="11">
        <f>IF(Parametros!B6=1,0.15+0.85*(1/(1+EXP(-8*((1-N283)-0.45)))),1)</f>
        <v/>
      </c>
      <c r="Z283" s="11">
        <f>IF(Parametros!B7=1,MAX(0.05,1-L283^1.6),1)</f>
        <v/>
      </c>
      <c r="AA283" s="11">
        <f>IF(Parametros!B8=1,0.2+0.8*(1/(1+EXP(-9*(S283-0.25)))),1)</f>
        <v/>
      </c>
      <c r="AB283" s="10">
        <f>X283*Y283*Z283*AA283</f>
        <v/>
      </c>
    </row>
    <row r="284">
      <c r="A284" t="inlineStr">
        <is>
          <t>tp40oa</t>
        </is>
      </c>
      <c r="B284" t="inlineStr">
        <is>
          <t>Letícia Leão</t>
        </is>
      </c>
      <c r="C284" s="8" t="n">
        <v>0.8762</v>
      </c>
      <c r="D284" s="8" t="n">
        <v>0.5385</v>
      </c>
      <c r="E284" s="8" t="n">
        <v>0.59</v>
      </c>
      <c r="F284" s="8" t="n">
        <v>0.2995</v>
      </c>
      <c r="G284" s="8" t="n">
        <v>0.2849</v>
      </c>
      <c r="H284" s="8" t="n">
        <v>0.5934</v>
      </c>
      <c r="I284" s="8" t="n">
        <v>0.4398</v>
      </c>
      <c r="J284" s="8" t="n">
        <v>0.6466</v>
      </c>
      <c r="K284" s="8" t="n">
        <v>0.4147</v>
      </c>
      <c r="L284" s="9">
        <f>1-(1-Mecanismos!B2)*(1-C284)</f>
        <v/>
      </c>
      <c r="M284" s="9">
        <f>Mecanismos!B7*D284</f>
        <v/>
      </c>
      <c r="N284" s="9">
        <f>Mecanismos!B4*(1-E284)</f>
        <v/>
      </c>
      <c r="O284" s="9">
        <f>Mecanismos!B5*(1-F284)</f>
        <v/>
      </c>
      <c r="P284" s="9">
        <f>Mecanismos!B6*(1-I284)</f>
        <v/>
      </c>
      <c r="Q284" s="9">
        <f>Mecanismos!B9*(1-G284)</f>
        <v/>
      </c>
      <c r="R284" s="9">
        <f>Mecanismos!B9*(1-J284)</f>
        <v/>
      </c>
      <c r="S284" s="9">
        <f>Mecanismos!B8*H284</f>
        <v/>
      </c>
      <c r="T284" s="9">
        <f>Mecanismos!B10*H284</f>
        <v/>
      </c>
      <c r="U284" s="9">
        <f>Mecanismos!B8*K284</f>
        <v/>
      </c>
      <c r="V284" s="9">
        <f>Mecanismos!B3*D284</f>
        <v/>
      </c>
      <c r="W284" s="9">
        <f>Parametros!B2+Parametros!B4*(S284+T284+U284+V284)-Parametros!B3*(L284+M284+N284+O284+P284+Q284+R284)</f>
        <v/>
      </c>
      <c r="X284" s="10">
        <f>1/(1+EXP(-W284))</f>
        <v/>
      </c>
      <c r="Y284" s="11">
        <f>IF(Parametros!B6=1,0.15+0.85*(1/(1+EXP(-8*((1-N284)-0.45)))),1)</f>
        <v/>
      </c>
      <c r="Z284" s="11">
        <f>IF(Parametros!B7=1,MAX(0.05,1-L284^1.6),1)</f>
        <v/>
      </c>
      <c r="AA284" s="11">
        <f>IF(Parametros!B8=1,0.2+0.8*(1/(1+EXP(-9*(S284-0.25)))),1)</f>
        <v/>
      </c>
      <c r="AB284" s="10">
        <f>X284*Y284*Z284*AA284</f>
        <v/>
      </c>
    </row>
    <row r="285">
      <c r="A285" t="inlineStr">
        <is>
          <t>pwovsa</t>
        </is>
      </c>
      <c r="B285" t="inlineStr">
        <is>
          <t>Letícia Martins</t>
        </is>
      </c>
      <c r="C285" s="8" t="n">
        <v>0.6254</v>
      </c>
      <c r="D285" s="8" t="n">
        <v>0.4483</v>
      </c>
      <c r="E285" s="8" t="n">
        <v>0.3718</v>
      </c>
      <c r="F285" s="8" t="n">
        <v>0.5163</v>
      </c>
      <c r="G285" s="8" t="n">
        <v>0.2324</v>
      </c>
      <c r="H285" s="8" t="n">
        <v>0.7294</v>
      </c>
      <c r="I285" s="8" t="n">
        <v>0.5563</v>
      </c>
      <c r="J285" s="8" t="n">
        <v>0.8528</v>
      </c>
      <c r="K285" s="8" t="n">
        <v>0.699</v>
      </c>
      <c r="L285" s="9">
        <f>1-(1-Mecanismos!B2)*(1-C285)</f>
        <v/>
      </c>
      <c r="M285" s="9">
        <f>Mecanismos!B7*D285</f>
        <v/>
      </c>
      <c r="N285" s="9">
        <f>Mecanismos!B4*(1-E285)</f>
        <v/>
      </c>
      <c r="O285" s="9">
        <f>Mecanismos!B5*(1-F285)</f>
        <v/>
      </c>
      <c r="P285" s="9">
        <f>Mecanismos!B6*(1-I285)</f>
        <v/>
      </c>
      <c r="Q285" s="9">
        <f>Mecanismos!B9*(1-G285)</f>
        <v/>
      </c>
      <c r="R285" s="9">
        <f>Mecanismos!B9*(1-J285)</f>
        <v/>
      </c>
      <c r="S285" s="9">
        <f>Mecanismos!B8*H285</f>
        <v/>
      </c>
      <c r="T285" s="9">
        <f>Mecanismos!B10*H285</f>
        <v/>
      </c>
      <c r="U285" s="9">
        <f>Mecanismos!B8*K285</f>
        <v/>
      </c>
      <c r="V285" s="9">
        <f>Mecanismos!B3*D285</f>
        <v/>
      </c>
      <c r="W285" s="9">
        <f>Parametros!B2+Parametros!B4*(S285+T285+U285+V285)-Parametros!B3*(L285+M285+N285+O285+P285+Q285+R285)</f>
        <v/>
      </c>
      <c r="X285" s="10">
        <f>1/(1+EXP(-W285))</f>
        <v/>
      </c>
      <c r="Y285" s="11">
        <f>IF(Parametros!B6=1,0.15+0.85*(1/(1+EXP(-8*((1-N285)-0.45)))),1)</f>
        <v/>
      </c>
      <c r="Z285" s="11">
        <f>IF(Parametros!B7=1,MAX(0.05,1-L285^1.6),1)</f>
        <v/>
      </c>
      <c r="AA285" s="11">
        <f>IF(Parametros!B8=1,0.2+0.8*(1/(1+EXP(-9*(S285-0.25)))),1)</f>
        <v/>
      </c>
      <c r="AB285" s="10">
        <f>X285*Y285*Z285*AA285</f>
        <v/>
      </c>
    </row>
    <row r="286">
      <c r="A286" t="inlineStr">
        <is>
          <t>fro21z</t>
        </is>
      </c>
      <c r="B286" t="inlineStr">
        <is>
          <t>Letícia Peixoto</t>
        </is>
      </c>
      <c r="C286" s="8" t="n">
        <v>0.494</v>
      </c>
      <c r="D286" s="8" t="n">
        <v>0.4541</v>
      </c>
      <c r="E286" s="8" t="n">
        <v>0.7991</v>
      </c>
      <c r="F286" s="8" t="n">
        <v>0.5017</v>
      </c>
      <c r="G286" s="8" t="n">
        <v>0.5691000000000001</v>
      </c>
      <c r="H286" s="8" t="n">
        <v>0.7834</v>
      </c>
      <c r="I286" s="8" t="n">
        <v>0.5592</v>
      </c>
      <c r="J286" s="8" t="n">
        <v>0.8809</v>
      </c>
      <c r="K286" s="8" t="n">
        <v>0.5327</v>
      </c>
      <c r="L286" s="9">
        <f>1-(1-Mecanismos!B2)*(1-C286)</f>
        <v/>
      </c>
      <c r="M286" s="9">
        <f>Mecanismos!B7*D286</f>
        <v/>
      </c>
      <c r="N286" s="9">
        <f>Mecanismos!B4*(1-E286)</f>
        <v/>
      </c>
      <c r="O286" s="9">
        <f>Mecanismos!B5*(1-F286)</f>
        <v/>
      </c>
      <c r="P286" s="9">
        <f>Mecanismos!B6*(1-I286)</f>
        <v/>
      </c>
      <c r="Q286" s="9">
        <f>Mecanismos!B9*(1-G286)</f>
        <v/>
      </c>
      <c r="R286" s="9">
        <f>Mecanismos!B9*(1-J286)</f>
        <v/>
      </c>
      <c r="S286" s="9">
        <f>Mecanismos!B8*H286</f>
        <v/>
      </c>
      <c r="T286" s="9">
        <f>Mecanismos!B10*H286</f>
        <v/>
      </c>
      <c r="U286" s="9">
        <f>Mecanismos!B8*K286</f>
        <v/>
      </c>
      <c r="V286" s="9">
        <f>Mecanismos!B3*D286</f>
        <v/>
      </c>
      <c r="W286" s="9">
        <f>Parametros!B2+Parametros!B4*(S286+T286+U286+V286)-Parametros!B3*(L286+M286+N286+O286+P286+Q286+R286)</f>
        <v/>
      </c>
      <c r="X286" s="10">
        <f>1/(1+EXP(-W286))</f>
        <v/>
      </c>
      <c r="Y286" s="11">
        <f>IF(Parametros!B6=1,0.15+0.85*(1/(1+EXP(-8*((1-N286)-0.45)))),1)</f>
        <v/>
      </c>
      <c r="Z286" s="11">
        <f>IF(Parametros!B7=1,MAX(0.05,1-L286^1.6),1)</f>
        <v/>
      </c>
      <c r="AA286" s="11">
        <f>IF(Parametros!B8=1,0.2+0.8*(1/(1+EXP(-9*(S286-0.25)))),1)</f>
        <v/>
      </c>
      <c r="AB286" s="10">
        <f>X286*Y286*Z286*AA286</f>
        <v/>
      </c>
    </row>
    <row r="287">
      <c r="A287" t="inlineStr">
        <is>
          <t>3vofs1</t>
        </is>
      </c>
      <c r="B287" t="inlineStr">
        <is>
          <t>Letícia da Costa</t>
        </is>
      </c>
      <c r="C287" s="8" t="n">
        <v>0.6284</v>
      </c>
      <c r="D287" s="8" t="n">
        <v>0.5375</v>
      </c>
      <c r="E287" s="8" t="n">
        <v>0.534</v>
      </c>
      <c r="F287" s="8" t="n">
        <v>0.5564</v>
      </c>
      <c r="G287" s="8" t="n">
        <v>0.3985</v>
      </c>
      <c r="H287" s="8" t="n">
        <v>0.7005</v>
      </c>
      <c r="I287" s="8" t="n">
        <v>0.6433</v>
      </c>
      <c r="J287" s="8" t="n">
        <v>0.9181</v>
      </c>
      <c r="K287" s="8" t="n">
        <v>0.4949</v>
      </c>
      <c r="L287" s="9">
        <f>1-(1-Mecanismos!B2)*(1-C287)</f>
        <v/>
      </c>
      <c r="M287" s="9">
        <f>Mecanismos!B7*D287</f>
        <v/>
      </c>
      <c r="N287" s="9">
        <f>Mecanismos!B4*(1-E287)</f>
        <v/>
      </c>
      <c r="O287" s="9">
        <f>Mecanismos!B5*(1-F287)</f>
        <v/>
      </c>
      <c r="P287" s="9">
        <f>Mecanismos!B6*(1-I287)</f>
        <v/>
      </c>
      <c r="Q287" s="9">
        <f>Mecanismos!B9*(1-G287)</f>
        <v/>
      </c>
      <c r="R287" s="9">
        <f>Mecanismos!B9*(1-J287)</f>
        <v/>
      </c>
      <c r="S287" s="9">
        <f>Mecanismos!B8*H287</f>
        <v/>
      </c>
      <c r="T287" s="9">
        <f>Mecanismos!B10*H287</f>
        <v/>
      </c>
      <c r="U287" s="9">
        <f>Mecanismos!B8*K287</f>
        <v/>
      </c>
      <c r="V287" s="9">
        <f>Mecanismos!B3*D287</f>
        <v/>
      </c>
      <c r="W287" s="9">
        <f>Parametros!B2+Parametros!B4*(S287+T287+U287+V287)-Parametros!B3*(L287+M287+N287+O287+P287+Q287+R287)</f>
        <v/>
      </c>
      <c r="X287" s="10">
        <f>1/(1+EXP(-W287))</f>
        <v/>
      </c>
      <c r="Y287" s="11">
        <f>IF(Parametros!B6=1,0.15+0.85*(1/(1+EXP(-8*((1-N287)-0.45)))),1)</f>
        <v/>
      </c>
      <c r="Z287" s="11">
        <f>IF(Parametros!B7=1,MAX(0.05,1-L287^1.6),1)</f>
        <v/>
      </c>
      <c r="AA287" s="11">
        <f>IF(Parametros!B8=1,0.2+0.8*(1/(1+EXP(-9*(S287-0.25)))),1)</f>
        <v/>
      </c>
      <c r="AB287" s="10">
        <f>X287*Y287*Z287*AA287</f>
        <v/>
      </c>
    </row>
    <row r="288">
      <c r="A288" t="inlineStr">
        <is>
          <t>9s03yh</t>
        </is>
      </c>
      <c r="B288" t="inlineStr">
        <is>
          <t>Levi Moreira</t>
        </is>
      </c>
      <c r="C288" s="8" t="n">
        <v>0.7205</v>
      </c>
      <c r="D288" s="8" t="n">
        <v>0.521</v>
      </c>
      <c r="E288" s="8" t="n">
        <v>0.7052</v>
      </c>
      <c r="F288" s="8" t="n">
        <v>0.4029</v>
      </c>
      <c r="G288" s="8" t="n">
        <v>0.3255</v>
      </c>
      <c r="H288" s="8" t="n">
        <v>0.628</v>
      </c>
      <c r="I288" s="8" t="n">
        <v>0.3563</v>
      </c>
      <c r="J288" s="8" t="n">
        <v>0.6701</v>
      </c>
      <c r="K288" s="8" t="n">
        <v>0.5321</v>
      </c>
      <c r="L288" s="9">
        <f>1-(1-Mecanismos!B2)*(1-C288)</f>
        <v/>
      </c>
      <c r="M288" s="9">
        <f>Mecanismos!B7*D288</f>
        <v/>
      </c>
      <c r="N288" s="9">
        <f>Mecanismos!B4*(1-E288)</f>
        <v/>
      </c>
      <c r="O288" s="9">
        <f>Mecanismos!B5*(1-F288)</f>
        <v/>
      </c>
      <c r="P288" s="9">
        <f>Mecanismos!B6*(1-I288)</f>
        <v/>
      </c>
      <c r="Q288" s="9">
        <f>Mecanismos!B9*(1-G288)</f>
        <v/>
      </c>
      <c r="R288" s="9">
        <f>Mecanismos!B9*(1-J288)</f>
        <v/>
      </c>
      <c r="S288" s="9">
        <f>Mecanismos!B8*H288</f>
        <v/>
      </c>
      <c r="T288" s="9">
        <f>Mecanismos!B10*H288</f>
        <v/>
      </c>
      <c r="U288" s="9">
        <f>Mecanismos!B8*K288</f>
        <v/>
      </c>
      <c r="V288" s="9">
        <f>Mecanismos!B3*D288</f>
        <v/>
      </c>
      <c r="W288" s="9">
        <f>Parametros!B2+Parametros!B4*(S288+T288+U288+V288)-Parametros!B3*(L288+M288+N288+O288+P288+Q288+R288)</f>
        <v/>
      </c>
      <c r="X288" s="10">
        <f>1/(1+EXP(-W288))</f>
        <v/>
      </c>
      <c r="Y288" s="11">
        <f>IF(Parametros!B6=1,0.15+0.85*(1/(1+EXP(-8*((1-N288)-0.45)))),1)</f>
        <v/>
      </c>
      <c r="Z288" s="11">
        <f>IF(Parametros!B7=1,MAX(0.05,1-L288^1.6),1)</f>
        <v/>
      </c>
      <c r="AA288" s="11">
        <f>IF(Parametros!B8=1,0.2+0.8*(1/(1+EXP(-9*(S288-0.25)))),1)</f>
        <v/>
      </c>
      <c r="AB288" s="10">
        <f>X288*Y288*Z288*AA288</f>
        <v/>
      </c>
    </row>
    <row r="289">
      <c r="A289" t="inlineStr">
        <is>
          <t>b3bs9a</t>
        </is>
      </c>
      <c r="B289" t="inlineStr">
        <is>
          <t>Levi Sousa</t>
        </is>
      </c>
      <c r="C289" s="8" t="n">
        <v>0.3972</v>
      </c>
      <c r="D289" s="8" t="n">
        <v>0.4579</v>
      </c>
      <c r="E289" s="8" t="n">
        <v>0.4582</v>
      </c>
      <c r="F289" s="8" t="n">
        <v>0.5635</v>
      </c>
      <c r="G289" s="8" t="n">
        <v>0.608</v>
      </c>
      <c r="H289" s="8" t="n">
        <v>0.5846</v>
      </c>
      <c r="I289" s="8" t="n">
        <v>0.5353</v>
      </c>
      <c r="J289" s="8" t="n">
        <v>0.703</v>
      </c>
      <c r="K289" s="8" t="n">
        <v>0.478</v>
      </c>
      <c r="L289" s="9">
        <f>1-(1-Mecanismos!B2)*(1-C289)</f>
        <v/>
      </c>
      <c r="M289" s="9">
        <f>Mecanismos!B7*D289</f>
        <v/>
      </c>
      <c r="N289" s="9">
        <f>Mecanismos!B4*(1-E289)</f>
        <v/>
      </c>
      <c r="O289" s="9">
        <f>Mecanismos!B5*(1-F289)</f>
        <v/>
      </c>
      <c r="P289" s="9">
        <f>Mecanismos!B6*(1-I289)</f>
        <v/>
      </c>
      <c r="Q289" s="9">
        <f>Mecanismos!B9*(1-G289)</f>
        <v/>
      </c>
      <c r="R289" s="9">
        <f>Mecanismos!B9*(1-J289)</f>
        <v/>
      </c>
      <c r="S289" s="9">
        <f>Mecanismos!B8*H289</f>
        <v/>
      </c>
      <c r="T289" s="9">
        <f>Mecanismos!B10*H289</f>
        <v/>
      </c>
      <c r="U289" s="9">
        <f>Mecanismos!B8*K289</f>
        <v/>
      </c>
      <c r="V289" s="9">
        <f>Mecanismos!B3*D289</f>
        <v/>
      </c>
      <c r="W289" s="9">
        <f>Parametros!B2+Parametros!B4*(S289+T289+U289+V289)-Parametros!B3*(L289+M289+N289+O289+P289+Q289+R289)</f>
        <v/>
      </c>
      <c r="X289" s="10">
        <f>1/(1+EXP(-W289))</f>
        <v/>
      </c>
      <c r="Y289" s="11">
        <f>IF(Parametros!B6=1,0.15+0.85*(1/(1+EXP(-8*((1-N289)-0.45)))),1)</f>
        <v/>
      </c>
      <c r="Z289" s="11">
        <f>IF(Parametros!B7=1,MAX(0.05,1-L289^1.6),1)</f>
        <v/>
      </c>
      <c r="AA289" s="11">
        <f>IF(Parametros!B8=1,0.2+0.8*(1/(1+EXP(-9*(S289-0.25)))),1)</f>
        <v/>
      </c>
      <c r="AB289" s="10">
        <f>X289*Y289*Z289*AA289</f>
        <v/>
      </c>
    </row>
    <row r="290">
      <c r="A290" t="inlineStr">
        <is>
          <t>0rruzm</t>
        </is>
      </c>
      <c r="B290" t="inlineStr">
        <is>
          <t>Liz Abreu</t>
        </is>
      </c>
      <c r="C290" s="8" t="n">
        <v>0.7825</v>
      </c>
      <c r="D290" s="8" t="n">
        <v>0.5401</v>
      </c>
      <c r="E290" s="8" t="n">
        <v>0.6059</v>
      </c>
      <c r="F290" s="8" t="n">
        <v>0.5877</v>
      </c>
      <c r="G290" s="8" t="n">
        <v>0.6264</v>
      </c>
      <c r="H290" s="8" t="n">
        <v>0.6186</v>
      </c>
      <c r="I290" s="8" t="n">
        <v>0.7775</v>
      </c>
      <c r="J290" s="8" t="n">
        <v>0.6782</v>
      </c>
      <c r="K290" s="8" t="n">
        <v>0.3567</v>
      </c>
      <c r="L290" s="9">
        <f>1-(1-Mecanismos!B2)*(1-C290)</f>
        <v/>
      </c>
      <c r="M290" s="9">
        <f>Mecanismos!B7*D290</f>
        <v/>
      </c>
      <c r="N290" s="9">
        <f>Mecanismos!B4*(1-E290)</f>
        <v/>
      </c>
      <c r="O290" s="9">
        <f>Mecanismos!B5*(1-F290)</f>
        <v/>
      </c>
      <c r="P290" s="9">
        <f>Mecanismos!B6*(1-I290)</f>
        <v/>
      </c>
      <c r="Q290" s="9">
        <f>Mecanismos!B9*(1-G290)</f>
        <v/>
      </c>
      <c r="R290" s="9">
        <f>Mecanismos!B9*(1-J290)</f>
        <v/>
      </c>
      <c r="S290" s="9">
        <f>Mecanismos!B8*H290</f>
        <v/>
      </c>
      <c r="T290" s="9">
        <f>Mecanismos!B10*H290</f>
        <v/>
      </c>
      <c r="U290" s="9">
        <f>Mecanismos!B8*K290</f>
        <v/>
      </c>
      <c r="V290" s="9">
        <f>Mecanismos!B3*D290</f>
        <v/>
      </c>
      <c r="W290" s="9">
        <f>Parametros!B2+Parametros!B4*(S290+T290+U290+V290)-Parametros!B3*(L290+M290+N290+O290+P290+Q290+R290)</f>
        <v/>
      </c>
      <c r="X290" s="10">
        <f>1/(1+EXP(-W290))</f>
        <v/>
      </c>
      <c r="Y290" s="11">
        <f>IF(Parametros!B6=1,0.15+0.85*(1/(1+EXP(-8*((1-N290)-0.45)))),1)</f>
        <v/>
      </c>
      <c r="Z290" s="11">
        <f>IF(Parametros!B7=1,MAX(0.05,1-L290^1.6),1)</f>
        <v/>
      </c>
      <c r="AA290" s="11">
        <f>IF(Parametros!B8=1,0.2+0.8*(1/(1+EXP(-9*(S290-0.25)))),1)</f>
        <v/>
      </c>
      <c r="AB290" s="10">
        <f>X290*Y290*Z290*AA290</f>
        <v/>
      </c>
    </row>
    <row r="291">
      <c r="A291" t="inlineStr">
        <is>
          <t>zcqizl</t>
        </is>
      </c>
      <c r="B291" t="inlineStr">
        <is>
          <t>Liz Moreira</t>
        </is>
      </c>
      <c r="C291" s="8" t="n">
        <v>0.6873</v>
      </c>
      <c r="D291" s="8" t="n">
        <v>0.4634</v>
      </c>
      <c r="E291" s="8" t="n">
        <v>0.5292</v>
      </c>
      <c r="F291" s="8" t="n">
        <v>0.5096000000000001</v>
      </c>
      <c r="G291" s="8" t="n">
        <v>0.5211</v>
      </c>
      <c r="H291" s="8" t="n">
        <v>0.534</v>
      </c>
      <c r="I291" s="8" t="n">
        <v>0.2856</v>
      </c>
      <c r="J291" s="8" t="n">
        <v>0.7278</v>
      </c>
      <c r="K291" s="8" t="n">
        <v>0.3859</v>
      </c>
      <c r="L291" s="9">
        <f>1-(1-Mecanismos!B2)*(1-C291)</f>
        <v/>
      </c>
      <c r="M291" s="9">
        <f>Mecanismos!B7*D291</f>
        <v/>
      </c>
      <c r="N291" s="9">
        <f>Mecanismos!B4*(1-E291)</f>
        <v/>
      </c>
      <c r="O291" s="9">
        <f>Mecanismos!B5*(1-F291)</f>
        <v/>
      </c>
      <c r="P291" s="9">
        <f>Mecanismos!B6*(1-I291)</f>
        <v/>
      </c>
      <c r="Q291" s="9">
        <f>Mecanismos!B9*(1-G291)</f>
        <v/>
      </c>
      <c r="R291" s="9">
        <f>Mecanismos!B9*(1-J291)</f>
        <v/>
      </c>
      <c r="S291" s="9">
        <f>Mecanismos!B8*H291</f>
        <v/>
      </c>
      <c r="T291" s="9">
        <f>Mecanismos!B10*H291</f>
        <v/>
      </c>
      <c r="U291" s="9">
        <f>Mecanismos!B8*K291</f>
        <v/>
      </c>
      <c r="V291" s="9">
        <f>Mecanismos!B3*D291</f>
        <v/>
      </c>
      <c r="W291" s="9">
        <f>Parametros!B2+Parametros!B4*(S291+T291+U291+V291)-Parametros!B3*(L291+M291+N291+O291+P291+Q291+R291)</f>
        <v/>
      </c>
      <c r="X291" s="10">
        <f>1/(1+EXP(-W291))</f>
        <v/>
      </c>
      <c r="Y291" s="11">
        <f>IF(Parametros!B6=1,0.15+0.85*(1/(1+EXP(-8*((1-N291)-0.45)))),1)</f>
        <v/>
      </c>
      <c r="Z291" s="11">
        <f>IF(Parametros!B7=1,MAX(0.05,1-L291^1.6),1)</f>
        <v/>
      </c>
      <c r="AA291" s="11">
        <f>IF(Parametros!B8=1,0.2+0.8*(1/(1+EXP(-9*(S291-0.25)))),1)</f>
        <v/>
      </c>
      <c r="AB291" s="10">
        <f>X291*Y291*Z291*AA291</f>
        <v/>
      </c>
    </row>
    <row r="292">
      <c r="A292" t="inlineStr">
        <is>
          <t>4hquuu</t>
        </is>
      </c>
      <c r="B292" t="inlineStr">
        <is>
          <t>Lorenzo Albuquerque</t>
        </is>
      </c>
      <c r="C292" s="8" t="n">
        <v>0.7147</v>
      </c>
      <c r="D292" s="8" t="n">
        <v>0.7833</v>
      </c>
      <c r="E292" s="8" t="n">
        <v>0.4728</v>
      </c>
      <c r="F292" s="8" t="n">
        <v>0.6111</v>
      </c>
      <c r="G292" s="8" t="n">
        <v>0.6011</v>
      </c>
      <c r="H292" s="8" t="n">
        <v>0.3723</v>
      </c>
      <c r="I292" s="8" t="n">
        <v>0.4063</v>
      </c>
      <c r="J292" s="8" t="n">
        <v>0.9093</v>
      </c>
      <c r="K292" s="8" t="n">
        <v>0.3653</v>
      </c>
      <c r="L292" s="9">
        <f>1-(1-Mecanismos!B2)*(1-C292)</f>
        <v/>
      </c>
      <c r="M292" s="9">
        <f>Mecanismos!B7*D292</f>
        <v/>
      </c>
      <c r="N292" s="9">
        <f>Mecanismos!B4*(1-E292)</f>
        <v/>
      </c>
      <c r="O292" s="9">
        <f>Mecanismos!B5*(1-F292)</f>
        <v/>
      </c>
      <c r="P292" s="9">
        <f>Mecanismos!B6*(1-I292)</f>
        <v/>
      </c>
      <c r="Q292" s="9">
        <f>Mecanismos!B9*(1-G292)</f>
        <v/>
      </c>
      <c r="R292" s="9">
        <f>Mecanismos!B9*(1-J292)</f>
        <v/>
      </c>
      <c r="S292" s="9">
        <f>Mecanismos!B8*H292</f>
        <v/>
      </c>
      <c r="T292" s="9">
        <f>Mecanismos!B10*H292</f>
        <v/>
      </c>
      <c r="U292" s="9">
        <f>Mecanismos!B8*K292</f>
        <v/>
      </c>
      <c r="V292" s="9">
        <f>Mecanismos!B3*D292</f>
        <v/>
      </c>
      <c r="W292" s="9">
        <f>Parametros!B2+Parametros!B4*(S292+T292+U292+V292)-Parametros!B3*(L292+M292+N292+O292+P292+Q292+R292)</f>
        <v/>
      </c>
      <c r="X292" s="10">
        <f>1/(1+EXP(-W292))</f>
        <v/>
      </c>
      <c r="Y292" s="11">
        <f>IF(Parametros!B6=1,0.15+0.85*(1/(1+EXP(-8*((1-N292)-0.45)))),1)</f>
        <v/>
      </c>
      <c r="Z292" s="11">
        <f>IF(Parametros!B7=1,MAX(0.05,1-L292^1.6),1)</f>
        <v/>
      </c>
      <c r="AA292" s="11">
        <f>IF(Parametros!B8=1,0.2+0.8*(1/(1+EXP(-9*(S292-0.25)))),1)</f>
        <v/>
      </c>
      <c r="AB292" s="10">
        <f>X292*Y292*Z292*AA292</f>
        <v/>
      </c>
    </row>
    <row r="293">
      <c r="A293" t="inlineStr">
        <is>
          <t>qhgbml</t>
        </is>
      </c>
      <c r="B293" t="inlineStr">
        <is>
          <t>Lorenzo Nogueira</t>
        </is>
      </c>
      <c r="C293" s="8" t="n">
        <v>0.6465</v>
      </c>
      <c r="D293" s="8" t="n">
        <v>0.3805</v>
      </c>
      <c r="E293" s="8" t="n">
        <v>0.4131</v>
      </c>
      <c r="F293" s="8" t="n">
        <v>0.4561</v>
      </c>
      <c r="G293" s="8" t="n">
        <v>0.2914</v>
      </c>
      <c r="H293" s="8" t="n">
        <v>0.476</v>
      </c>
      <c r="I293" s="8" t="n">
        <v>0.232</v>
      </c>
      <c r="J293" s="8" t="n">
        <v>0.7066</v>
      </c>
      <c r="K293" s="8" t="n">
        <v>0.5769</v>
      </c>
      <c r="L293" s="9">
        <f>1-(1-Mecanismos!B2)*(1-C293)</f>
        <v/>
      </c>
      <c r="M293" s="9">
        <f>Mecanismos!B7*D293</f>
        <v/>
      </c>
      <c r="N293" s="9">
        <f>Mecanismos!B4*(1-E293)</f>
        <v/>
      </c>
      <c r="O293" s="9">
        <f>Mecanismos!B5*(1-F293)</f>
        <v/>
      </c>
      <c r="P293" s="9">
        <f>Mecanismos!B6*(1-I293)</f>
        <v/>
      </c>
      <c r="Q293" s="9">
        <f>Mecanismos!B9*(1-G293)</f>
        <v/>
      </c>
      <c r="R293" s="9">
        <f>Mecanismos!B9*(1-J293)</f>
        <v/>
      </c>
      <c r="S293" s="9">
        <f>Mecanismos!B8*H293</f>
        <v/>
      </c>
      <c r="T293" s="9">
        <f>Mecanismos!B10*H293</f>
        <v/>
      </c>
      <c r="U293" s="9">
        <f>Mecanismos!B8*K293</f>
        <v/>
      </c>
      <c r="V293" s="9">
        <f>Mecanismos!B3*D293</f>
        <v/>
      </c>
      <c r="W293" s="9">
        <f>Parametros!B2+Parametros!B4*(S293+T293+U293+V293)-Parametros!B3*(L293+M293+N293+O293+P293+Q293+R293)</f>
        <v/>
      </c>
      <c r="X293" s="10">
        <f>1/(1+EXP(-W293))</f>
        <v/>
      </c>
      <c r="Y293" s="11">
        <f>IF(Parametros!B6=1,0.15+0.85*(1/(1+EXP(-8*((1-N293)-0.45)))),1)</f>
        <v/>
      </c>
      <c r="Z293" s="11">
        <f>IF(Parametros!B7=1,MAX(0.05,1-L293^1.6),1)</f>
        <v/>
      </c>
      <c r="AA293" s="11">
        <f>IF(Parametros!B8=1,0.2+0.8*(1/(1+EXP(-9*(S293-0.25)))),1)</f>
        <v/>
      </c>
      <c r="AB293" s="10">
        <f>X293*Y293*Z293*AA293</f>
        <v/>
      </c>
    </row>
    <row r="294">
      <c r="A294" t="inlineStr">
        <is>
          <t>7j9ypw</t>
        </is>
      </c>
      <c r="B294" t="inlineStr">
        <is>
          <t>Luana Cavalcante</t>
        </is>
      </c>
      <c r="C294" s="8" t="n">
        <v>0.7782</v>
      </c>
      <c r="D294" s="8" t="n">
        <v>0.5786</v>
      </c>
      <c r="E294" s="8" t="n">
        <v>0.6938</v>
      </c>
      <c r="F294" s="8" t="n">
        <v>0.7053</v>
      </c>
      <c r="G294" s="8" t="n">
        <v>0.4995</v>
      </c>
      <c r="H294" s="8" t="n">
        <v>0.6046</v>
      </c>
      <c r="I294" s="8" t="n">
        <v>0.6847</v>
      </c>
      <c r="J294" s="8" t="n">
        <v>0.8335</v>
      </c>
      <c r="K294" s="8" t="n">
        <v>0.5797</v>
      </c>
      <c r="L294" s="9">
        <f>1-(1-Mecanismos!B2)*(1-C294)</f>
        <v/>
      </c>
      <c r="M294" s="9">
        <f>Mecanismos!B7*D294</f>
        <v/>
      </c>
      <c r="N294" s="9">
        <f>Mecanismos!B4*(1-E294)</f>
        <v/>
      </c>
      <c r="O294" s="9">
        <f>Mecanismos!B5*(1-F294)</f>
        <v/>
      </c>
      <c r="P294" s="9">
        <f>Mecanismos!B6*(1-I294)</f>
        <v/>
      </c>
      <c r="Q294" s="9">
        <f>Mecanismos!B9*(1-G294)</f>
        <v/>
      </c>
      <c r="R294" s="9">
        <f>Mecanismos!B9*(1-J294)</f>
        <v/>
      </c>
      <c r="S294" s="9">
        <f>Mecanismos!B8*H294</f>
        <v/>
      </c>
      <c r="T294" s="9">
        <f>Mecanismos!B10*H294</f>
        <v/>
      </c>
      <c r="U294" s="9">
        <f>Mecanismos!B8*K294</f>
        <v/>
      </c>
      <c r="V294" s="9">
        <f>Mecanismos!B3*D294</f>
        <v/>
      </c>
      <c r="W294" s="9">
        <f>Parametros!B2+Parametros!B4*(S294+T294+U294+V294)-Parametros!B3*(L294+M294+N294+O294+P294+Q294+R294)</f>
        <v/>
      </c>
      <c r="X294" s="10">
        <f>1/(1+EXP(-W294))</f>
        <v/>
      </c>
      <c r="Y294" s="11">
        <f>IF(Parametros!B6=1,0.15+0.85*(1/(1+EXP(-8*((1-N294)-0.45)))),1)</f>
        <v/>
      </c>
      <c r="Z294" s="11">
        <f>IF(Parametros!B7=1,MAX(0.05,1-L294^1.6),1)</f>
        <v/>
      </c>
      <c r="AA294" s="11">
        <f>IF(Parametros!B8=1,0.2+0.8*(1/(1+EXP(-9*(S294-0.25)))),1)</f>
        <v/>
      </c>
      <c r="AB294" s="10">
        <f>X294*Y294*Z294*AA294</f>
        <v/>
      </c>
    </row>
    <row r="295">
      <c r="A295" t="inlineStr">
        <is>
          <t>voflsa</t>
        </is>
      </c>
      <c r="B295" t="inlineStr">
        <is>
          <t>Luana Rocha</t>
        </is>
      </c>
      <c r="C295" s="8" t="n">
        <v>0.4473</v>
      </c>
      <c r="D295" s="8" t="n">
        <v>0.3959</v>
      </c>
      <c r="E295" s="8" t="n">
        <v>0.6317</v>
      </c>
      <c r="F295" s="8" t="n">
        <v>0.4356</v>
      </c>
      <c r="G295" s="8" t="n">
        <v>0.2244</v>
      </c>
      <c r="H295" s="8" t="n">
        <v>0.7573</v>
      </c>
      <c r="I295" s="8" t="n">
        <v>0.5713</v>
      </c>
      <c r="J295" s="8" t="n">
        <v>0.4475</v>
      </c>
      <c r="K295" s="8" t="n">
        <v>0.4417</v>
      </c>
      <c r="L295" s="9">
        <f>1-(1-Mecanismos!B2)*(1-C295)</f>
        <v/>
      </c>
      <c r="M295" s="9">
        <f>Mecanismos!B7*D295</f>
        <v/>
      </c>
      <c r="N295" s="9">
        <f>Mecanismos!B4*(1-E295)</f>
        <v/>
      </c>
      <c r="O295" s="9">
        <f>Mecanismos!B5*(1-F295)</f>
        <v/>
      </c>
      <c r="P295" s="9">
        <f>Mecanismos!B6*(1-I295)</f>
        <v/>
      </c>
      <c r="Q295" s="9">
        <f>Mecanismos!B9*(1-G295)</f>
        <v/>
      </c>
      <c r="R295" s="9">
        <f>Mecanismos!B9*(1-J295)</f>
        <v/>
      </c>
      <c r="S295" s="9">
        <f>Mecanismos!B8*H295</f>
        <v/>
      </c>
      <c r="T295" s="9">
        <f>Mecanismos!B10*H295</f>
        <v/>
      </c>
      <c r="U295" s="9">
        <f>Mecanismos!B8*K295</f>
        <v/>
      </c>
      <c r="V295" s="9">
        <f>Mecanismos!B3*D295</f>
        <v/>
      </c>
      <c r="W295" s="9">
        <f>Parametros!B2+Parametros!B4*(S295+T295+U295+V295)-Parametros!B3*(L295+M295+N295+O295+P295+Q295+R295)</f>
        <v/>
      </c>
      <c r="X295" s="10">
        <f>1/(1+EXP(-W295))</f>
        <v/>
      </c>
      <c r="Y295" s="11">
        <f>IF(Parametros!B6=1,0.15+0.85*(1/(1+EXP(-8*((1-N295)-0.45)))),1)</f>
        <v/>
      </c>
      <c r="Z295" s="11">
        <f>IF(Parametros!B7=1,MAX(0.05,1-L295^1.6),1)</f>
        <v/>
      </c>
      <c r="AA295" s="11">
        <f>IF(Parametros!B8=1,0.2+0.8*(1/(1+EXP(-9*(S295-0.25)))),1)</f>
        <v/>
      </c>
      <c r="AB295" s="10">
        <f>X295*Y295*Z295*AA295</f>
        <v/>
      </c>
    </row>
    <row r="296">
      <c r="A296" t="inlineStr">
        <is>
          <t>a6neu5</t>
        </is>
      </c>
      <c r="B296" t="inlineStr">
        <is>
          <t>Luara Fonseca</t>
        </is>
      </c>
      <c r="C296" s="8" t="n">
        <v>0.6939</v>
      </c>
      <c r="D296" s="8" t="n">
        <v>0.4164</v>
      </c>
      <c r="E296" s="8" t="n">
        <v>0.2342</v>
      </c>
      <c r="F296" s="8" t="n">
        <v>0.6604</v>
      </c>
      <c r="G296" s="8" t="n">
        <v>0.3222</v>
      </c>
      <c r="H296" s="8" t="n">
        <v>0.6408</v>
      </c>
      <c r="I296" s="8" t="n">
        <v>0.5713</v>
      </c>
      <c r="J296" s="8" t="n">
        <v>0.4912</v>
      </c>
      <c r="K296" s="8" t="n">
        <v>0.9405</v>
      </c>
      <c r="L296" s="9">
        <f>1-(1-Mecanismos!B2)*(1-C296)</f>
        <v/>
      </c>
      <c r="M296" s="9">
        <f>Mecanismos!B7*D296</f>
        <v/>
      </c>
      <c r="N296" s="9">
        <f>Mecanismos!B4*(1-E296)</f>
        <v/>
      </c>
      <c r="O296" s="9">
        <f>Mecanismos!B5*(1-F296)</f>
        <v/>
      </c>
      <c r="P296" s="9">
        <f>Mecanismos!B6*(1-I296)</f>
        <v/>
      </c>
      <c r="Q296" s="9">
        <f>Mecanismos!B9*(1-G296)</f>
        <v/>
      </c>
      <c r="R296" s="9">
        <f>Mecanismos!B9*(1-J296)</f>
        <v/>
      </c>
      <c r="S296" s="9">
        <f>Mecanismos!B8*H296</f>
        <v/>
      </c>
      <c r="T296" s="9">
        <f>Mecanismos!B10*H296</f>
        <v/>
      </c>
      <c r="U296" s="9">
        <f>Mecanismos!B8*K296</f>
        <v/>
      </c>
      <c r="V296" s="9">
        <f>Mecanismos!B3*D296</f>
        <v/>
      </c>
      <c r="W296" s="9">
        <f>Parametros!B2+Parametros!B4*(S296+T296+U296+V296)-Parametros!B3*(L296+M296+N296+O296+P296+Q296+R296)</f>
        <v/>
      </c>
      <c r="X296" s="10">
        <f>1/(1+EXP(-W296))</f>
        <v/>
      </c>
      <c r="Y296" s="11">
        <f>IF(Parametros!B6=1,0.15+0.85*(1/(1+EXP(-8*((1-N296)-0.45)))),1)</f>
        <v/>
      </c>
      <c r="Z296" s="11">
        <f>IF(Parametros!B7=1,MAX(0.05,1-L296^1.6),1)</f>
        <v/>
      </c>
      <c r="AA296" s="11">
        <f>IF(Parametros!B8=1,0.2+0.8*(1/(1+EXP(-9*(S296-0.25)))),1)</f>
        <v/>
      </c>
      <c r="AB296" s="10">
        <f>X296*Y296*Z296*AA296</f>
        <v/>
      </c>
    </row>
    <row r="297">
      <c r="A297" t="inlineStr">
        <is>
          <t>qmh39m</t>
        </is>
      </c>
      <c r="B297" t="inlineStr">
        <is>
          <t>Lucas Gabriel da Conceição</t>
        </is>
      </c>
      <c r="C297" s="8" t="n">
        <v>0.3498</v>
      </c>
      <c r="D297" s="8" t="n">
        <v>0.7603</v>
      </c>
      <c r="E297" s="8" t="n">
        <v>0.8469</v>
      </c>
      <c r="F297" s="8" t="n">
        <v>0.7108</v>
      </c>
      <c r="G297" s="8" t="n">
        <v>0.5434</v>
      </c>
      <c r="H297" s="8" t="n">
        <v>0.5341</v>
      </c>
      <c r="I297" s="8" t="n">
        <v>0.8531</v>
      </c>
      <c r="J297" s="8" t="n">
        <v>0.8913</v>
      </c>
      <c r="K297" s="8" t="n">
        <v>0.2341</v>
      </c>
      <c r="L297" s="9">
        <f>1-(1-Mecanismos!B2)*(1-C297)</f>
        <v/>
      </c>
      <c r="M297" s="9">
        <f>Mecanismos!B7*D297</f>
        <v/>
      </c>
      <c r="N297" s="9">
        <f>Mecanismos!B4*(1-E297)</f>
        <v/>
      </c>
      <c r="O297" s="9">
        <f>Mecanismos!B5*(1-F297)</f>
        <v/>
      </c>
      <c r="P297" s="9">
        <f>Mecanismos!B6*(1-I297)</f>
        <v/>
      </c>
      <c r="Q297" s="9">
        <f>Mecanismos!B9*(1-G297)</f>
        <v/>
      </c>
      <c r="R297" s="9">
        <f>Mecanismos!B9*(1-J297)</f>
        <v/>
      </c>
      <c r="S297" s="9">
        <f>Mecanismos!B8*H297</f>
        <v/>
      </c>
      <c r="T297" s="9">
        <f>Mecanismos!B10*H297</f>
        <v/>
      </c>
      <c r="U297" s="9">
        <f>Mecanismos!B8*K297</f>
        <v/>
      </c>
      <c r="V297" s="9">
        <f>Mecanismos!B3*D297</f>
        <v/>
      </c>
      <c r="W297" s="9">
        <f>Parametros!B2+Parametros!B4*(S297+T297+U297+V297)-Parametros!B3*(L297+M297+N297+O297+P297+Q297+R297)</f>
        <v/>
      </c>
      <c r="X297" s="10">
        <f>1/(1+EXP(-W297))</f>
        <v/>
      </c>
      <c r="Y297" s="11">
        <f>IF(Parametros!B6=1,0.15+0.85*(1/(1+EXP(-8*((1-N297)-0.45)))),1)</f>
        <v/>
      </c>
      <c r="Z297" s="11">
        <f>IF(Parametros!B7=1,MAX(0.05,1-L297^1.6),1)</f>
        <v/>
      </c>
      <c r="AA297" s="11">
        <f>IF(Parametros!B8=1,0.2+0.8*(1/(1+EXP(-9*(S297-0.25)))),1)</f>
        <v/>
      </c>
      <c r="AB297" s="10">
        <f>X297*Y297*Z297*AA297</f>
        <v/>
      </c>
    </row>
    <row r="298">
      <c r="A298" t="inlineStr">
        <is>
          <t>wtfaho</t>
        </is>
      </c>
      <c r="B298" t="inlineStr">
        <is>
          <t>Lucas Moura</t>
        </is>
      </c>
      <c r="C298" s="8" t="n">
        <v>0.7124</v>
      </c>
      <c r="D298" s="8" t="n">
        <v>0.7016</v>
      </c>
      <c r="E298" s="8" t="n">
        <v>0.6929</v>
      </c>
      <c r="F298" s="8" t="n">
        <v>0.1945</v>
      </c>
      <c r="G298" s="8" t="n">
        <v>0.3978</v>
      </c>
      <c r="H298" s="8" t="n">
        <v>0.414</v>
      </c>
      <c r="I298" s="8" t="n">
        <v>0.5608</v>
      </c>
      <c r="J298" s="8" t="n">
        <v>0.7302999999999999</v>
      </c>
      <c r="K298" s="8" t="n">
        <v>0.3746</v>
      </c>
      <c r="L298" s="9">
        <f>1-(1-Mecanismos!B2)*(1-C298)</f>
        <v/>
      </c>
      <c r="M298" s="9">
        <f>Mecanismos!B7*D298</f>
        <v/>
      </c>
      <c r="N298" s="9">
        <f>Mecanismos!B4*(1-E298)</f>
        <v/>
      </c>
      <c r="O298" s="9">
        <f>Mecanismos!B5*(1-F298)</f>
        <v/>
      </c>
      <c r="P298" s="9">
        <f>Mecanismos!B6*(1-I298)</f>
        <v/>
      </c>
      <c r="Q298" s="9">
        <f>Mecanismos!B9*(1-G298)</f>
        <v/>
      </c>
      <c r="R298" s="9">
        <f>Mecanismos!B9*(1-J298)</f>
        <v/>
      </c>
      <c r="S298" s="9">
        <f>Mecanismos!B8*H298</f>
        <v/>
      </c>
      <c r="T298" s="9">
        <f>Mecanismos!B10*H298</f>
        <v/>
      </c>
      <c r="U298" s="9">
        <f>Mecanismos!B8*K298</f>
        <v/>
      </c>
      <c r="V298" s="9">
        <f>Mecanismos!B3*D298</f>
        <v/>
      </c>
      <c r="W298" s="9">
        <f>Parametros!B2+Parametros!B4*(S298+T298+U298+V298)-Parametros!B3*(L298+M298+N298+O298+P298+Q298+R298)</f>
        <v/>
      </c>
      <c r="X298" s="10">
        <f>1/(1+EXP(-W298))</f>
        <v/>
      </c>
      <c r="Y298" s="11">
        <f>IF(Parametros!B6=1,0.15+0.85*(1/(1+EXP(-8*((1-N298)-0.45)))),1)</f>
        <v/>
      </c>
      <c r="Z298" s="11">
        <f>IF(Parametros!B7=1,MAX(0.05,1-L298^1.6),1)</f>
        <v/>
      </c>
      <c r="AA298" s="11">
        <f>IF(Parametros!B8=1,0.2+0.8*(1/(1+EXP(-9*(S298-0.25)))),1)</f>
        <v/>
      </c>
      <c r="AB298" s="10">
        <f>X298*Y298*Z298*AA298</f>
        <v/>
      </c>
    </row>
    <row r="299">
      <c r="A299" t="inlineStr">
        <is>
          <t>q2c6wh</t>
        </is>
      </c>
      <c r="B299" t="inlineStr">
        <is>
          <t>Lucas Rios</t>
        </is>
      </c>
      <c r="C299" s="8" t="n">
        <v>0.6197</v>
      </c>
      <c r="D299" s="8" t="n">
        <v>0.5523</v>
      </c>
      <c r="E299" s="8" t="n">
        <v>0.6167</v>
      </c>
      <c r="F299" s="8" t="n">
        <v>0.5051</v>
      </c>
      <c r="G299" s="8" t="n">
        <v>0.5533</v>
      </c>
      <c r="H299" s="8" t="n">
        <v>0.6435</v>
      </c>
      <c r="I299" s="8" t="n">
        <v>0.5726</v>
      </c>
      <c r="J299" s="8" t="n">
        <v>0.853</v>
      </c>
      <c r="K299" s="8" t="n">
        <v>0.4782</v>
      </c>
      <c r="L299" s="9">
        <f>1-(1-Mecanismos!B2)*(1-C299)</f>
        <v/>
      </c>
      <c r="M299" s="9">
        <f>Mecanismos!B7*D299</f>
        <v/>
      </c>
      <c r="N299" s="9">
        <f>Mecanismos!B4*(1-E299)</f>
        <v/>
      </c>
      <c r="O299" s="9">
        <f>Mecanismos!B5*(1-F299)</f>
        <v/>
      </c>
      <c r="P299" s="9">
        <f>Mecanismos!B6*(1-I299)</f>
        <v/>
      </c>
      <c r="Q299" s="9">
        <f>Mecanismos!B9*(1-G299)</f>
        <v/>
      </c>
      <c r="R299" s="9">
        <f>Mecanismos!B9*(1-J299)</f>
        <v/>
      </c>
      <c r="S299" s="9">
        <f>Mecanismos!B8*H299</f>
        <v/>
      </c>
      <c r="T299" s="9">
        <f>Mecanismos!B10*H299</f>
        <v/>
      </c>
      <c r="U299" s="9">
        <f>Mecanismos!B8*K299</f>
        <v/>
      </c>
      <c r="V299" s="9">
        <f>Mecanismos!B3*D299</f>
        <v/>
      </c>
      <c r="W299" s="9">
        <f>Parametros!B2+Parametros!B4*(S299+T299+U299+V299)-Parametros!B3*(L299+M299+N299+O299+P299+Q299+R299)</f>
        <v/>
      </c>
      <c r="X299" s="10">
        <f>1/(1+EXP(-W299))</f>
        <v/>
      </c>
      <c r="Y299" s="11">
        <f>IF(Parametros!B6=1,0.15+0.85*(1/(1+EXP(-8*((1-N299)-0.45)))),1)</f>
        <v/>
      </c>
      <c r="Z299" s="11">
        <f>IF(Parametros!B7=1,MAX(0.05,1-L299^1.6),1)</f>
        <v/>
      </c>
      <c r="AA299" s="11">
        <f>IF(Parametros!B8=1,0.2+0.8*(1/(1+EXP(-9*(S299-0.25)))),1)</f>
        <v/>
      </c>
      <c r="AB299" s="10">
        <f>X299*Y299*Z299*AA299</f>
        <v/>
      </c>
    </row>
    <row r="300">
      <c r="A300" t="inlineStr">
        <is>
          <t>g5csi0</t>
        </is>
      </c>
      <c r="B300" t="inlineStr">
        <is>
          <t>Lucca Cavalcante</t>
        </is>
      </c>
      <c r="C300" s="8" t="n">
        <v>0.6395</v>
      </c>
      <c r="D300" s="8" t="n">
        <v>0.7148</v>
      </c>
      <c r="E300" s="8" t="n">
        <v>0.5739</v>
      </c>
      <c r="F300" s="8" t="n">
        <v>0.5628</v>
      </c>
      <c r="G300" s="8" t="n">
        <v>0.4813</v>
      </c>
      <c r="H300" s="8" t="n">
        <v>0.5661</v>
      </c>
      <c r="I300" s="8" t="n">
        <v>0.3764</v>
      </c>
      <c r="J300" s="8" t="n">
        <v>0.8542</v>
      </c>
      <c r="K300" s="8" t="n">
        <v>0.4326</v>
      </c>
      <c r="L300" s="9">
        <f>1-(1-Mecanismos!B2)*(1-C300)</f>
        <v/>
      </c>
      <c r="M300" s="9">
        <f>Mecanismos!B7*D300</f>
        <v/>
      </c>
      <c r="N300" s="9">
        <f>Mecanismos!B4*(1-E300)</f>
        <v/>
      </c>
      <c r="O300" s="9">
        <f>Mecanismos!B5*(1-F300)</f>
        <v/>
      </c>
      <c r="P300" s="9">
        <f>Mecanismos!B6*(1-I300)</f>
        <v/>
      </c>
      <c r="Q300" s="9">
        <f>Mecanismos!B9*(1-G300)</f>
        <v/>
      </c>
      <c r="R300" s="9">
        <f>Mecanismos!B9*(1-J300)</f>
        <v/>
      </c>
      <c r="S300" s="9">
        <f>Mecanismos!B8*H300</f>
        <v/>
      </c>
      <c r="T300" s="9">
        <f>Mecanismos!B10*H300</f>
        <v/>
      </c>
      <c r="U300" s="9">
        <f>Mecanismos!B8*K300</f>
        <v/>
      </c>
      <c r="V300" s="9">
        <f>Mecanismos!B3*D300</f>
        <v/>
      </c>
      <c r="W300" s="9">
        <f>Parametros!B2+Parametros!B4*(S300+T300+U300+V300)-Parametros!B3*(L300+M300+N300+O300+P300+Q300+R300)</f>
        <v/>
      </c>
      <c r="X300" s="10">
        <f>1/(1+EXP(-W300))</f>
        <v/>
      </c>
      <c r="Y300" s="11">
        <f>IF(Parametros!B6=1,0.15+0.85*(1/(1+EXP(-8*((1-N300)-0.45)))),1)</f>
        <v/>
      </c>
      <c r="Z300" s="11">
        <f>IF(Parametros!B7=1,MAX(0.05,1-L300^1.6),1)</f>
        <v/>
      </c>
      <c r="AA300" s="11">
        <f>IF(Parametros!B8=1,0.2+0.8*(1/(1+EXP(-9*(S300-0.25)))),1)</f>
        <v/>
      </c>
      <c r="AB300" s="10">
        <f>X300*Y300*Z300*AA300</f>
        <v/>
      </c>
    </row>
    <row r="301">
      <c r="A301" t="inlineStr">
        <is>
          <t>u2hirb</t>
        </is>
      </c>
      <c r="B301" t="inlineStr">
        <is>
          <t>Lucca Dias</t>
        </is>
      </c>
      <c r="C301" s="8" t="n">
        <v>0.6812</v>
      </c>
      <c r="D301" s="8" t="n">
        <v>0.6251</v>
      </c>
      <c r="E301" s="8" t="n">
        <v>0.4171</v>
      </c>
      <c r="F301" s="8" t="n">
        <v>0.6624</v>
      </c>
      <c r="G301" s="8" t="n">
        <v>0.6116</v>
      </c>
      <c r="H301" s="8" t="n">
        <v>0.6061</v>
      </c>
      <c r="I301" s="8" t="n">
        <v>0.6717</v>
      </c>
      <c r="J301" s="8" t="n">
        <v>0.7985</v>
      </c>
      <c r="K301" s="8" t="n">
        <v>0.4348</v>
      </c>
      <c r="L301" s="9">
        <f>1-(1-Mecanismos!B2)*(1-C301)</f>
        <v/>
      </c>
      <c r="M301" s="9">
        <f>Mecanismos!B7*D301</f>
        <v/>
      </c>
      <c r="N301" s="9">
        <f>Mecanismos!B4*(1-E301)</f>
        <v/>
      </c>
      <c r="O301" s="9">
        <f>Mecanismos!B5*(1-F301)</f>
        <v/>
      </c>
      <c r="P301" s="9">
        <f>Mecanismos!B6*(1-I301)</f>
        <v/>
      </c>
      <c r="Q301" s="9">
        <f>Mecanismos!B9*(1-G301)</f>
        <v/>
      </c>
      <c r="R301" s="9">
        <f>Mecanismos!B9*(1-J301)</f>
        <v/>
      </c>
      <c r="S301" s="9">
        <f>Mecanismos!B8*H301</f>
        <v/>
      </c>
      <c r="T301" s="9">
        <f>Mecanismos!B10*H301</f>
        <v/>
      </c>
      <c r="U301" s="9">
        <f>Mecanismos!B8*K301</f>
        <v/>
      </c>
      <c r="V301" s="9">
        <f>Mecanismos!B3*D301</f>
        <v/>
      </c>
      <c r="W301" s="9">
        <f>Parametros!B2+Parametros!B4*(S301+T301+U301+V301)-Parametros!B3*(L301+M301+N301+O301+P301+Q301+R301)</f>
        <v/>
      </c>
      <c r="X301" s="10">
        <f>1/(1+EXP(-W301))</f>
        <v/>
      </c>
      <c r="Y301" s="11">
        <f>IF(Parametros!B6=1,0.15+0.85*(1/(1+EXP(-8*((1-N301)-0.45)))),1)</f>
        <v/>
      </c>
      <c r="Z301" s="11">
        <f>IF(Parametros!B7=1,MAX(0.05,1-L301^1.6),1)</f>
        <v/>
      </c>
      <c r="AA301" s="11">
        <f>IF(Parametros!B8=1,0.2+0.8*(1/(1+EXP(-9*(S301-0.25)))),1)</f>
        <v/>
      </c>
      <c r="AB301" s="10">
        <f>X301*Y301*Z301*AA301</f>
        <v/>
      </c>
    </row>
    <row r="302">
      <c r="A302" t="inlineStr">
        <is>
          <t>y81btb</t>
        </is>
      </c>
      <c r="B302" t="inlineStr">
        <is>
          <t>Lucca Gonçalves</t>
        </is>
      </c>
      <c r="C302" s="8" t="n">
        <v>0.7083</v>
      </c>
      <c r="D302" s="8" t="n">
        <v>0.5212</v>
      </c>
      <c r="E302" s="8" t="n">
        <v>0.4492</v>
      </c>
      <c r="F302" s="8" t="n">
        <v>0.7411</v>
      </c>
      <c r="G302" s="8" t="n">
        <v>0.477</v>
      </c>
      <c r="H302" s="8" t="n">
        <v>0.46</v>
      </c>
      <c r="I302" s="8" t="n">
        <v>0.5452</v>
      </c>
      <c r="J302" s="8" t="n">
        <v>0.5483</v>
      </c>
      <c r="K302" s="8" t="n">
        <v>0.6241</v>
      </c>
      <c r="L302" s="9">
        <f>1-(1-Mecanismos!B2)*(1-C302)</f>
        <v/>
      </c>
      <c r="M302" s="9">
        <f>Mecanismos!B7*D302</f>
        <v/>
      </c>
      <c r="N302" s="9">
        <f>Mecanismos!B4*(1-E302)</f>
        <v/>
      </c>
      <c r="O302" s="9">
        <f>Mecanismos!B5*(1-F302)</f>
        <v/>
      </c>
      <c r="P302" s="9">
        <f>Mecanismos!B6*(1-I302)</f>
        <v/>
      </c>
      <c r="Q302" s="9">
        <f>Mecanismos!B9*(1-G302)</f>
        <v/>
      </c>
      <c r="R302" s="9">
        <f>Mecanismos!B9*(1-J302)</f>
        <v/>
      </c>
      <c r="S302" s="9">
        <f>Mecanismos!B8*H302</f>
        <v/>
      </c>
      <c r="T302" s="9">
        <f>Mecanismos!B10*H302</f>
        <v/>
      </c>
      <c r="U302" s="9">
        <f>Mecanismos!B8*K302</f>
        <v/>
      </c>
      <c r="V302" s="9">
        <f>Mecanismos!B3*D302</f>
        <v/>
      </c>
      <c r="W302" s="9">
        <f>Parametros!B2+Parametros!B4*(S302+T302+U302+V302)-Parametros!B3*(L302+M302+N302+O302+P302+Q302+R302)</f>
        <v/>
      </c>
      <c r="X302" s="10">
        <f>1/(1+EXP(-W302))</f>
        <v/>
      </c>
      <c r="Y302" s="11">
        <f>IF(Parametros!B6=1,0.15+0.85*(1/(1+EXP(-8*((1-N302)-0.45)))),1)</f>
        <v/>
      </c>
      <c r="Z302" s="11">
        <f>IF(Parametros!B7=1,MAX(0.05,1-L302^1.6),1)</f>
        <v/>
      </c>
      <c r="AA302" s="11">
        <f>IF(Parametros!B8=1,0.2+0.8*(1/(1+EXP(-9*(S302-0.25)))),1)</f>
        <v/>
      </c>
      <c r="AB302" s="10">
        <f>X302*Y302*Z302*AA302</f>
        <v/>
      </c>
    </row>
    <row r="303">
      <c r="A303" t="inlineStr">
        <is>
          <t>tq8cku</t>
        </is>
      </c>
      <c r="B303" t="inlineStr">
        <is>
          <t>Lucca Melo</t>
        </is>
      </c>
      <c r="C303" s="8" t="n">
        <v>0.6496</v>
      </c>
      <c r="D303" s="8" t="n">
        <v>0.3391</v>
      </c>
      <c r="E303" s="8" t="n">
        <v>0.5676</v>
      </c>
      <c r="F303" s="8" t="n">
        <v>0.6604</v>
      </c>
      <c r="G303" s="8" t="n">
        <v>0.463</v>
      </c>
      <c r="H303" s="8" t="n">
        <v>0.5344</v>
      </c>
      <c r="I303" s="8" t="n">
        <v>0.2991</v>
      </c>
      <c r="J303" s="8" t="n">
        <v>0.8048</v>
      </c>
      <c r="K303" s="8" t="n">
        <v>0.209</v>
      </c>
      <c r="L303" s="9">
        <f>1-(1-Mecanismos!B2)*(1-C303)</f>
        <v/>
      </c>
      <c r="M303" s="9">
        <f>Mecanismos!B7*D303</f>
        <v/>
      </c>
      <c r="N303" s="9">
        <f>Mecanismos!B4*(1-E303)</f>
        <v/>
      </c>
      <c r="O303" s="9">
        <f>Mecanismos!B5*(1-F303)</f>
        <v/>
      </c>
      <c r="P303" s="9">
        <f>Mecanismos!B6*(1-I303)</f>
        <v/>
      </c>
      <c r="Q303" s="9">
        <f>Mecanismos!B9*(1-G303)</f>
        <v/>
      </c>
      <c r="R303" s="9">
        <f>Mecanismos!B9*(1-J303)</f>
        <v/>
      </c>
      <c r="S303" s="9">
        <f>Mecanismos!B8*H303</f>
        <v/>
      </c>
      <c r="T303" s="9">
        <f>Mecanismos!B10*H303</f>
        <v/>
      </c>
      <c r="U303" s="9">
        <f>Mecanismos!B8*K303</f>
        <v/>
      </c>
      <c r="V303" s="9">
        <f>Mecanismos!B3*D303</f>
        <v/>
      </c>
      <c r="W303" s="9">
        <f>Parametros!B2+Parametros!B4*(S303+T303+U303+V303)-Parametros!B3*(L303+M303+N303+O303+P303+Q303+R303)</f>
        <v/>
      </c>
      <c r="X303" s="10">
        <f>1/(1+EXP(-W303))</f>
        <v/>
      </c>
      <c r="Y303" s="11">
        <f>IF(Parametros!B6=1,0.15+0.85*(1/(1+EXP(-8*((1-N303)-0.45)))),1)</f>
        <v/>
      </c>
      <c r="Z303" s="11">
        <f>IF(Parametros!B7=1,MAX(0.05,1-L303^1.6),1)</f>
        <v/>
      </c>
      <c r="AA303" s="11">
        <f>IF(Parametros!B8=1,0.2+0.8*(1/(1+EXP(-9*(S303-0.25)))),1)</f>
        <v/>
      </c>
      <c r="AB303" s="10">
        <f>X303*Y303*Z303*AA303</f>
        <v/>
      </c>
    </row>
    <row r="304">
      <c r="A304" t="inlineStr">
        <is>
          <t>7yr2da</t>
        </is>
      </c>
      <c r="B304" t="inlineStr">
        <is>
          <t>Lucca Montenegro</t>
        </is>
      </c>
      <c r="C304" s="8" t="n">
        <v>0.3533</v>
      </c>
      <c r="D304" s="8" t="n">
        <v>0.4487</v>
      </c>
      <c r="E304" s="8" t="n">
        <v>0.478</v>
      </c>
      <c r="F304" s="8" t="n">
        <v>0.4285</v>
      </c>
      <c r="G304" s="8" t="n">
        <v>0.5093</v>
      </c>
      <c r="H304" s="8" t="n">
        <v>0.6699000000000001</v>
      </c>
      <c r="I304" s="8" t="n">
        <v>0.4777</v>
      </c>
      <c r="J304" s="8" t="n">
        <v>0.7391</v>
      </c>
      <c r="K304" s="8" t="n">
        <v>0.6415999999999999</v>
      </c>
      <c r="L304" s="9">
        <f>1-(1-Mecanismos!B2)*(1-C304)</f>
        <v/>
      </c>
      <c r="M304" s="9">
        <f>Mecanismos!B7*D304</f>
        <v/>
      </c>
      <c r="N304" s="9">
        <f>Mecanismos!B4*(1-E304)</f>
        <v/>
      </c>
      <c r="O304" s="9">
        <f>Mecanismos!B5*(1-F304)</f>
        <v/>
      </c>
      <c r="P304" s="9">
        <f>Mecanismos!B6*(1-I304)</f>
        <v/>
      </c>
      <c r="Q304" s="9">
        <f>Mecanismos!B9*(1-G304)</f>
        <v/>
      </c>
      <c r="R304" s="9">
        <f>Mecanismos!B9*(1-J304)</f>
        <v/>
      </c>
      <c r="S304" s="9">
        <f>Mecanismos!B8*H304</f>
        <v/>
      </c>
      <c r="T304" s="9">
        <f>Mecanismos!B10*H304</f>
        <v/>
      </c>
      <c r="U304" s="9">
        <f>Mecanismos!B8*K304</f>
        <v/>
      </c>
      <c r="V304" s="9">
        <f>Mecanismos!B3*D304</f>
        <v/>
      </c>
      <c r="W304" s="9">
        <f>Parametros!B2+Parametros!B4*(S304+T304+U304+V304)-Parametros!B3*(L304+M304+N304+O304+P304+Q304+R304)</f>
        <v/>
      </c>
      <c r="X304" s="10">
        <f>1/(1+EXP(-W304))</f>
        <v/>
      </c>
      <c r="Y304" s="11">
        <f>IF(Parametros!B6=1,0.15+0.85*(1/(1+EXP(-8*((1-N304)-0.45)))),1)</f>
        <v/>
      </c>
      <c r="Z304" s="11">
        <f>IF(Parametros!B7=1,MAX(0.05,1-L304^1.6),1)</f>
        <v/>
      </c>
      <c r="AA304" s="11">
        <f>IF(Parametros!B8=1,0.2+0.8*(1/(1+EXP(-9*(S304-0.25)))),1)</f>
        <v/>
      </c>
      <c r="AB304" s="10">
        <f>X304*Y304*Z304*AA304</f>
        <v/>
      </c>
    </row>
    <row r="305">
      <c r="A305" t="inlineStr">
        <is>
          <t>148cxl</t>
        </is>
      </c>
      <c r="B305" t="inlineStr">
        <is>
          <t>Luigi da Rocha</t>
        </is>
      </c>
      <c r="C305" s="8" t="n">
        <v>0.5956</v>
      </c>
      <c r="D305" s="8" t="n">
        <v>0.4059</v>
      </c>
      <c r="E305" s="8" t="n">
        <v>0.4904</v>
      </c>
      <c r="F305" s="8" t="n">
        <v>0.5343</v>
      </c>
      <c r="G305" s="8" t="n">
        <v>0.7206</v>
      </c>
      <c r="H305" s="8" t="n">
        <v>0.5373</v>
      </c>
      <c r="I305" s="8" t="n">
        <v>0.5919</v>
      </c>
      <c r="J305" s="8" t="n">
        <v>0.7028</v>
      </c>
      <c r="K305" s="8" t="n">
        <v>0.5662</v>
      </c>
      <c r="L305" s="9">
        <f>1-(1-Mecanismos!B2)*(1-C305)</f>
        <v/>
      </c>
      <c r="M305" s="9">
        <f>Mecanismos!B7*D305</f>
        <v/>
      </c>
      <c r="N305" s="9">
        <f>Mecanismos!B4*(1-E305)</f>
        <v/>
      </c>
      <c r="O305" s="9">
        <f>Mecanismos!B5*(1-F305)</f>
        <v/>
      </c>
      <c r="P305" s="9">
        <f>Mecanismos!B6*(1-I305)</f>
        <v/>
      </c>
      <c r="Q305" s="9">
        <f>Mecanismos!B9*(1-G305)</f>
        <v/>
      </c>
      <c r="R305" s="9">
        <f>Mecanismos!B9*(1-J305)</f>
        <v/>
      </c>
      <c r="S305" s="9">
        <f>Mecanismos!B8*H305</f>
        <v/>
      </c>
      <c r="T305" s="9">
        <f>Mecanismos!B10*H305</f>
        <v/>
      </c>
      <c r="U305" s="9">
        <f>Mecanismos!B8*K305</f>
        <v/>
      </c>
      <c r="V305" s="9">
        <f>Mecanismos!B3*D305</f>
        <v/>
      </c>
      <c r="W305" s="9">
        <f>Parametros!B2+Parametros!B4*(S305+T305+U305+V305)-Parametros!B3*(L305+M305+N305+O305+P305+Q305+R305)</f>
        <v/>
      </c>
      <c r="X305" s="10">
        <f>1/(1+EXP(-W305))</f>
        <v/>
      </c>
      <c r="Y305" s="11">
        <f>IF(Parametros!B6=1,0.15+0.85*(1/(1+EXP(-8*((1-N305)-0.45)))),1)</f>
        <v/>
      </c>
      <c r="Z305" s="11">
        <f>IF(Parametros!B7=1,MAX(0.05,1-L305^1.6),1)</f>
        <v/>
      </c>
      <c r="AA305" s="11">
        <f>IF(Parametros!B8=1,0.2+0.8*(1/(1+EXP(-9*(S305-0.25)))),1)</f>
        <v/>
      </c>
      <c r="AB305" s="10">
        <f>X305*Y305*Z305*AA305</f>
        <v/>
      </c>
    </row>
    <row r="306">
      <c r="A306" t="inlineStr">
        <is>
          <t>picfys</t>
        </is>
      </c>
      <c r="B306" t="inlineStr">
        <is>
          <t>Luiz Fernando Campos</t>
        </is>
      </c>
      <c r="C306" s="8" t="n">
        <v>0.5503</v>
      </c>
      <c r="D306" s="8" t="n">
        <v>0.6413</v>
      </c>
      <c r="E306" s="8" t="n">
        <v>0.5746</v>
      </c>
      <c r="F306" s="8" t="n">
        <v>0.4841</v>
      </c>
      <c r="G306" s="8" t="n">
        <v>0.4598</v>
      </c>
      <c r="H306" s="8" t="n">
        <v>0.5264</v>
      </c>
      <c r="I306" s="8" t="n">
        <v>0.4316</v>
      </c>
      <c r="J306" s="8" t="n">
        <v>0.7399</v>
      </c>
      <c r="K306" s="8" t="n">
        <v>0.7033</v>
      </c>
      <c r="L306" s="9">
        <f>1-(1-Mecanismos!B2)*(1-C306)</f>
        <v/>
      </c>
      <c r="M306" s="9">
        <f>Mecanismos!B7*D306</f>
        <v/>
      </c>
      <c r="N306" s="9">
        <f>Mecanismos!B4*(1-E306)</f>
        <v/>
      </c>
      <c r="O306" s="9">
        <f>Mecanismos!B5*(1-F306)</f>
        <v/>
      </c>
      <c r="P306" s="9">
        <f>Mecanismos!B6*(1-I306)</f>
        <v/>
      </c>
      <c r="Q306" s="9">
        <f>Mecanismos!B9*(1-G306)</f>
        <v/>
      </c>
      <c r="R306" s="9">
        <f>Mecanismos!B9*(1-J306)</f>
        <v/>
      </c>
      <c r="S306" s="9">
        <f>Mecanismos!B8*H306</f>
        <v/>
      </c>
      <c r="T306" s="9">
        <f>Mecanismos!B10*H306</f>
        <v/>
      </c>
      <c r="U306" s="9">
        <f>Mecanismos!B8*K306</f>
        <v/>
      </c>
      <c r="V306" s="9">
        <f>Mecanismos!B3*D306</f>
        <v/>
      </c>
      <c r="W306" s="9">
        <f>Parametros!B2+Parametros!B4*(S306+T306+U306+V306)-Parametros!B3*(L306+M306+N306+O306+P306+Q306+R306)</f>
        <v/>
      </c>
      <c r="X306" s="10">
        <f>1/(1+EXP(-W306))</f>
        <v/>
      </c>
      <c r="Y306" s="11">
        <f>IF(Parametros!B6=1,0.15+0.85*(1/(1+EXP(-8*((1-N306)-0.45)))),1)</f>
        <v/>
      </c>
      <c r="Z306" s="11">
        <f>IF(Parametros!B7=1,MAX(0.05,1-L306^1.6),1)</f>
        <v/>
      </c>
      <c r="AA306" s="11">
        <f>IF(Parametros!B8=1,0.2+0.8*(1/(1+EXP(-9*(S306-0.25)))),1)</f>
        <v/>
      </c>
      <c r="AB306" s="10">
        <f>X306*Y306*Z306*AA306</f>
        <v/>
      </c>
    </row>
    <row r="307">
      <c r="A307" t="inlineStr">
        <is>
          <t>0eej23</t>
        </is>
      </c>
      <c r="B307" t="inlineStr">
        <is>
          <t>Luiz Fernando Nogueira</t>
        </is>
      </c>
      <c r="C307" s="8" t="n">
        <v>0.3932</v>
      </c>
      <c r="D307" s="8" t="n">
        <v>0.6616</v>
      </c>
      <c r="E307" s="8" t="n">
        <v>0.7523</v>
      </c>
      <c r="F307" s="8" t="n">
        <v>0.4521</v>
      </c>
      <c r="G307" s="8" t="n">
        <v>0.3202</v>
      </c>
      <c r="H307" s="8" t="n">
        <v>0.4712</v>
      </c>
      <c r="I307" s="8" t="n">
        <v>0.3373</v>
      </c>
      <c r="J307" s="8" t="n">
        <v>0.7703</v>
      </c>
      <c r="K307" s="8" t="n">
        <v>0.3163</v>
      </c>
      <c r="L307" s="9">
        <f>1-(1-Mecanismos!B2)*(1-C307)</f>
        <v/>
      </c>
      <c r="M307" s="9">
        <f>Mecanismos!B7*D307</f>
        <v/>
      </c>
      <c r="N307" s="9">
        <f>Mecanismos!B4*(1-E307)</f>
        <v/>
      </c>
      <c r="O307" s="9">
        <f>Mecanismos!B5*(1-F307)</f>
        <v/>
      </c>
      <c r="P307" s="9">
        <f>Mecanismos!B6*(1-I307)</f>
        <v/>
      </c>
      <c r="Q307" s="9">
        <f>Mecanismos!B9*(1-G307)</f>
        <v/>
      </c>
      <c r="R307" s="9">
        <f>Mecanismos!B9*(1-J307)</f>
        <v/>
      </c>
      <c r="S307" s="9">
        <f>Mecanismos!B8*H307</f>
        <v/>
      </c>
      <c r="T307" s="9">
        <f>Mecanismos!B10*H307</f>
        <v/>
      </c>
      <c r="U307" s="9">
        <f>Mecanismos!B8*K307</f>
        <v/>
      </c>
      <c r="V307" s="9">
        <f>Mecanismos!B3*D307</f>
        <v/>
      </c>
      <c r="W307" s="9">
        <f>Parametros!B2+Parametros!B4*(S307+T307+U307+V307)-Parametros!B3*(L307+M307+N307+O307+P307+Q307+R307)</f>
        <v/>
      </c>
      <c r="X307" s="10">
        <f>1/(1+EXP(-W307))</f>
        <v/>
      </c>
      <c r="Y307" s="11">
        <f>IF(Parametros!B6=1,0.15+0.85*(1/(1+EXP(-8*((1-N307)-0.45)))),1)</f>
        <v/>
      </c>
      <c r="Z307" s="11">
        <f>IF(Parametros!B7=1,MAX(0.05,1-L307^1.6),1)</f>
        <v/>
      </c>
      <c r="AA307" s="11">
        <f>IF(Parametros!B8=1,0.2+0.8*(1/(1+EXP(-9*(S307-0.25)))),1)</f>
        <v/>
      </c>
      <c r="AB307" s="10">
        <f>X307*Y307*Z307*AA307</f>
        <v/>
      </c>
    </row>
    <row r="308">
      <c r="A308" t="inlineStr">
        <is>
          <t>4cnkf1</t>
        </is>
      </c>
      <c r="B308" t="inlineStr">
        <is>
          <t>Luiz Fernando Novaes</t>
        </is>
      </c>
      <c r="C308" s="8" t="n">
        <v>0.5175999999999999</v>
      </c>
      <c r="D308" s="8" t="n">
        <v>0.6006</v>
      </c>
      <c r="E308" s="8" t="n">
        <v>0.2605</v>
      </c>
      <c r="F308" s="8" t="n">
        <v>0.6111</v>
      </c>
      <c r="G308" s="8" t="n">
        <v>0.3451</v>
      </c>
      <c r="H308" s="8" t="n">
        <v>0.5239</v>
      </c>
      <c r="I308" s="8" t="n">
        <v>0.5839</v>
      </c>
      <c r="J308" s="8" t="n">
        <v>0.6373</v>
      </c>
      <c r="K308" s="8" t="n">
        <v>0.5496</v>
      </c>
      <c r="L308" s="9">
        <f>1-(1-Mecanismos!B2)*(1-C308)</f>
        <v/>
      </c>
      <c r="M308" s="9">
        <f>Mecanismos!B7*D308</f>
        <v/>
      </c>
      <c r="N308" s="9">
        <f>Mecanismos!B4*(1-E308)</f>
        <v/>
      </c>
      <c r="O308" s="9">
        <f>Mecanismos!B5*(1-F308)</f>
        <v/>
      </c>
      <c r="P308" s="9">
        <f>Mecanismos!B6*(1-I308)</f>
        <v/>
      </c>
      <c r="Q308" s="9">
        <f>Mecanismos!B9*(1-G308)</f>
        <v/>
      </c>
      <c r="R308" s="9">
        <f>Mecanismos!B9*(1-J308)</f>
        <v/>
      </c>
      <c r="S308" s="9">
        <f>Mecanismos!B8*H308</f>
        <v/>
      </c>
      <c r="T308" s="9">
        <f>Mecanismos!B10*H308</f>
        <v/>
      </c>
      <c r="U308" s="9">
        <f>Mecanismos!B8*K308</f>
        <v/>
      </c>
      <c r="V308" s="9">
        <f>Mecanismos!B3*D308</f>
        <v/>
      </c>
      <c r="W308" s="9">
        <f>Parametros!B2+Parametros!B4*(S308+T308+U308+V308)-Parametros!B3*(L308+M308+N308+O308+P308+Q308+R308)</f>
        <v/>
      </c>
      <c r="X308" s="10">
        <f>1/(1+EXP(-W308))</f>
        <v/>
      </c>
      <c r="Y308" s="11">
        <f>IF(Parametros!B6=1,0.15+0.85*(1/(1+EXP(-8*((1-N308)-0.45)))),1)</f>
        <v/>
      </c>
      <c r="Z308" s="11">
        <f>IF(Parametros!B7=1,MAX(0.05,1-L308^1.6),1)</f>
        <v/>
      </c>
      <c r="AA308" s="11">
        <f>IF(Parametros!B8=1,0.2+0.8*(1/(1+EXP(-9*(S308-0.25)))),1)</f>
        <v/>
      </c>
      <c r="AB308" s="10">
        <f>X308*Y308*Z308*AA308</f>
        <v/>
      </c>
    </row>
    <row r="309">
      <c r="A309" t="inlineStr">
        <is>
          <t>l1tteg</t>
        </is>
      </c>
      <c r="B309" t="inlineStr">
        <is>
          <t>Luiz Fernando Pires</t>
        </is>
      </c>
      <c r="C309" s="8" t="n">
        <v>0.4788</v>
      </c>
      <c r="D309" s="8" t="n">
        <v>0.8476</v>
      </c>
      <c r="E309" s="8" t="n">
        <v>0.4434</v>
      </c>
      <c r="F309" s="8" t="n">
        <v>0.8491</v>
      </c>
      <c r="G309" s="8" t="n">
        <v>0.3201</v>
      </c>
      <c r="H309" s="8" t="n">
        <v>0.6292</v>
      </c>
      <c r="I309" s="8" t="n">
        <v>0.7511</v>
      </c>
      <c r="J309" s="8" t="n">
        <v>0.8707</v>
      </c>
      <c r="K309" s="8" t="n">
        <v>0.707</v>
      </c>
      <c r="L309" s="9">
        <f>1-(1-Mecanismos!B2)*(1-C309)</f>
        <v/>
      </c>
      <c r="M309" s="9">
        <f>Mecanismos!B7*D309</f>
        <v/>
      </c>
      <c r="N309" s="9">
        <f>Mecanismos!B4*(1-E309)</f>
        <v/>
      </c>
      <c r="O309" s="9">
        <f>Mecanismos!B5*(1-F309)</f>
        <v/>
      </c>
      <c r="P309" s="9">
        <f>Mecanismos!B6*(1-I309)</f>
        <v/>
      </c>
      <c r="Q309" s="9">
        <f>Mecanismos!B9*(1-G309)</f>
        <v/>
      </c>
      <c r="R309" s="9">
        <f>Mecanismos!B9*(1-J309)</f>
        <v/>
      </c>
      <c r="S309" s="9">
        <f>Mecanismos!B8*H309</f>
        <v/>
      </c>
      <c r="T309" s="9">
        <f>Mecanismos!B10*H309</f>
        <v/>
      </c>
      <c r="U309" s="9">
        <f>Mecanismos!B8*K309</f>
        <v/>
      </c>
      <c r="V309" s="9">
        <f>Mecanismos!B3*D309</f>
        <v/>
      </c>
      <c r="W309" s="9">
        <f>Parametros!B2+Parametros!B4*(S309+T309+U309+V309)-Parametros!B3*(L309+M309+N309+O309+P309+Q309+R309)</f>
        <v/>
      </c>
      <c r="X309" s="10">
        <f>1/(1+EXP(-W309))</f>
        <v/>
      </c>
      <c r="Y309" s="11">
        <f>IF(Parametros!B6=1,0.15+0.85*(1/(1+EXP(-8*((1-N309)-0.45)))),1)</f>
        <v/>
      </c>
      <c r="Z309" s="11">
        <f>IF(Parametros!B7=1,MAX(0.05,1-L309^1.6),1)</f>
        <v/>
      </c>
      <c r="AA309" s="11">
        <f>IF(Parametros!B8=1,0.2+0.8*(1/(1+EXP(-9*(S309-0.25)))),1)</f>
        <v/>
      </c>
      <c r="AB309" s="10">
        <f>X309*Y309*Z309*AA309</f>
        <v/>
      </c>
    </row>
    <row r="310">
      <c r="A310" t="inlineStr">
        <is>
          <t>d93an8</t>
        </is>
      </c>
      <c r="B310" t="inlineStr">
        <is>
          <t>Luiz Gustavo da Conceição</t>
        </is>
      </c>
      <c r="C310" s="8" t="n">
        <v>0.5688</v>
      </c>
      <c r="D310" s="8" t="n">
        <v>0.5567</v>
      </c>
      <c r="E310" s="8" t="n">
        <v>0.5632</v>
      </c>
      <c r="F310" s="8" t="n">
        <v>0.4985</v>
      </c>
      <c r="G310" s="8" t="n">
        <v>0.5585</v>
      </c>
      <c r="H310" s="8" t="n">
        <v>0.7518</v>
      </c>
      <c r="I310" s="8" t="n">
        <v>0.7994</v>
      </c>
      <c r="J310" s="8" t="n">
        <v>0.6977</v>
      </c>
      <c r="K310" s="8" t="n">
        <v>0.3152</v>
      </c>
      <c r="L310" s="9">
        <f>1-(1-Mecanismos!B2)*(1-C310)</f>
        <v/>
      </c>
      <c r="M310" s="9">
        <f>Mecanismos!B7*D310</f>
        <v/>
      </c>
      <c r="N310" s="9">
        <f>Mecanismos!B4*(1-E310)</f>
        <v/>
      </c>
      <c r="O310" s="9">
        <f>Mecanismos!B5*(1-F310)</f>
        <v/>
      </c>
      <c r="P310" s="9">
        <f>Mecanismos!B6*(1-I310)</f>
        <v/>
      </c>
      <c r="Q310" s="9">
        <f>Mecanismos!B9*(1-G310)</f>
        <v/>
      </c>
      <c r="R310" s="9">
        <f>Mecanismos!B9*(1-J310)</f>
        <v/>
      </c>
      <c r="S310" s="9">
        <f>Mecanismos!B8*H310</f>
        <v/>
      </c>
      <c r="T310" s="9">
        <f>Mecanismos!B10*H310</f>
        <v/>
      </c>
      <c r="U310" s="9">
        <f>Mecanismos!B8*K310</f>
        <v/>
      </c>
      <c r="V310" s="9">
        <f>Mecanismos!B3*D310</f>
        <v/>
      </c>
      <c r="W310" s="9">
        <f>Parametros!B2+Parametros!B4*(S310+T310+U310+V310)-Parametros!B3*(L310+M310+N310+O310+P310+Q310+R310)</f>
        <v/>
      </c>
      <c r="X310" s="10">
        <f>1/(1+EXP(-W310))</f>
        <v/>
      </c>
      <c r="Y310" s="11">
        <f>IF(Parametros!B6=1,0.15+0.85*(1/(1+EXP(-8*((1-N310)-0.45)))),1)</f>
        <v/>
      </c>
      <c r="Z310" s="11">
        <f>IF(Parametros!B7=1,MAX(0.05,1-L310^1.6),1)</f>
        <v/>
      </c>
      <c r="AA310" s="11">
        <f>IF(Parametros!B8=1,0.2+0.8*(1/(1+EXP(-9*(S310-0.25)))),1)</f>
        <v/>
      </c>
      <c r="AB310" s="10">
        <f>X310*Y310*Z310*AA310</f>
        <v/>
      </c>
    </row>
    <row r="311">
      <c r="A311" t="inlineStr">
        <is>
          <t>bh7rct</t>
        </is>
      </c>
      <c r="B311" t="inlineStr">
        <is>
          <t>Luiz Gustavo das Neves</t>
        </is>
      </c>
      <c r="C311" s="8" t="n">
        <v>0.6423</v>
      </c>
      <c r="D311" s="8" t="n">
        <v>0.4468</v>
      </c>
      <c r="E311" s="8" t="n">
        <v>0.5939</v>
      </c>
      <c r="F311" s="8" t="n">
        <v>0.4763</v>
      </c>
      <c r="G311" s="8" t="n">
        <v>0.4762</v>
      </c>
      <c r="H311" s="8" t="n">
        <v>0.4624</v>
      </c>
      <c r="I311" s="8" t="n">
        <v>0.4793</v>
      </c>
      <c r="J311" s="8" t="n">
        <v>0.832</v>
      </c>
      <c r="K311" s="8" t="n">
        <v>0.619</v>
      </c>
      <c r="L311" s="9">
        <f>1-(1-Mecanismos!B2)*(1-C311)</f>
        <v/>
      </c>
      <c r="M311" s="9">
        <f>Mecanismos!B7*D311</f>
        <v/>
      </c>
      <c r="N311" s="9">
        <f>Mecanismos!B4*(1-E311)</f>
        <v/>
      </c>
      <c r="O311" s="9">
        <f>Mecanismos!B5*(1-F311)</f>
        <v/>
      </c>
      <c r="P311" s="9">
        <f>Mecanismos!B6*(1-I311)</f>
        <v/>
      </c>
      <c r="Q311" s="9">
        <f>Mecanismos!B9*(1-G311)</f>
        <v/>
      </c>
      <c r="R311" s="9">
        <f>Mecanismos!B9*(1-J311)</f>
        <v/>
      </c>
      <c r="S311" s="9">
        <f>Mecanismos!B8*H311</f>
        <v/>
      </c>
      <c r="T311" s="9">
        <f>Mecanismos!B10*H311</f>
        <v/>
      </c>
      <c r="U311" s="9">
        <f>Mecanismos!B8*K311</f>
        <v/>
      </c>
      <c r="V311" s="9">
        <f>Mecanismos!B3*D311</f>
        <v/>
      </c>
      <c r="W311" s="9">
        <f>Parametros!B2+Parametros!B4*(S311+T311+U311+V311)-Parametros!B3*(L311+M311+N311+O311+P311+Q311+R311)</f>
        <v/>
      </c>
      <c r="X311" s="10">
        <f>1/(1+EXP(-W311))</f>
        <v/>
      </c>
      <c r="Y311" s="11">
        <f>IF(Parametros!B6=1,0.15+0.85*(1/(1+EXP(-8*((1-N311)-0.45)))),1)</f>
        <v/>
      </c>
      <c r="Z311" s="11">
        <f>IF(Parametros!B7=1,MAX(0.05,1-L311^1.6),1)</f>
        <v/>
      </c>
      <c r="AA311" s="11">
        <f>IF(Parametros!B8=1,0.2+0.8*(1/(1+EXP(-9*(S311-0.25)))),1)</f>
        <v/>
      </c>
      <c r="AB311" s="10">
        <f>X311*Y311*Z311*AA311</f>
        <v/>
      </c>
    </row>
    <row r="312">
      <c r="A312" t="inlineStr">
        <is>
          <t>m7d7tf</t>
        </is>
      </c>
      <c r="B312" t="inlineStr">
        <is>
          <t>Luiz Miguel Macedo</t>
        </is>
      </c>
      <c r="C312" s="8" t="n">
        <v>0.6308</v>
      </c>
      <c r="D312" s="8" t="n">
        <v>0.4656</v>
      </c>
      <c r="E312" s="8" t="n">
        <v>0.5436</v>
      </c>
      <c r="F312" s="8" t="n">
        <v>0.7871</v>
      </c>
      <c r="G312" s="8" t="n">
        <v>0.5311</v>
      </c>
      <c r="H312" s="8" t="n">
        <v>0.5790999999999999</v>
      </c>
      <c r="I312" s="8" t="n">
        <v>0.5967</v>
      </c>
      <c r="J312" s="8" t="n">
        <v>0.5016</v>
      </c>
      <c r="K312" s="8" t="n">
        <v>0.3338</v>
      </c>
      <c r="L312" s="9">
        <f>1-(1-Mecanismos!B2)*(1-C312)</f>
        <v/>
      </c>
      <c r="M312" s="9">
        <f>Mecanismos!B7*D312</f>
        <v/>
      </c>
      <c r="N312" s="9">
        <f>Mecanismos!B4*(1-E312)</f>
        <v/>
      </c>
      <c r="O312" s="9">
        <f>Mecanismos!B5*(1-F312)</f>
        <v/>
      </c>
      <c r="P312" s="9">
        <f>Mecanismos!B6*(1-I312)</f>
        <v/>
      </c>
      <c r="Q312" s="9">
        <f>Mecanismos!B9*(1-G312)</f>
        <v/>
      </c>
      <c r="R312" s="9">
        <f>Mecanismos!B9*(1-J312)</f>
        <v/>
      </c>
      <c r="S312" s="9">
        <f>Mecanismos!B8*H312</f>
        <v/>
      </c>
      <c r="T312" s="9">
        <f>Mecanismos!B10*H312</f>
        <v/>
      </c>
      <c r="U312" s="9">
        <f>Mecanismos!B8*K312</f>
        <v/>
      </c>
      <c r="V312" s="9">
        <f>Mecanismos!B3*D312</f>
        <v/>
      </c>
      <c r="W312" s="9">
        <f>Parametros!B2+Parametros!B4*(S312+T312+U312+V312)-Parametros!B3*(L312+M312+N312+O312+P312+Q312+R312)</f>
        <v/>
      </c>
      <c r="X312" s="10">
        <f>1/(1+EXP(-W312))</f>
        <v/>
      </c>
      <c r="Y312" s="11">
        <f>IF(Parametros!B6=1,0.15+0.85*(1/(1+EXP(-8*((1-N312)-0.45)))),1)</f>
        <v/>
      </c>
      <c r="Z312" s="11">
        <f>IF(Parametros!B7=1,MAX(0.05,1-L312^1.6),1)</f>
        <v/>
      </c>
      <c r="AA312" s="11">
        <f>IF(Parametros!B8=1,0.2+0.8*(1/(1+EXP(-9*(S312-0.25)))),1)</f>
        <v/>
      </c>
      <c r="AB312" s="10">
        <f>X312*Y312*Z312*AA312</f>
        <v/>
      </c>
    </row>
    <row r="313">
      <c r="A313" t="inlineStr">
        <is>
          <t>ss11gz</t>
        </is>
      </c>
      <c r="B313" t="inlineStr">
        <is>
          <t>Luiz Otávio Rodrigues</t>
        </is>
      </c>
      <c r="C313" s="8" t="n">
        <v>0.6794</v>
      </c>
      <c r="D313" s="8" t="n">
        <v>0.6913</v>
      </c>
      <c r="E313" s="8" t="n">
        <v>0.4271</v>
      </c>
      <c r="F313" s="8" t="n">
        <v>0.5592</v>
      </c>
      <c r="G313" s="8" t="n">
        <v>0.3531</v>
      </c>
      <c r="H313" s="8" t="n">
        <v>0.5038</v>
      </c>
      <c r="I313" s="8" t="n">
        <v>0.5734</v>
      </c>
      <c r="J313" s="8" t="n">
        <v>0.7378</v>
      </c>
      <c r="K313" s="8" t="n">
        <v>0.4213</v>
      </c>
      <c r="L313" s="9">
        <f>1-(1-Mecanismos!B2)*(1-C313)</f>
        <v/>
      </c>
      <c r="M313" s="9">
        <f>Mecanismos!B7*D313</f>
        <v/>
      </c>
      <c r="N313" s="9">
        <f>Mecanismos!B4*(1-E313)</f>
        <v/>
      </c>
      <c r="O313" s="9">
        <f>Mecanismos!B5*(1-F313)</f>
        <v/>
      </c>
      <c r="P313" s="9">
        <f>Mecanismos!B6*(1-I313)</f>
        <v/>
      </c>
      <c r="Q313" s="9">
        <f>Mecanismos!B9*(1-G313)</f>
        <v/>
      </c>
      <c r="R313" s="9">
        <f>Mecanismos!B9*(1-J313)</f>
        <v/>
      </c>
      <c r="S313" s="9">
        <f>Mecanismos!B8*H313</f>
        <v/>
      </c>
      <c r="T313" s="9">
        <f>Mecanismos!B10*H313</f>
        <v/>
      </c>
      <c r="U313" s="9">
        <f>Mecanismos!B8*K313</f>
        <v/>
      </c>
      <c r="V313" s="9">
        <f>Mecanismos!B3*D313</f>
        <v/>
      </c>
      <c r="W313" s="9">
        <f>Parametros!B2+Parametros!B4*(S313+T313+U313+V313)-Parametros!B3*(L313+M313+N313+O313+P313+Q313+R313)</f>
        <v/>
      </c>
      <c r="X313" s="10">
        <f>1/(1+EXP(-W313))</f>
        <v/>
      </c>
      <c r="Y313" s="11">
        <f>IF(Parametros!B6=1,0.15+0.85*(1/(1+EXP(-8*((1-N313)-0.45)))),1)</f>
        <v/>
      </c>
      <c r="Z313" s="11">
        <f>IF(Parametros!B7=1,MAX(0.05,1-L313^1.6),1)</f>
        <v/>
      </c>
      <c r="AA313" s="11">
        <f>IF(Parametros!B8=1,0.2+0.8*(1/(1+EXP(-9*(S313-0.25)))),1)</f>
        <v/>
      </c>
      <c r="AB313" s="10">
        <f>X313*Y313*Z313*AA313</f>
        <v/>
      </c>
    </row>
    <row r="314">
      <c r="A314" t="inlineStr">
        <is>
          <t>gsdg1p</t>
        </is>
      </c>
      <c r="B314" t="inlineStr">
        <is>
          <t>Luna Cardoso</t>
        </is>
      </c>
      <c r="C314" s="8" t="n">
        <v>0.837</v>
      </c>
      <c r="D314" s="8" t="n">
        <v>0.502</v>
      </c>
      <c r="E314" s="8" t="n">
        <v>0.6357</v>
      </c>
      <c r="F314" s="8" t="n">
        <v>0.4688</v>
      </c>
      <c r="G314" s="8" t="n">
        <v>0.5515</v>
      </c>
      <c r="H314" s="8" t="n">
        <v>0.6813</v>
      </c>
      <c r="I314" s="8" t="n">
        <v>0.3245</v>
      </c>
      <c r="J314" s="8" t="n">
        <v>0.695</v>
      </c>
      <c r="K314" s="8" t="n">
        <v>0.1486</v>
      </c>
      <c r="L314" s="9">
        <f>1-(1-Mecanismos!B2)*(1-C314)</f>
        <v/>
      </c>
      <c r="M314" s="9">
        <f>Mecanismos!B7*D314</f>
        <v/>
      </c>
      <c r="N314" s="9">
        <f>Mecanismos!B4*(1-E314)</f>
        <v/>
      </c>
      <c r="O314" s="9">
        <f>Mecanismos!B5*(1-F314)</f>
        <v/>
      </c>
      <c r="P314" s="9">
        <f>Mecanismos!B6*(1-I314)</f>
        <v/>
      </c>
      <c r="Q314" s="9">
        <f>Mecanismos!B9*(1-G314)</f>
        <v/>
      </c>
      <c r="R314" s="9">
        <f>Mecanismos!B9*(1-J314)</f>
        <v/>
      </c>
      <c r="S314" s="9">
        <f>Mecanismos!B8*H314</f>
        <v/>
      </c>
      <c r="T314" s="9">
        <f>Mecanismos!B10*H314</f>
        <v/>
      </c>
      <c r="U314" s="9">
        <f>Mecanismos!B8*K314</f>
        <v/>
      </c>
      <c r="V314" s="9">
        <f>Mecanismos!B3*D314</f>
        <v/>
      </c>
      <c r="W314" s="9">
        <f>Parametros!B2+Parametros!B4*(S314+T314+U314+V314)-Parametros!B3*(L314+M314+N314+O314+P314+Q314+R314)</f>
        <v/>
      </c>
      <c r="X314" s="10">
        <f>1/(1+EXP(-W314))</f>
        <v/>
      </c>
      <c r="Y314" s="11">
        <f>IF(Parametros!B6=1,0.15+0.85*(1/(1+EXP(-8*((1-N314)-0.45)))),1)</f>
        <v/>
      </c>
      <c r="Z314" s="11">
        <f>IF(Parametros!B7=1,MAX(0.05,1-L314^1.6),1)</f>
        <v/>
      </c>
      <c r="AA314" s="11">
        <f>IF(Parametros!B8=1,0.2+0.8*(1/(1+EXP(-9*(S314-0.25)))),1)</f>
        <v/>
      </c>
      <c r="AB314" s="10">
        <f>X314*Y314*Z314*AA314</f>
        <v/>
      </c>
    </row>
    <row r="315">
      <c r="A315" t="inlineStr">
        <is>
          <t>t0owrn</t>
        </is>
      </c>
      <c r="B315" t="inlineStr">
        <is>
          <t>Luna das Neves</t>
        </is>
      </c>
      <c r="C315" s="8" t="n">
        <v>0.6087</v>
      </c>
      <c r="D315" s="8" t="n">
        <v>0.3546</v>
      </c>
      <c r="E315" s="8" t="n">
        <v>0.52</v>
      </c>
      <c r="F315" s="8" t="n">
        <v>0.4615</v>
      </c>
      <c r="G315" s="8" t="n">
        <v>0.4899</v>
      </c>
      <c r="H315" s="8" t="n">
        <v>0.7383999999999999</v>
      </c>
      <c r="I315" s="8" t="n">
        <v>0.4407</v>
      </c>
      <c r="J315" s="8" t="n">
        <v>0.871</v>
      </c>
      <c r="K315" s="8" t="n">
        <v>0.7426</v>
      </c>
      <c r="L315" s="9">
        <f>1-(1-Mecanismos!B2)*(1-C315)</f>
        <v/>
      </c>
      <c r="M315" s="9">
        <f>Mecanismos!B7*D315</f>
        <v/>
      </c>
      <c r="N315" s="9">
        <f>Mecanismos!B4*(1-E315)</f>
        <v/>
      </c>
      <c r="O315" s="9">
        <f>Mecanismos!B5*(1-F315)</f>
        <v/>
      </c>
      <c r="P315" s="9">
        <f>Mecanismos!B6*(1-I315)</f>
        <v/>
      </c>
      <c r="Q315" s="9">
        <f>Mecanismos!B9*(1-G315)</f>
        <v/>
      </c>
      <c r="R315" s="9">
        <f>Mecanismos!B9*(1-J315)</f>
        <v/>
      </c>
      <c r="S315" s="9">
        <f>Mecanismos!B8*H315</f>
        <v/>
      </c>
      <c r="T315" s="9">
        <f>Mecanismos!B10*H315</f>
        <v/>
      </c>
      <c r="U315" s="9">
        <f>Mecanismos!B8*K315</f>
        <v/>
      </c>
      <c r="V315" s="9">
        <f>Mecanismos!B3*D315</f>
        <v/>
      </c>
      <c r="W315" s="9">
        <f>Parametros!B2+Parametros!B4*(S315+T315+U315+V315)-Parametros!B3*(L315+M315+N315+O315+P315+Q315+R315)</f>
        <v/>
      </c>
      <c r="X315" s="10">
        <f>1/(1+EXP(-W315))</f>
        <v/>
      </c>
      <c r="Y315" s="11">
        <f>IF(Parametros!B6=1,0.15+0.85*(1/(1+EXP(-8*((1-N315)-0.45)))),1)</f>
        <v/>
      </c>
      <c r="Z315" s="11">
        <f>IF(Parametros!B7=1,MAX(0.05,1-L315^1.6),1)</f>
        <v/>
      </c>
      <c r="AA315" s="11">
        <f>IF(Parametros!B8=1,0.2+0.8*(1/(1+EXP(-9*(S315-0.25)))),1)</f>
        <v/>
      </c>
      <c r="AB315" s="10">
        <f>X315*Y315*Z315*AA315</f>
        <v/>
      </c>
    </row>
    <row r="316">
      <c r="A316" t="inlineStr">
        <is>
          <t>vn1ngu</t>
        </is>
      </c>
      <c r="B316" t="inlineStr">
        <is>
          <t>Lunna Melo</t>
        </is>
      </c>
      <c r="C316" s="8" t="n">
        <v>0.7723</v>
      </c>
      <c r="D316" s="8" t="n">
        <v>0.6063</v>
      </c>
      <c r="E316" s="8" t="n">
        <v>0.3079</v>
      </c>
      <c r="F316" s="8" t="n">
        <v>0.636</v>
      </c>
      <c r="G316" s="8" t="n">
        <v>0.388</v>
      </c>
      <c r="H316" s="8" t="n">
        <v>0.6127</v>
      </c>
      <c r="I316" s="8" t="n">
        <v>0.5764</v>
      </c>
      <c r="J316" s="8" t="n">
        <v>0.9413</v>
      </c>
      <c r="K316" s="8" t="n">
        <v>0.5643</v>
      </c>
      <c r="L316" s="9">
        <f>1-(1-Mecanismos!B2)*(1-C316)</f>
        <v/>
      </c>
      <c r="M316" s="9">
        <f>Mecanismos!B7*D316</f>
        <v/>
      </c>
      <c r="N316" s="9">
        <f>Mecanismos!B4*(1-E316)</f>
        <v/>
      </c>
      <c r="O316" s="9">
        <f>Mecanismos!B5*(1-F316)</f>
        <v/>
      </c>
      <c r="P316" s="9">
        <f>Mecanismos!B6*(1-I316)</f>
        <v/>
      </c>
      <c r="Q316" s="9">
        <f>Mecanismos!B9*(1-G316)</f>
        <v/>
      </c>
      <c r="R316" s="9">
        <f>Mecanismos!B9*(1-J316)</f>
        <v/>
      </c>
      <c r="S316" s="9">
        <f>Mecanismos!B8*H316</f>
        <v/>
      </c>
      <c r="T316" s="9">
        <f>Mecanismos!B10*H316</f>
        <v/>
      </c>
      <c r="U316" s="9">
        <f>Mecanismos!B8*K316</f>
        <v/>
      </c>
      <c r="V316" s="9">
        <f>Mecanismos!B3*D316</f>
        <v/>
      </c>
      <c r="W316" s="9">
        <f>Parametros!B2+Parametros!B4*(S316+T316+U316+V316)-Parametros!B3*(L316+M316+N316+O316+P316+Q316+R316)</f>
        <v/>
      </c>
      <c r="X316" s="10">
        <f>1/(1+EXP(-W316))</f>
        <v/>
      </c>
      <c r="Y316" s="11">
        <f>IF(Parametros!B6=1,0.15+0.85*(1/(1+EXP(-8*((1-N316)-0.45)))),1)</f>
        <v/>
      </c>
      <c r="Z316" s="11">
        <f>IF(Parametros!B7=1,MAX(0.05,1-L316^1.6),1)</f>
        <v/>
      </c>
      <c r="AA316" s="11">
        <f>IF(Parametros!B8=1,0.2+0.8*(1/(1+EXP(-9*(S316-0.25)))),1)</f>
        <v/>
      </c>
      <c r="AB316" s="10">
        <f>X316*Y316*Z316*AA316</f>
        <v/>
      </c>
    </row>
    <row r="317">
      <c r="A317" t="inlineStr">
        <is>
          <t>fwuoga</t>
        </is>
      </c>
      <c r="B317" t="inlineStr">
        <is>
          <t>Léo Gonçalves</t>
        </is>
      </c>
      <c r="C317" s="8" t="n">
        <v>0.6445</v>
      </c>
      <c r="D317" s="8" t="n">
        <v>0.3526</v>
      </c>
      <c r="E317" s="8" t="n">
        <v>0.676</v>
      </c>
      <c r="F317" s="8" t="n">
        <v>0.2496</v>
      </c>
      <c r="G317" s="8" t="n">
        <v>0.6646</v>
      </c>
      <c r="H317" s="8" t="n">
        <v>0.651</v>
      </c>
      <c r="I317" s="8" t="n">
        <v>0.4292</v>
      </c>
      <c r="J317" s="8" t="n">
        <v>0.7926</v>
      </c>
      <c r="K317" s="8" t="n">
        <v>0.3085</v>
      </c>
      <c r="L317" s="9">
        <f>1-(1-Mecanismos!B2)*(1-C317)</f>
        <v/>
      </c>
      <c r="M317" s="9">
        <f>Mecanismos!B7*D317</f>
        <v/>
      </c>
      <c r="N317" s="9">
        <f>Mecanismos!B4*(1-E317)</f>
        <v/>
      </c>
      <c r="O317" s="9">
        <f>Mecanismos!B5*(1-F317)</f>
        <v/>
      </c>
      <c r="P317" s="9">
        <f>Mecanismos!B6*(1-I317)</f>
        <v/>
      </c>
      <c r="Q317" s="9">
        <f>Mecanismos!B9*(1-G317)</f>
        <v/>
      </c>
      <c r="R317" s="9">
        <f>Mecanismos!B9*(1-J317)</f>
        <v/>
      </c>
      <c r="S317" s="9">
        <f>Mecanismos!B8*H317</f>
        <v/>
      </c>
      <c r="T317" s="9">
        <f>Mecanismos!B10*H317</f>
        <v/>
      </c>
      <c r="U317" s="9">
        <f>Mecanismos!B8*K317</f>
        <v/>
      </c>
      <c r="V317" s="9">
        <f>Mecanismos!B3*D317</f>
        <v/>
      </c>
      <c r="W317" s="9">
        <f>Parametros!B2+Parametros!B4*(S317+T317+U317+V317)-Parametros!B3*(L317+M317+N317+O317+P317+Q317+R317)</f>
        <v/>
      </c>
      <c r="X317" s="10">
        <f>1/(1+EXP(-W317))</f>
        <v/>
      </c>
      <c r="Y317" s="11">
        <f>IF(Parametros!B6=1,0.15+0.85*(1/(1+EXP(-8*((1-N317)-0.45)))),1)</f>
        <v/>
      </c>
      <c r="Z317" s="11">
        <f>IF(Parametros!B7=1,MAX(0.05,1-L317^1.6),1)</f>
        <v/>
      </c>
      <c r="AA317" s="11">
        <f>IF(Parametros!B8=1,0.2+0.8*(1/(1+EXP(-9*(S317-0.25)))),1)</f>
        <v/>
      </c>
      <c r="AB317" s="10">
        <f>X317*Y317*Z317*AA317</f>
        <v/>
      </c>
    </row>
    <row r="318">
      <c r="A318" t="inlineStr">
        <is>
          <t>ccfobx</t>
        </is>
      </c>
      <c r="B318" t="inlineStr">
        <is>
          <t>Maitê Costela</t>
        </is>
      </c>
      <c r="C318" s="8" t="n">
        <v>0.5914</v>
      </c>
      <c r="D318" s="8" t="n">
        <v>0.7391</v>
      </c>
      <c r="E318" s="8" t="n">
        <v>0.4215</v>
      </c>
      <c r="F318" s="8" t="n">
        <v>0.5899</v>
      </c>
      <c r="G318" s="8" t="n">
        <v>0.623</v>
      </c>
      <c r="H318" s="8" t="n">
        <v>0.4955</v>
      </c>
      <c r="I318" s="8" t="n">
        <v>0.4365</v>
      </c>
      <c r="J318" s="8" t="n">
        <v>0.7256</v>
      </c>
      <c r="K318" s="8" t="n">
        <v>0.4304</v>
      </c>
      <c r="L318" s="9">
        <f>1-(1-Mecanismos!B2)*(1-C318)</f>
        <v/>
      </c>
      <c r="M318" s="9">
        <f>Mecanismos!B7*D318</f>
        <v/>
      </c>
      <c r="N318" s="9">
        <f>Mecanismos!B4*(1-E318)</f>
        <v/>
      </c>
      <c r="O318" s="9">
        <f>Mecanismos!B5*(1-F318)</f>
        <v/>
      </c>
      <c r="P318" s="9">
        <f>Mecanismos!B6*(1-I318)</f>
        <v/>
      </c>
      <c r="Q318" s="9">
        <f>Mecanismos!B9*(1-G318)</f>
        <v/>
      </c>
      <c r="R318" s="9">
        <f>Mecanismos!B9*(1-J318)</f>
        <v/>
      </c>
      <c r="S318" s="9">
        <f>Mecanismos!B8*H318</f>
        <v/>
      </c>
      <c r="T318" s="9">
        <f>Mecanismos!B10*H318</f>
        <v/>
      </c>
      <c r="U318" s="9">
        <f>Mecanismos!B8*K318</f>
        <v/>
      </c>
      <c r="V318" s="9">
        <f>Mecanismos!B3*D318</f>
        <v/>
      </c>
      <c r="W318" s="9">
        <f>Parametros!B2+Parametros!B4*(S318+T318+U318+V318)-Parametros!B3*(L318+M318+N318+O318+P318+Q318+R318)</f>
        <v/>
      </c>
      <c r="X318" s="10">
        <f>1/(1+EXP(-W318))</f>
        <v/>
      </c>
      <c r="Y318" s="11">
        <f>IF(Parametros!B6=1,0.15+0.85*(1/(1+EXP(-8*((1-N318)-0.45)))),1)</f>
        <v/>
      </c>
      <c r="Z318" s="11">
        <f>IF(Parametros!B7=1,MAX(0.05,1-L318^1.6),1)</f>
        <v/>
      </c>
      <c r="AA318" s="11">
        <f>IF(Parametros!B8=1,0.2+0.8*(1/(1+EXP(-9*(S318-0.25)))),1)</f>
        <v/>
      </c>
      <c r="AB318" s="10">
        <f>X318*Y318*Z318*AA318</f>
        <v/>
      </c>
    </row>
    <row r="319">
      <c r="A319" t="inlineStr">
        <is>
          <t>1joosl</t>
        </is>
      </c>
      <c r="B319" t="inlineStr">
        <is>
          <t>Maitê Sales</t>
        </is>
      </c>
      <c r="C319" s="8" t="n">
        <v>0.5548</v>
      </c>
      <c r="D319" s="8" t="n">
        <v>0.4489</v>
      </c>
      <c r="E319" s="8" t="n">
        <v>0.555</v>
      </c>
      <c r="F319" s="8" t="n">
        <v>0.5676</v>
      </c>
      <c r="G319" s="8" t="n">
        <v>0.484</v>
      </c>
      <c r="H319" s="8" t="n">
        <v>0.4503</v>
      </c>
      <c r="I319" s="8" t="n">
        <v>0.4519</v>
      </c>
      <c r="J319" s="8" t="n">
        <v>0.8718</v>
      </c>
      <c r="K319" s="8" t="n">
        <v>0.4721</v>
      </c>
      <c r="L319" s="9">
        <f>1-(1-Mecanismos!B2)*(1-C319)</f>
        <v/>
      </c>
      <c r="M319" s="9">
        <f>Mecanismos!B7*D319</f>
        <v/>
      </c>
      <c r="N319" s="9">
        <f>Mecanismos!B4*(1-E319)</f>
        <v/>
      </c>
      <c r="O319" s="9">
        <f>Mecanismos!B5*(1-F319)</f>
        <v/>
      </c>
      <c r="P319" s="9">
        <f>Mecanismos!B6*(1-I319)</f>
        <v/>
      </c>
      <c r="Q319" s="9">
        <f>Mecanismos!B9*(1-G319)</f>
        <v/>
      </c>
      <c r="R319" s="9">
        <f>Mecanismos!B9*(1-J319)</f>
        <v/>
      </c>
      <c r="S319" s="9">
        <f>Mecanismos!B8*H319</f>
        <v/>
      </c>
      <c r="T319" s="9">
        <f>Mecanismos!B10*H319</f>
        <v/>
      </c>
      <c r="U319" s="9">
        <f>Mecanismos!B8*K319</f>
        <v/>
      </c>
      <c r="V319" s="9">
        <f>Mecanismos!B3*D319</f>
        <v/>
      </c>
      <c r="W319" s="9">
        <f>Parametros!B2+Parametros!B4*(S319+T319+U319+V319)-Parametros!B3*(L319+M319+N319+O319+P319+Q319+R319)</f>
        <v/>
      </c>
      <c r="X319" s="10">
        <f>1/(1+EXP(-W319))</f>
        <v/>
      </c>
      <c r="Y319" s="11">
        <f>IF(Parametros!B6=1,0.15+0.85*(1/(1+EXP(-8*((1-N319)-0.45)))),1)</f>
        <v/>
      </c>
      <c r="Z319" s="11">
        <f>IF(Parametros!B7=1,MAX(0.05,1-L319^1.6),1)</f>
        <v/>
      </c>
      <c r="AA319" s="11">
        <f>IF(Parametros!B8=1,0.2+0.8*(1/(1+EXP(-9*(S319-0.25)))),1)</f>
        <v/>
      </c>
      <c r="AB319" s="10">
        <f>X319*Y319*Z319*AA319</f>
        <v/>
      </c>
    </row>
    <row r="320">
      <c r="A320" t="inlineStr">
        <is>
          <t>8biq2y</t>
        </is>
      </c>
      <c r="B320" t="inlineStr">
        <is>
          <t>Manuela Costa</t>
        </is>
      </c>
      <c r="C320" s="8" t="n">
        <v>0.8395</v>
      </c>
      <c r="D320" s="8" t="n">
        <v>0.2226</v>
      </c>
      <c r="E320" s="8" t="n">
        <v>0.7030999999999999</v>
      </c>
      <c r="F320" s="8" t="n">
        <v>0.5817</v>
      </c>
      <c r="G320" s="8" t="n">
        <v>0.5308</v>
      </c>
      <c r="H320" s="8" t="n">
        <v>0.5455</v>
      </c>
      <c r="I320" s="8" t="n">
        <v>0.4663</v>
      </c>
      <c r="J320" s="8" t="n">
        <v>0.9115</v>
      </c>
      <c r="K320" s="8" t="n">
        <v>0.6278</v>
      </c>
      <c r="L320" s="9">
        <f>1-(1-Mecanismos!B2)*(1-C320)</f>
        <v/>
      </c>
      <c r="M320" s="9">
        <f>Mecanismos!B7*D320</f>
        <v/>
      </c>
      <c r="N320" s="9">
        <f>Mecanismos!B4*(1-E320)</f>
        <v/>
      </c>
      <c r="O320" s="9">
        <f>Mecanismos!B5*(1-F320)</f>
        <v/>
      </c>
      <c r="P320" s="9">
        <f>Mecanismos!B6*(1-I320)</f>
        <v/>
      </c>
      <c r="Q320" s="9">
        <f>Mecanismos!B9*(1-G320)</f>
        <v/>
      </c>
      <c r="R320" s="9">
        <f>Mecanismos!B9*(1-J320)</f>
        <v/>
      </c>
      <c r="S320" s="9">
        <f>Mecanismos!B8*H320</f>
        <v/>
      </c>
      <c r="T320" s="9">
        <f>Mecanismos!B10*H320</f>
        <v/>
      </c>
      <c r="U320" s="9">
        <f>Mecanismos!B8*K320</f>
        <v/>
      </c>
      <c r="V320" s="9">
        <f>Mecanismos!B3*D320</f>
        <v/>
      </c>
      <c r="W320" s="9">
        <f>Parametros!B2+Parametros!B4*(S320+T320+U320+V320)-Parametros!B3*(L320+M320+N320+O320+P320+Q320+R320)</f>
        <v/>
      </c>
      <c r="X320" s="10">
        <f>1/(1+EXP(-W320))</f>
        <v/>
      </c>
      <c r="Y320" s="11">
        <f>IF(Parametros!B6=1,0.15+0.85*(1/(1+EXP(-8*((1-N320)-0.45)))),1)</f>
        <v/>
      </c>
      <c r="Z320" s="11">
        <f>IF(Parametros!B7=1,MAX(0.05,1-L320^1.6),1)</f>
        <v/>
      </c>
      <c r="AA320" s="11">
        <f>IF(Parametros!B8=1,0.2+0.8*(1/(1+EXP(-9*(S320-0.25)))),1)</f>
        <v/>
      </c>
      <c r="AB320" s="10">
        <f>X320*Y320*Z320*AA320</f>
        <v/>
      </c>
    </row>
    <row r="321">
      <c r="A321" t="inlineStr">
        <is>
          <t>epgc39</t>
        </is>
      </c>
      <c r="B321" t="inlineStr">
        <is>
          <t>Manuela da Luz</t>
        </is>
      </c>
      <c r="C321" s="8" t="n">
        <v>0.464</v>
      </c>
      <c r="D321" s="8" t="n">
        <v>0.3201</v>
      </c>
      <c r="E321" s="8" t="n">
        <v>0.4255</v>
      </c>
      <c r="F321" s="8" t="n">
        <v>0.4413</v>
      </c>
      <c r="G321" s="8" t="n">
        <v>0.522</v>
      </c>
      <c r="H321" s="8" t="n">
        <v>0.6531</v>
      </c>
      <c r="I321" s="8" t="n">
        <v>0.8092</v>
      </c>
      <c r="J321" s="8" t="n">
        <v>0.8633</v>
      </c>
      <c r="K321" s="8" t="n">
        <v>0.4719</v>
      </c>
      <c r="L321" s="9">
        <f>1-(1-Mecanismos!B2)*(1-C321)</f>
        <v/>
      </c>
      <c r="M321" s="9">
        <f>Mecanismos!B7*D321</f>
        <v/>
      </c>
      <c r="N321" s="9">
        <f>Mecanismos!B4*(1-E321)</f>
        <v/>
      </c>
      <c r="O321" s="9">
        <f>Mecanismos!B5*(1-F321)</f>
        <v/>
      </c>
      <c r="P321" s="9">
        <f>Mecanismos!B6*(1-I321)</f>
        <v/>
      </c>
      <c r="Q321" s="9">
        <f>Mecanismos!B9*(1-G321)</f>
        <v/>
      </c>
      <c r="R321" s="9">
        <f>Mecanismos!B9*(1-J321)</f>
        <v/>
      </c>
      <c r="S321" s="9">
        <f>Mecanismos!B8*H321</f>
        <v/>
      </c>
      <c r="T321" s="9">
        <f>Mecanismos!B10*H321</f>
        <v/>
      </c>
      <c r="U321" s="9">
        <f>Mecanismos!B8*K321</f>
        <v/>
      </c>
      <c r="V321" s="9">
        <f>Mecanismos!B3*D321</f>
        <v/>
      </c>
      <c r="W321" s="9">
        <f>Parametros!B2+Parametros!B4*(S321+T321+U321+V321)-Parametros!B3*(L321+M321+N321+O321+P321+Q321+R321)</f>
        <v/>
      </c>
      <c r="X321" s="10">
        <f>1/(1+EXP(-W321))</f>
        <v/>
      </c>
      <c r="Y321" s="11">
        <f>IF(Parametros!B6=1,0.15+0.85*(1/(1+EXP(-8*((1-N321)-0.45)))),1)</f>
        <v/>
      </c>
      <c r="Z321" s="11">
        <f>IF(Parametros!B7=1,MAX(0.05,1-L321^1.6),1)</f>
        <v/>
      </c>
      <c r="AA321" s="11">
        <f>IF(Parametros!B8=1,0.2+0.8*(1/(1+EXP(-9*(S321-0.25)))),1)</f>
        <v/>
      </c>
      <c r="AB321" s="10">
        <f>X321*Y321*Z321*AA321</f>
        <v/>
      </c>
    </row>
    <row r="322">
      <c r="A322" t="inlineStr">
        <is>
          <t>otdd3z</t>
        </is>
      </c>
      <c r="B322" t="inlineStr">
        <is>
          <t>Manuella da Cunha</t>
        </is>
      </c>
      <c r="C322" s="8" t="n">
        <v>0.6242</v>
      </c>
      <c r="D322" s="8" t="n">
        <v>0.4761</v>
      </c>
      <c r="E322" s="8" t="n">
        <v>0.8586</v>
      </c>
      <c r="F322" s="8" t="n">
        <v>0.4524</v>
      </c>
      <c r="G322" s="8" t="n">
        <v>0.2237</v>
      </c>
      <c r="H322" s="8" t="n">
        <v>0.5436</v>
      </c>
      <c r="I322" s="8" t="n">
        <v>0.6713</v>
      </c>
      <c r="J322" s="8" t="n">
        <v>0.6337</v>
      </c>
      <c r="K322" s="8" t="n">
        <v>0.8374</v>
      </c>
      <c r="L322" s="9">
        <f>1-(1-Mecanismos!B2)*(1-C322)</f>
        <v/>
      </c>
      <c r="M322" s="9">
        <f>Mecanismos!B7*D322</f>
        <v/>
      </c>
      <c r="N322" s="9">
        <f>Mecanismos!B4*(1-E322)</f>
        <v/>
      </c>
      <c r="O322" s="9">
        <f>Mecanismos!B5*(1-F322)</f>
        <v/>
      </c>
      <c r="P322" s="9">
        <f>Mecanismos!B6*(1-I322)</f>
        <v/>
      </c>
      <c r="Q322" s="9">
        <f>Mecanismos!B9*(1-G322)</f>
        <v/>
      </c>
      <c r="R322" s="9">
        <f>Mecanismos!B9*(1-J322)</f>
        <v/>
      </c>
      <c r="S322" s="9">
        <f>Mecanismos!B8*H322</f>
        <v/>
      </c>
      <c r="T322" s="9">
        <f>Mecanismos!B10*H322</f>
        <v/>
      </c>
      <c r="U322" s="9">
        <f>Mecanismos!B8*K322</f>
        <v/>
      </c>
      <c r="V322" s="9">
        <f>Mecanismos!B3*D322</f>
        <v/>
      </c>
      <c r="W322" s="9">
        <f>Parametros!B2+Parametros!B4*(S322+T322+U322+V322)-Parametros!B3*(L322+M322+N322+O322+P322+Q322+R322)</f>
        <v/>
      </c>
      <c r="X322" s="10">
        <f>1/(1+EXP(-W322))</f>
        <v/>
      </c>
      <c r="Y322" s="11">
        <f>IF(Parametros!B6=1,0.15+0.85*(1/(1+EXP(-8*((1-N322)-0.45)))),1)</f>
        <v/>
      </c>
      <c r="Z322" s="11">
        <f>IF(Parametros!B7=1,MAX(0.05,1-L322^1.6),1)</f>
        <v/>
      </c>
      <c r="AA322" s="11">
        <f>IF(Parametros!B8=1,0.2+0.8*(1/(1+EXP(-9*(S322-0.25)))),1)</f>
        <v/>
      </c>
      <c r="AB322" s="10">
        <f>X322*Y322*Z322*AA322</f>
        <v/>
      </c>
    </row>
    <row r="323">
      <c r="A323" t="inlineStr">
        <is>
          <t>clsi4f</t>
        </is>
      </c>
      <c r="B323" t="inlineStr">
        <is>
          <t>Marcela Ramos</t>
        </is>
      </c>
      <c r="C323" s="8" t="n">
        <v>0.7027</v>
      </c>
      <c r="D323" s="8" t="n">
        <v>0.4192</v>
      </c>
      <c r="E323" s="8" t="n">
        <v>0.5033</v>
      </c>
      <c r="F323" s="8" t="n">
        <v>0.3831</v>
      </c>
      <c r="G323" s="8" t="n">
        <v>0.4042</v>
      </c>
      <c r="H323" s="8" t="n">
        <v>0.5225</v>
      </c>
      <c r="I323" s="8" t="n">
        <v>0.4186</v>
      </c>
      <c r="J323" s="8" t="n">
        <v>0.7513</v>
      </c>
      <c r="K323" s="8" t="n">
        <v>0.5574</v>
      </c>
      <c r="L323" s="9">
        <f>1-(1-Mecanismos!B2)*(1-C323)</f>
        <v/>
      </c>
      <c r="M323" s="9">
        <f>Mecanismos!B7*D323</f>
        <v/>
      </c>
      <c r="N323" s="9">
        <f>Mecanismos!B4*(1-E323)</f>
        <v/>
      </c>
      <c r="O323" s="9">
        <f>Mecanismos!B5*(1-F323)</f>
        <v/>
      </c>
      <c r="P323" s="9">
        <f>Mecanismos!B6*(1-I323)</f>
        <v/>
      </c>
      <c r="Q323" s="9">
        <f>Mecanismos!B9*(1-G323)</f>
        <v/>
      </c>
      <c r="R323" s="9">
        <f>Mecanismos!B9*(1-J323)</f>
        <v/>
      </c>
      <c r="S323" s="9">
        <f>Mecanismos!B8*H323</f>
        <v/>
      </c>
      <c r="T323" s="9">
        <f>Mecanismos!B10*H323</f>
        <v/>
      </c>
      <c r="U323" s="9">
        <f>Mecanismos!B8*K323</f>
        <v/>
      </c>
      <c r="V323" s="9">
        <f>Mecanismos!B3*D323</f>
        <v/>
      </c>
      <c r="W323" s="9">
        <f>Parametros!B2+Parametros!B4*(S323+T323+U323+V323)-Parametros!B3*(L323+M323+N323+O323+P323+Q323+R323)</f>
        <v/>
      </c>
      <c r="X323" s="10">
        <f>1/(1+EXP(-W323))</f>
        <v/>
      </c>
      <c r="Y323" s="11">
        <f>IF(Parametros!B6=1,0.15+0.85*(1/(1+EXP(-8*((1-N323)-0.45)))),1)</f>
        <v/>
      </c>
      <c r="Z323" s="11">
        <f>IF(Parametros!B7=1,MAX(0.05,1-L323^1.6),1)</f>
        <v/>
      </c>
      <c r="AA323" s="11">
        <f>IF(Parametros!B8=1,0.2+0.8*(1/(1+EXP(-9*(S323-0.25)))),1)</f>
        <v/>
      </c>
      <c r="AB323" s="10">
        <f>X323*Y323*Z323*AA323</f>
        <v/>
      </c>
    </row>
    <row r="324">
      <c r="A324" t="inlineStr">
        <is>
          <t>o0n0pc</t>
        </is>
      </c>
      <c r="B324" t="inlineStr">
        <is>
          <t>Marcelo Garcia</t>
        </is>
      </c>
      <c r="C324" s="8" t="n">
        <v>0.5241</v>
      </c>
      <c r="D324" s="8" t="n">
        <v>0.506</v>
      </c>
      <c r="E324" s="8" t="n">
        <v>0.4461</v>
      </c>
      <c r="F324" s="8" t="n">
        <v>0.5417</v>
      </c>
      <c r="G324" s="8" t="n">
        <v>0.8082</v>
      </c>
      <c r="H324" s="8" t="n">
        <v>0.5467</v>
      </c>
      <c r="I324" s="8" t="n">
        <v>0.376</v>
      </c>
      <c r="J324" s="8" t="n">
        <v>0.978</v>
      </c>
      <c r="K324" s="8" t="n">
        <v>0.2223</v>
      </c>
      <c r="L324" s="9">
        <f>1-(1-Mecanismos!B2)*(1-C324)</f>
        <v/>
      </c>
      <c r="M324" s="9">
        <f>Mecanismos!B7*D324</f>
        <v/>
      </c>
      <c r="N324" s="9">
        <f>Mecanismos!B4*(1-E324)</f>
        <v/>
      </c>
      <c r="O324" s="9">
        <f>Mecanismos!B5*(1-F324)</f>
        <v/>
      </c>
      <c r="P324" s="9">
        <f>Mecanismos!B6*(1-I324)</f>
        <v/>
      </c>
      <c r="Q324" s="9">
        <f>Mecanismos!B9*(1-G324)</f>
        <v/>
      </c>
      <c r="R324" s="9">
        <f>Mecanismos!B9*(1-J324)</f>
        <v/>
      </c>
      <c r="S324" s="9">
        <f>Mecanismos!B8*H324</f>
        <v/>
      </c>
      <c r="T324" s="9">
        <f>Mecanismos!B10*H324</f>
        <v/>
      </c>
      <c r="U324" s="9">
        <f>Mecanismos!B8*K324</f>
        <v/>
      </c>
      <c r="V324" s="9">
        <f>Mecanismos!B3*D324</f>
        <v/>
      </c>
      <c r="W324" s="9">
        <f>Parametros!B2+Parametros!B4*(S324+T324+U324+V324)-Parametros!B3*(L324+M324+N324+O324+P324+Q324+R324)</f>
        <v/>
      </c>
      <c r="X324" s="10">
        <f>1/(1+EXP(-W324))</f>
        <v/>
      </c>
      <c r="Y324" s="11">
        <f>IF(Parametros!B6=1,0.15+0.85*(1/(1+EXP(-8*((1-N324)-0.45)))),1)</f>
        <v/>
      </c>
      <c r="Z324" s="11">
        <f>IF(Parametros!B7=1,MAX(0.05,1-L324^1.6),1)</f>
        <v/>
      </c>
      <c r="AA324" s="11">
        <f>IF(Parametros!B8=1,0.2+0.8*(1/(1+EXP(-9*(S324-0.25)))),1)</f>
        <v/>
      </c>
      <c r="AB324" s="10">
        <f>X324*Y324*Z324*AA324</f>
        <v/>
      </c>
    </row>
    <row r="325">
      <c r="A325" t="inlineStr">
        <is>
          <t>eez11o</t>
        </is>
      </c>
      <c r="B325" t="inlineStr">
        <is>
          <t>Marcos Vinicius Cavalcante</t>
        </is>
      </c>
      <c r="C325" s="8" t="n">
        <v>0.579</v>
      </c>
      <c r="D325" s="8" t="n">
        <v>0.447</v>
      </c>
      <c r="E325" s="8" t="n">
        <v>0.5816</v>
      </c>
      <c r="F325" s="8" t="n">
        <v>0.7208</v>
      </c>
      <c r="G325" s="8" t="n">
        <v>0.5895</v>
      </c>
      <c r="H325" s="8" t="n">
        <v>0.5245</v>
      </c>
      <c r="I325" s="8" t="n">
        <v>0.3882</v>
      </c>
      <c r="J325" s="8" t="n">
        <v>0.8925</v>
      </c>
      <c r="K325" s="8" t="n">
        <v>0.6742</v>
      </c>
      <c r="L325" s="9">
        <f>1-(1-Mecanismos!B2)*(1-C325)</f>
        <v/>
      </c>
      <c r="M325" s="9">
        <f>Mecanismos!B7*D325</f>
        <v/>
      </c>
      <c r="N325" s="9">
        <f>Mecanismos!B4*(1-E325)</f>
        <v/>
      </c>
      <c r="O325" s="9">
        <f>Mecanismos!B5*(1-F325)</f>
        <v/>
      </c>
      <c r="P325" s="9">
        <f>Mecanismos!B6*(1-I325)</f>
        <v/>
      </c>
      <c r="Q325" s="9">
        <f>Mecanismos!B9*(1-G325)</f>
        <v/>
      </c>
      <c r="R325" s="9">
        <f>Mecanismos!B9*(1-J325)</f>
        <v/>
      </c>
      <c r="S325" s="9">
        <f>Mecanismos!B8*H325</f>
        <v/>
      </c>
      <c r="T325" s="9">
        <f>Mecanismos!B10*H325</f>
        <v/>
      </c>
      <c r="U325" s="9">
        <f>Mecanismos!B8*K325</f>
        <v/>
      </c>
      <c r="V325" s="9">
        <f>Mecanismos!B3*D325</f>
        <v/>
      </c>
      <c r="W325" s="9">
        <f>Parametros!B2+Parametros!B4*(S325+T325+U325+V325)-Parametros!B3*(L325+M325+N325+O325+P325+Q325+R325)</f>
        <v/>
      </c>
      <c r="X325" s="10">
        <f>1/(1+EXP(-W325))</f>
        <v/>
      </c>
      <c r="Y325" s="11">
        <f>IF(Parametros!B6=1,0.15+0.85*(1/(1+EXP(-8*((1-N325)-0.45)))),1)</f>
        <v/>
      </c>
      <c r="Z325" s="11">
        <f>IF(Parametros!B7=1,MAX(0.05,1-L325^1.6),1)</f>
        <v/>
      </c>
      <c r="AA325" s="11">
        <f>IF(Parametros!B8=1,0.2+0.8*(1/(1+EXP(-9*(S325-0.25)))),1)</f>
        <v/>
      </c>
      <c r="AB325" s="10">
        <f>X325*Y325*Z325*AA325</f>
        <v/>
      </c>
    </row>
    <row r="326">
      <c r="A326" t="inlineStr">
        <is>
          <t>kdkuyi</t>
        </is>
      </c>
      <c r="B326" t="inlineStr">
        <is>
          <t>Marcos Vinicius da Costa</t>
        </is>
      </c>
      <c r="C326" s="8" t="n">
        <v>0.7005</v>
      </c>
      <c r="D326" s="8" t="n">
        <v>0.4853</v>
      </c>
      <c r="E326" s="8" t="n">
        <v>0.2626</v>
      </c>
      <c r="F326" s="8" t="n">
        <v>0.5572</v>
      </c>
      <c r="G326" s="8" t="n">
        <v>0.6056</v>
      </c>
      <c r="H326" s="8" t="n">
        <v>0.797</v>
      </c>
      <c r="I326" s="8" t="n">
        <v>0.6877</v>
      </c>
      <c r="J326" s="8" t="n">
        <v>0.954</v>
      </c>
      <c r="K326" s="8" t="n">
        <v>0.6212</v>
      </c>
      <c r="L326" s="9">
        <f>1-(1-Mecanismos!B2)*(1-C326)</f>
        <v/>
      </c>
      <c r="M326" s="9">
        <f>Mecanismos!B7*D326</f>
        <v/>
      </c>
      <c r="N326" s="9">
        <f>Mecanismos!B4*(1-E326)</f>
        <v/>
      </c>
      <c r="O326" s="9">
        <f>Mecanismos!B5*(1-F326)</f>
        <v/>
      </c>
      <c r="P326" s="9">
        <f>Mecanismos!B6*(1-I326)</f>
        <v/>
      </c>
      <c r="Q326" s="9">
        <f>Mecanismos!B9*(1-G326)</f>
        <v/>
      </c>
      <c r="R326" s="9">
        <f>Mecanismos!B9*(1-J326)</f>
        <v/>
      </c>
      <c r="S326" s="9">
        <f>Mecanismos!B8*H326</f>
        <v/>
      </c>
      <c r="T326" s="9">
        <f>Mecanismos!B10*H326</f>
        <v/>
      </c>
      <c r="U326" s="9">
        <f>Mecanismos!B8*K326</f>
        <v/>
      </c>
      <c r="V326" s="9">
        <f>Mecanismos!B3*D326</f>
        <v/>
      </c>
      <c r="W326" s="9">
        <f>Parametros!B2+Parametros!B4*(S326+T326+U326+V326)-Parametros!B3*(L326+M326+N326+O326+P326+Q326+R326)</f>
        <v/>
      </c>
      <c r="X326" s="10">
        <f>1/(1+EXP(-W326))</f>
        <v/>
      </c>
      <c r="Y326" s="11">
        <f>IF(Parametros!B6=1,0.15+0.85*(1/(1+EXP(-8*((1-N326)-0.45)))),1)</f>
        <v/>
      </c>
      <c r="Z326" s="11">
        <f>IF(Parametros!B7=1,MAX(0.05,1-L326^1.6),1)</f>
        <v/>
      </c>
      <c r="AA326" s="11">
        <f>IF(Parametros!B8=1,0.2+0.8*(1/(1+EXP(-9*(S326-0.25)))),1)</f>
        <v/>
      </c>
      <c r="AB326" s="10">
        <f>X326*Y326*Z326*AA326</f>
        <v/>
      </c>
    </row>
    <row r="327">
      <c r="A327" t="inlineStr">
        <is>
          <t>lpeemn</t>
        </is>
      </c>
      <c r="B327" t="inlineStr">
        <is>
          <t>Maria Alice Andrade</t>
        </is>
      </c>
      <c r="C327" s="8" t="n">
        <v>0.5064</v>
      </c>
      <c r="D327" s="8" t="n">
        <v>0.7477</v>
      </c>
      <c r="E327" s="8" t="n">
        <v>0.4681</v>
      </c>
      <c r="F327" s="8" t="n">
        <v>0.606</v>
      </c>
      <c r="G327" s="8" t="n">
        <v>0.4894</v>
      </c>
      <c r="H327" s="8" t="n">
        <v>0.7024</v>
      </c>
      <c r="I327" s="8" t="n">
        <v>0.4787</v>
      </c>
      <c r="J327" s="8" t="n">
        <v>0.3569</v>
      </c>
      <c r="K327" s="8" t="n">
        <v>0.5674</v>
      </c>
      <c r="L327" s="9">
        <f>1-(1-Mecanismos!B2)*(1-C327)</f>
        <v/>
      </c>
      <c r="M327" s="9">
        <f>Mecanismos!B7*D327</f>
        <v/>
      </c>
      <c r="N327" s="9">
        <f>Mecanismos!B4*(1-E327)</f>
        <v/>
      </c>
      <c r="O327" s="9">
        <f>Mecanismos!B5*(1-F327)</f>
        <v/>
      </c>
      <c r="P327" s="9">
        <f>Mecanismos!B6*(1-I327)</f>
        <v/>
      </c>
      <c r="Q327" s="9">
        <f>Mecanismos!B9*(1-G327)</f>
        <v/>
      </c>
      <c r="R327" s="9">
        <f>Mecanismos!B9*(1-J327)</f>
        <v/>
      </c>
      <c r="S327" s="9">
        <f>Mecanismos!B8*H327</f>
        <v/>
      </c>
      <c r="T327" s="9">
        <f>Mecanismos!B10*H327</f>
        <v/>
      </c>
      <c r="U327" s="9">
        <f>Mecanismos!B8*K327</f>
        <v/>
      </c>
      <c r="V327" s="9">
        <f>Mecanismos!B3*D327</f>
        <v/>
      </c>
      <c r="W327" s="9">
        <f>Parametros!B2+Parametros!B4*(S327+T327+U327+V327)-Parametros!B3*(L327+M327+N327+O327+P327+Q327+R327)</f>
        <v/>
      </c>
      <c r="X327" s="10">
        <f>1/(1+EXP(-W327))</f>
        <v/>
      </c>
      <c r="Y327" s="11">
        <f>IF(Parametros!B6=1,0.15+0.85*(1/(1+EXP(-8*((1-N327)-0.45)))),1)</f>
        <v/>
      </c>
      <c r="Z327" s="11">
        <f>IF(Parametros!B7=1,MAX(0.05,1-L327^1.6),1)</f>
        <v/>
      </c>
      <c r="AA327" s="11">
        <f>IF(Parametros!B8=1,0.2+0.8*(1/(1+EXP(-9*(S327-0.25)))),1)</f>
        <v/>
      </c>
      <c r="AB327" s="10">
        <f>X327*Y327*Z327*AA327</f>
        <v/>
      </c>
    </row>
    <row r="328">
      <c r="A328" t="inlineStr">
        <is>
          <t>buezrb</t>
        </is>
      </c>
      <c r="B328" t="inlineStr">
        <is>
          <t>Maria Alice Cavalcanti</t>
        </is>
      </c>
      <c r="C328" s="8" t="n">
        <v>0.5968</v>
      </c>
      <c r="D328" s="8" t="n">
        <v>0.3096</v>
      </c>
      <c r="E328" s="8" t="n">
        <v>0.6768</v>
      </c>
      <c r="F328" s="8" t="n">
        <v>0.4421</v>
      </c>
      <c r="G328" s="8" t="n">
        <v>0.6512</v>
      </c>
      <c r="H328" s="8" t="n">
        <v>0.6586</v>
      </c>
      <c r="I328" s="8" t="n">
        <v>0.6302</v>
      </c>
      <c r="J328" s="8" t="n">
        <v>0.9308</v>
      </c>
      <c r="K328" s="8" t="n">
        <v>0.6536</v>
      </c>
      <c r="L328" s="9">
        <f>1-(1-Mecanismos!B2)*(1-C328)</f>
        <v/>
      </c>
      <c r="M328" s="9">
        <f>Mecanismos!B7*D328</f>
        <v/>
      </c>
      <c r="N328" s="9">
        <f>Mecanismos!B4*(1-E328)</f>
        <v/>
      </c>
      <c r="O328" s="9">
        <f>Mecanismos!B5*(1-F328)</f>
        <v/>
      </c>
      <c r="P328" s="9">
        <f>Mecanismos!B6*(1-I328)</f>
        <v/>
      </c>
      <c r="Q328" s="9">
        <f>Mecanismos!B9*(1-G328)</f>
        <v/>
      </c>
      <c r="R328" s="9">
        <f>Mecanismos!B9*(1-J328)</f>
        <v/>
      </c>
      <c r="S328" s="9">
        <f>Mecanismos!B8*H328</f>
        <v/>
      </c>
      <c r="T328" s="9">
        <f>Mecanismos!B10*H328</f>
        <v/>
      </c>
      <c r="U328" s="9">
        <f>Mecanismos!B8*K328</f>
        <v/>
      </c>
      <c r="V328" s="9">
        <f>Mecanismos!B3*D328</f>
        <v/>
      </c>
      <c r="W328" s="9">
        <f>Parametros!B2+Parametros!B4*(S328+T328+U328+V328)-Parametros!B3*(L328+M328+N328+O328+P328+Q328+R328)</f>
        <v/>
      </c>
      <c r="X328" s="10">
        <f>1/(1+EXP(-W328))</f>
        <v/>
      </c>
      <c r="Y328" s="11">
        <f>IF(Parametros!B6=1,0.15+0.85*(1/(1+EXP(-8*((1-N328)-0.45)))),1)</f>
        <v/>
      </c>
      <c r="Z328" s="11">
        <f>IF(Parametros!B7=1,MAX(0.05,1-L328^1.6),1)</f>
        <v/>
      </c>
      <c r="AA328" s="11">
        <f>IF(Parametros!B8=1,0.2+0.8*(1/(1+EXP(-9*(S328-0.25)))),1)</f>
        <v/>
      </c>
      <c r="AB328" s="10">
        <f>X328*Y328*Z328*AA328</f>
        <v/>
      </c>
    </row>
    <row r="329">
      <c r="A329" t="inlineStr">
        <is>
          <t>jpbx8m</t>
        </is>
      </c>
      <c r="B329" t="inlineStr">
        <is>
          <t>Maria Alice Novaes</t>
        </is>
      </c>
      <c r="C329" s="8" t="n">
        <v>0.5566</v>
      </c>
      <c r="D329" s="8" t="n">
        <v>0.3547</v>
      </c>
      <c r="E329" s="8" t="n">
        <v>0.7215</v>
      </c>
      <c r="F329" s="8" t="n">
        <v>0.2806</v>
      </c>
      <c r="G329" s="8" t="n">
        <v>0.4042</v>
      </c>
      <c r="H329" s="8" t="n">
        <v>0.7655999999999999</v>
      </c>
      <c r="I329" s="8" t="n">
        <v>0.4237</v>
      </c>
      <c r="J329" s="8" t="n">
        <v>0.6176</v>
      </c>
      <c r="K329" s="8" t="n">
        <v>0.4221</v>
      </c>
      <c r="L329" s="9">
        <f>1-(1-Mecanismos!B2)*(1-C329)</f>
        <v/>
      </c>
      <c r="M329" s="9">
        <f>Mecanismos!B7*D329</f>
        <v/>
      </c>
      <c r="N329" s="9">
        <f>Mecanismos!B4*(1-E329)</f>
        <v/>
      </c>
      <c r="O329" s="9">
        <f>Mecanismos!B5*(1-F329)</f>
        <v/>
      </c>
      <c r="P329" s="9">
        <f>Mecanismos!B6*(1-I329)</f>
        <v/>
      </c>
      <c r="Q329" s="9">
        <f>Mecanismos!B9*(1-G329)</f>
        <v/>
      </c>
      <c r="R329" s="9">
        <f>Mecanismos!B9*(1-J329)</f>
        <v/>
      </c>
      <c r="S329" s="9">
        <f>Mecanismos!B8*H329</f>
        <v/>
      </c>
      <c r="T329" s="9">
        <f>Mecanismos!B10*H329</f>
        <v/>
      </c>
      <c r="U329" s="9">
        <f>Mecanismos!B8*K329</f>
        <v/>
      </c>
      <c r="V329" s="9">
        <f>Mecanismos!B3*D329</f>
        <v/>
      </c>
      <c r="W329" s="9">
        <f>Parametros!B2+Parametros!B4*(S329+T329+U329+V329)-Parametros!B3*(L329+M329+N329+O329+P329+Q329+R329)</f>
        <v/>
      </c>
      <c r="X329" s="10">
        <f>1/(1+EXP(-W329))</f>
        <v/>
      </c>
      <c r="Y329" s="11">
        <f>IF(Parametros!B6=1,0.15+0.85*(1/(1+EXP(-8*((1-N329)-0.45)))),1)</f>
        <v/>
      </c>
      <c r="Z329" s="11">
        <f>IF(Parametros!B7=1,MAX(0.05,1-L329^1.6),1)</f>
        <v/>
      </c>
      <c r="AA329" s="11">
        <f>IF(Parametros!B8=1,0.2+0.8*(1/(1+EXP(-9*(S329-0.25)))),1)</f>
        <v/>
      </c>
      <c r="AB329" s="10">
        <f>X329*Y329*Z329*AA329</f>
        <v/>
      </c>
    </row>
    <row r="330">
      <c r="A330" t="inlineStr">
        <is>
          <t>triuk4</t>
        </is>
      </c>
      <c r="B330" t="inlineStr">
        <is>
          <t>Maria Cecília Araújo</t>
        </is>
      </c>
      <c r="C330" s="8" t="n">
        <v>0.6661</v>
      </c>
      <c r="D330" s="8" t="n">
        <v>0.4905</v>
      </c>
      <c r="E330" s="8" t="n">
        <v>0.5458</v>
      </c>
      <c r="F330" s="8" t="n">
        <v>0.6924</v>
      </c>
      <c r="G330" s="8" t="n">
        <v>0.4585</v>
      </c>
      <c r="H330" s="8" t="n">
        <v>0.5276</v>
      </c>
      <c r="I330" s="8" t="n">
        <v>0.7768</v>
      </c>
      <c r="J330" s="8" t="n">
        <v>0.5048</v>
      </c>
      <c r="K330" s="8" t="n">
        <v>0.3408</v>
      </c>
      <c r="L330" s="9">
        <f>1-(1-Mecanismos!B2)*(1-C330)</f>
        <v/>
      </c>
      <c r="M330" s="9">
        <f>Mecanismos!B7*D330</f>
        <v/>
      </c>
      <c r="N330" s="9">
        <f>Mecanismos!B4*(1-E330)</f>
        <v/>
      </c>
      <c r="O330" s="9">
        <f>Mecanismos!B5*(1-F330)</f>
        <v/>
      </c>
      <c r="P330" s="9">
        <f>Mecanismos!B6*(1-I330)</f>
        <v/>
      </c>
      <c r="Q330" s="9">
        <f>Mecanismos!B9*(1-G330)</f>
        <v/>
      </c>
      <c r="R330" s="9">
        <f>Mecanismos!B9*(1-J330)</f>
        <v/>
      </c>
      <c r="S330" s="9">
        <f>Mecanismos!B8*H330</f>
        <v/>
      </c>
      <c r="T330" s="9">
        <f>Mecanismos!B10*H330</f>
        <v/>
      </c>
      <c r="U330" s="9">
        <f>Mecanismos!B8*K330</f>
        <v/>
      </c>
      <c r="V330" s="9">
        <f>Mecanismos!B3*D330</f>
        <v/>
      </c>
      <c r="W330" s="9">
        <f>Parametros!B2+Parametros!B4*(S330+T330+U330+V330)-Parametros!B3*(L330+M330+N330+O330+P330+Q330+R330)</f>
        <v/>
      </c>
      <c r="X330" s="10">
        <f>1/(1+EXP(-W330))</f>
        <v/>
      </c>
      <c r="Y330" s="11">
        <f>IF(Parametros!B6=1,0.15+0.85*(1/(1+EXP(-8*((1-N330)-0.45)))),1)</f>
        <v/>
      </c>
      <c r="Z330" s="11">
        <f>IF(Parametros!B7=1,MAX(0.05,1-L330^1.6),1)</f>
        <v/>
      </c>
      <c r="AA330" s="11">
        <f>IF(Parametros!B8=1,0.2+0.8*(1/(1+EXP(-9*(S330-0.25)))),1)</f>
        <v/>
      </c>
      <c r="AB330" s="10">
        <f>X330*Y330*Z330*AA330</f>
        <v/>
      </c>
    </row>
    <row r="331">
      <c r="A331" t="inlineStr">
        <is>
          <t>bmsi9d</t>
        </is>
      </c>
      <c r="B331" t="inlineStr">
        <is>
          <t>Maria Clara Moreira</t>
        </is>
      </c>
      <c r="C331" s="8" t="n">
        <v>0.4811</v>
      </c>
      <c r="D331" s="8" t="n">
        <v>0.839</v>
      </c>
      <c r="E331" s="8" t="n">
        <v>0.3341</v>
      </c>
      <c r="F331" s="8" t="n">
        <v>0.6948</v>
      </c>
      <c r="G331" s="8" t="n">
        <v>0.5832000000000001</v>
      </c>
      <c r="H331" s="8" t="n">
        <v>0.7762</v>
      </c>
      <c r="I331" s="8" t="n">
        <v>0.6395</v>
      </c>
      <c r="J331" s="8" t="n">
        <v>0.8249</v>
      </c>
      <c r="K331" s="8" t="n">
        <v>0.4004</v>
      </c>
      <c r="L331" s="9">
        <f>1-(1-Mecanismos!B2)*(1-C331)</f>
        <v/>
      </c>
      <c r="M331" s="9">
        <f>Mecanismos!B7*D331</f>
        <v/>
      </c>
      <c r="N331" s="9">
        <f>Mecanismos!B4*(1-E331)</f>
        <v/>
      </c>
      <c r="O331" s="9">
        <f>Mecanismos!B5*(1-F331)</f>
        <v/>
      </c>
      <c r="P331" s="9">
        <f>Mecanismos!B6*(1-I331)</f>
        <v/>
      </c>
      <c r="Q331" s="9">
        <f>Mecanismos!B9*(1-G331)</f>
        <v/>
      </c>
      <c r="R331" s="9">
        <f>Mecanismos!B9*(1-J331)</f>
        <v/>
      </c>
      <c r="S331" s="9">
        <f>Mecanismos!B8*H331</f>
        <v/>
      </c>
      <c r="T331" s="9">
        <f>Mecanismos!B10*H331</f>
        <v/>
      </c>
      <c r="U331" s="9">
        <f>Mecanismos!B8*K331</f>
        <v/>
      </c>
      <c r="V331" s="9">
        <f>Mecanismos!B3*D331</f>
        <v/>
      </c>
      <c r="W331" s="9">
        <f>Parametros!B2+Parametros!B4*(S331+T331+U331+V331)-Parametros!B3*(L331+M331+N331+O331+P331+Q331+R331)</f>
        <v/>
      </c>
      <c r="X331" s="10">
        <f>1/(1+EXP(-W331))</f>
        <v/>
      </c>
      <c r="Y331" s="11">
        <f>IF(Parametros!B6=1,0.15+0.85*(1/(1+EXP(-8*((1-N331)-0.45)))),1)</f>
        <v/>
      </c>
      <c r="Z331" s="11">
        <f>IF(Parametros!B7=1,MAX(0.05,1-L331^1.6),1)</f>
        <v/>
      </c>
      <c r="AA331" s="11">
        <f>IF(Parametros!B8=1,0.2+0.8*(1/(1+EXP(-9*(S331-0.25)))),1)</f>
        <v/>
      </c>
      <c r="AB331" s="10">
        <f>X331*Y331*Z331*AA331</f>
        <v/>
      </c>
    </row>
    <row r="332">
      <c r="A332" t="inlineStr">
        <is>
          <t>aefx0r</t>
        </is>
      </c>
      <c r="B332" t="inlineStr">
        <is>
          <t>Maria Cunha</t>
        </is>
      </c>
      <c r="C332" s="8" t="n">
        <v>0.5515</v>
      </c>
      <c r="D332" s="8" t="n">
        <v>0.4998</v>
      </c>
      <c r="E332" s="8" t="n">
        <v>0.5255</v>
      </c>
      <c r="F332" s="8" t="n">
        <v>0.1656</v>
      </c>
      <c r="G332" s="8" t="n">
        <v>0.4535</v>
      </c>
      <c r="H332" s="8" t="n">
        <v>0.6138</v>
      </c>
      <c r="I332" s="8" t="n">
        <v>0.2614</v>
      </c>
      <c r="J332" s="8" t="n">
        <v>0.5913</v>
      </c>
      <c r="K332" s="8" t="n">
        <v>0.4795</v>
      </c>
      <c r="L332" s="9">
        <f>1-(1-Mecanismos!B2)*(1-C332)</f>
        <v/>
      </c>
      <c r="M332" s="9">
        <f>Mecanismos!B7*D332</f>
        <v/>
      </c>
      <c r="N332" s="9">
        <f>Mecanismos!B4*(1-E332)</f>
        <v/>
      </c>
      <c r="O332" s="9">
        <f>Mecanismos!B5*(1-F332)</f>
        <v/>
      </c>
      <c r="P332" s="9">
        <f>Mecanismos!B6*(1-I332)</f>
        <v/>
      </c>
      <c r="Q332" s="9">
        <f>Mecanismos!B9*(1-G332)</f>
        <v/>
      </c>
      <c r="R332" s="9">
        <f>Mecanismos!B9*(1-J332)</f>
        <v/>
      </c>
      <c r="S332" s="9">
        <f>Mecanismos!B8*H332</f>
        <v/>
      </c>
      <c r="T332" s="9">
        <f>Mecanismos!B10*H332</f>
        <v/>
      </c>
      <c r="U332" s="9">
        <f>Mecanismos!B8*K332</f>
        <v/>
      </c>
      <c r="V332" s="9">
        <f>Mecanismos!B3*D332</f>
        <v/>
      </c>
      <c r="W332" s="9">
        <f>Parametros!B2+Parametros!B4*(S332+T332+U332+V332)-Parametros!B3*(L332+M332+N332+O332+P332+Q332+R332)</f>
        <v/>
      </c>
      <c r="X332" s="10">
        <f>1/(1+EXP(-W332))</f>
        <v/>
      </c>
      <c r="Y332" s="11">
        <f>IF(Parametros!B6=1,0.15+0.85*(1/(1+EXP(-8*((1-N332)-0.45)))),1)</f>
        <v/>
      </c>
      <c r="Z332" s="11">
        <f>IF(Parametros!B7=1,MAX(0.05,1-L332^1.6),1)</f>
        <v/>
      </c>
      <c r="AA332" s="11">
        <f>IF(Parametros!B8=1,0.2+0.8*(1/(1+EXP(-9*(S332-0.25)))),1)</f>
        <v/>
      </c>
      <c r="AB332" s="10">
        <f>X332*Y332*Z332*AA332</f>
        <v/>
      </c>
    </row>
    <row r="333">
      <c r="A333" t="inlineStr">
        <is>
          <t>5jg7zn</t>
        </is>
      </c>
      <c r="B333" t="inlineStr">
        <is>
          <t>Maria Eduarda Gomes</t>
        </is>
      </c>
      <c r="C333" s="8" t="n">
        <v>0.8459</v>
      </c>
      <c r="D333" s="8" t="n">
        <v>0.7107</v>
      </c>
      <c r="E333" s="8" t="n">
        <v>0.4985</v>
      </c>
      <c r="F333" s="8" t="n">
        <v>0.5178</v>
      </c>
      <c r="G333" s="8" t="n">
        <v>0.6927</v>
      </c>
      <c r="H333" s="8" t="n">
        <v>0.5662</v>
      </c>
      <c r="I333" s="8" t="n">
        <v>0.4201</v>
      </c>
      <c r="J333" s="8" t="n">
        <v>0.8885999999999999</v>
      </c>
      <c r="K333" s="8" t="n">
        <v>0.3614</v>
      </c>
      <c r="L333" s="9">
        <f>1-(1-Mecanismos!B2)*(1-C333)</f>
        <v/>
      </c>
      <c r="M333" s="9">
        <f>Mecanismos!B7*D333</f>
        <v/>
      </c>
      <c r="N333" s="9">
        <f>Mecanismos!B4*(1-E333)</f>
        <v/>
      </c>
      <c r="O333" s="9">
        <f>Mecanismos!B5*(1-F333)</f>
        <v/>
      </c>
      <c r="P333" s="9">
        <f>Mecanismos!B6*(1-I333)</f>
        <v/>
      </c>
      <c r="Q333" s="9">
        <f>Mecanismos!B9*(1-G333)</f>
        <v/>
      </c>
      <c r="R333" s="9">
        <f>Mecanismos!B9*(1-J333)</f>
        <v/>
      </c>
      <c r="S333" s="9">
        <f>Mecanismos!B8*H333</f>
        <v/>
      </c>
      <c r="T333" s="9">
        <f>Mecanismos!B10*H333</f>
        <v/>
      </c>
      <c r="U333" s="9">
        <f>Mecanismos!B8*K333</f>
        <v/>
      </c>
      <c r="V333" s="9">
        <f>Mecanismos!B3*D333</f>
        <v/>
      </c>
      <c r="W333" s="9">
        <f>Parametros!B2+Parametros!B4*(S333+T333+U333+V333)-Parametros!B3*(L333+M333+N333+O333+P333+Q333+R333)</f>
        <v/>
      </c>
      <c r="X333" s="10">
        <f>1/(1+EXP(-W333))</f>
        <v/>
      </c>
      <c r="Y333" s="11">
        <f>IF(Parametros!B6=1,0.15+0.85*(1/(1+EXP(-8*((1-N333)-0.45)))),1)</f>
        <v/>
      </c>
      <c r="Z333" s="11">
        <f>IF(Parametros!B7=1,MAX(0.05,1-L333^1.6),1)</f>
        <v/>
      </c>
      <c r="AA333" s="11">
        <f>IF(Parametros!B8=1,0.2+0.8*(1/(1+EXP(-9*(S333-0.25)))),1)</f>
        <v/>
      </c>
      <c r="AB333" s="10">
        <f>X333*Y333*Z333*AA333</f>
        <v/>
      </c>
    </row>
    <row r="334">
      <c r="A334" t="inlineStr">
        <is>
          <t>zo8sc8</t>
        </is>
      </c>
      <c r="B334" t="inlineStr">
        <is>
          <t>Maria Eduarda Gonçalves</t>
        </is>
      </c>
      <c r="C334" s="8" t="n">
        <v>0.5649999999999999</v>
      </c>
      <c r="D334" s="8" t="n">
        <v>0.3526</v>
      </c>
      <c r="E334" s="8" t="n">
        <v>0.5339</v>
      </c>
      <c r="F334" s="8" t="n">
        <v>0.6192</v>
      </c>
      <c r="G334" s="8" t="n">
        <v>0.285</v>
      </c>
      <c r="H334" s="8" t="n">
        <v>0.5397</v>
      </c>
      <c r="I334" s="8" t="n">
        <v>0.08799999999999999</v>
      </c>
      <c r="J334" s="8" t="n">
        <v>0.5152</v>
      </c>
      <c r="K334" s="8" t="n">
        <v>0.6451</v>
      </c>
      <c r="L334" s="9">
        <f>1-(1-Mecanismos!B2)*(1-C334)</f>
        <v/>
      </c>
      <c r="M334" s="9">
        <f>Mecanismos!B7*D334</f>
        <v/>
      </c>
      <c r="N334" s="9">
        <f>Mecanismos!B4*(1-E334)</f>
        <v/>
      </c>
      <c r="O334" s="9">
        <f>Mecanismos!B5*(1-F334)</f>
        <v/>
      </c>
      <c r="P334" s="9">
        <f>Mecanismos!B6*(1-I334)</f>
        <v/>
      </c>
      <c r="Q334" s="9">
        <f>Mecanismos!B9*(1-G334)</f>
        <v/>
      </c>
      <c r="R334" s="9">
        <f>Mecanismos!B9*(1-J334)</f>
        <v/>
      </c>
      <c r="S334" s="9">
        <f>Mecanismos!B8*H334</f>
        <v/>
      </c>
      <c r="T334" s="9">
        <f>Mecanismos!B10*H334</f>
        <v/>
      </c>
      <c r="U334" s="9">
        <f>Mecanismos!B8*K334</f>
        <v/>
      </c>
      <c r="V334" s="9">
        <f>Mecanismos!B3*D334</f>
        <v/>
      </c>
      <c r="W334" s="9">
        <f>Parametros!B2+Parametros!B4*(S334+T334+U334+V334)-Parametros!B3*(L334+M334+N334+O334+P334+Q334+R334)</f>
        <v/>
      </c>
      <c r="X334" s="10">
        <f>1/(1+EXP(-W334))</f>
        <v/>
      </c>
      <c r="Y334" s="11">
        <f>IF(Parametros!B6=1,0.15+0.85*(1/(1+EXP(-8*((1-N334)-0.45)))),1)</f>
        <v/>
      </c>
      <c r="Z334" s="11">
        <f>IF(Parametros!B7=1,MAX(0.05,1-L334^1.6),1)</f>
        <v/>
      </c>
      <c r="AA334" s="11">
        <f>IF(Parametros!B8=1,0.2+0.8*(1/(1+EXP(-9*(S334-0.25)))),1)</f>
        <v/>
      </c>
      <c r="AB334" s="10">
        <f>X334*Y334*Z334*AA334</f>
        <v/>
      </c>
    </row>
    <row r="335">
      <c r="A335" t="inlineStr">
        <is>
          <t>7w6llg</t>
        </is>
      </c>
      <c r="B335" t="inlineStr">
        <is>
          <t>Maria Eduarda Mendes</t>
        </is>
      </c>
      <c r="C335" s="8" t="n">
        <v>0.4295</v>
      </c>
      <c r="D335" s="8" t="n">
        <v>0.6359</v>
      </c>
      <c r="E335" s="8" t="n">
        <v>0.15</v>
      </c>
      <c r="F335" s="8" t="n">
        <v>0.7147</v>
      </c>
      <c r="G335" s="8" t="n">
        <v>0.4119</v>
      </c>
      <c r="H335" s="8" t="n">
        <v>0.4762</v>
      </c>
      <c r="I335" s="8" t="n">
        <v>0.5802</v>
      </c>
      <c r="J335" s="8" t="n">
        <v>0.9286</v>
      </c>
      <c r="K335" s="8" t="n">
        <v>0.6975</v>
      </c>
      <c r="L335" s="9">
        <f>1-(1-Mecanismos!B2)*(1-C335)</f>
        <v/>
      </c>
      <c r="M335" s="9">
        <f>Mecanismos!B7*D335</f>
        <v/>
      </c>
      <c r="N335" s="9">
        <f>Mecanismos!B4*(1-E335)</f>
        <v/>
      </c>
      <c r="O335" s="9">
        <f>Mecanismos!B5*(1-F335)</f>
        <v/>
      </c>
      <c r="P335" s="9">
        <f>Mecanismos!B6*(1-I335)</f>
        <v/>
      </c>
      <c r="Q335" s="9">
        <f>Mecanismos!B9*(1-G335)</f>
        <v/>
      </c>
      <c r="R335" s="9">
        <f>Mecanismos!B9*(1-J335)</f>
        <v/>
      </c>
      <c r="S335" s="9">
        <f>Mecanismos!B8*H335</f>
        <v/>
      </c>
      <c r="T335" s="9">
        <f>Mecanismos!B10*H335</f>
        <v/>
      </c>
      <c r="U335" s="9">
        <f>Mecanismos!B8*K335</f>
        <v/>
      </c>
      <c r="V335" s="9">
        <f>Mecanismos!B3*D335</f>
        <v/>
      </c>
      <c r="W335" s="9">
        <f>Parametros!B2+Parametros!B4*(S335+T335+U335+V335)-Parametros!B3*(L335+M335+N335+O335+P335+Q335+R335)</f>
        <v/>
      </c>
      <c r="X335" s="10">
        <f>1/(1+EXP(-W335))</f>
        <v/>
      </c>
      <c r="Y335" s="11">
        <f>IF(Parametros!B6=1,0.15+0.85*(1/(1+EXP(-8*((1-N335)-0.45)))),1)</f>
        <v/>
      </c>
      <c r="Z335" s="11">
        <f>IF(Parametros!B7=1,MAX(0.05,1-L335^1.6),1)</f>
        <v/>
      </c>
      <c r="AA335" s="11">
        <f>IF(Parametros!B8=1,0.2+0.8*(1/(1+EXP(-9*(S335-0.25)))),1)</f>
        <v/>
      </c>
      <c r="AB335" s="10">
        <f>X335*Y335*Z335*AA335</f>
        <v/>
      </c>
    </row>
    <row r="336">
      <c r="A336" t="inlineStr">
        <is>
          <t>79bg3q</t>
        </is>
      </c>
      <c r="B336" t="inlineStr">
        <is>
          <t>Maria Eduarda Pereira</t>
        </is>
      </c>
      <c r="C336" s="8" t="n">
        <v>0.642</v>
      </c>
      <c r="D336" s="8" t="n">
        <v>0.6847</v>
      </c>
      <c r="E336" s="8" t="n">
        <v>0.2316</v>
      </c>
      <c r="F336" s="8" t="n">
        <v>0.6922</v>
      </c>
      <c r="G336" s="8" t="n">
        <v>0.4888</v>
      </c>
      <c r="H336" s="8" t="n">
        <v>0.6239</v>
      </c>
      <c r="I336" s="8" t="n">
        <v>0.7356</v>
      </c>
      <c r="J336" s="8" t="n">
        <v>0.7706</v>
      </c>
      <c r="K336" s="8" t="n">
        <v>0.1661</v>
      </c>
      <c r="L336" s="9">
        <f>1-(1-Mecanismos!B2)*(1-C336)</f>
        <v/>
      </c>
      <c r="M336" s="9">
        <f>Mecanismos!B7*D336</f>
        <v/>
      </c>
      <c r="N336" s="9">
        <f>Mecanismos!B4*(1-E336)</f>
        <v/>
      </c>
      <c r="O336" s="9">
        <f>Mecanismos!B5*(1-F336)</f>
        <v/>
      </c>
      <c r="P336" s="9">
        <f>Mecanismos!B6*(1-I336)</f>
        <v/>
      </c>
      <c r="Q336" s="9">
        <f>Mecanismos!B9*(1-G336)</f>
        <v/>
      </c>
      <c r="R336" s="9">
        <f>Mecanismos!B9*(1-J336)</f>
        <v/>
      </c>
      <c r="S336" s="9">
        <f>Mecanismos!B8*H336</f>
        <v/>
      </c>
      <c r="T336" s="9">
        <f>Mecanismos!B10*H336</f>
        <v/>
      </c>
      <c r="U336" s="9">
        <f>Mecanismos!B8*K336</f>
        <v/>
      </c>
      <c r="V336" s="9">
        <f>Mecanismos!B3*D336</f>
        <v/>
      </c>
      <c r="W336" s="9">
        <f>Parametros!B2+Parametros!B4*(S336+T336+U336+V336)-Parametros!B3*(L336+M336+N336+O336+P336+Q336+R336)</f>
        <v/>
      </c>
      <c r="X336" s="10">
        <f>1/(1+EXP(-W336))</f>
        <v/>
      </c>
      <c r="Y336" s="11">
        <f>IF(Parametros!B6=1,0.15+0.85*(1/(1+EXP(-8*((1-N336)-0.45)))),1)</f>
        <v/>
      </c>
      <c r="Z336" s="11">
        <f>IF(Parametros!B7=1,MAX(0.05,1-L336^1.6),1)</f>
        <v/>
      </c>
      <c r="AA336" s="11">
        <f>IF(Parametros!B8=1,0.2+0.8*(1/(1+EXP(-9*(S336-0.25)))),1)</f>
        <v/>
      </c>
      <c r="AB336" s="10">
        <f>X336*Y336*Z336*AA336</f>
        <v/>
      </c>
    </row>
    <row r="337">
      <c r="A337" t="inlineStr">
        <is>
          <t>map6yr</t>
        </is>
      </c>
      <c r="B337" t="inlineStr">
        <is>
          <t>Maria Eduarda Rocha</t>
        </is>
      </c>
      <c r="C337" s="8" t="n">
        <v>0.381</v>
      </c>
      <c r="D337" s="8" t="n">
        <v>0.4538</v>
      </c>
      <c r="E337" s="8" t="n">
        <v>0.5201</v>
      </c>
      <c r="F337" s="8" t="n">
        <v>0.6106</v>
      </c>
      <c r="G337" s="8" t="n">
        <v>0.3684</v>
      </c>
      <c r="H337" s="8" t="n">
        <v>0.7499</v>
      </c>
      <c r="I337" s="8" t="n">
        <v>0.5879</v>
      </c>
      <c r="J337" s="8" t="n">
        <v>0.8694</v>
      </c>
      <c r="K337" s="8" t="n">
        <v>0.2193</v>
      </c>
      <c r="L337" s="9">
        <f>1-(1-Mecanismos!B2)*(1-C337)</f>
        <v/>
      </c>
      <c r="M337" s="9">
        <f>Mecanismos!B7*D337</f>
        <v/>
      </c>
      <c r="N337" s="9">
        <f>Mecanismos!B4*(1-E337)</f>
        <v/>
      </c>
      <c r="O337" s="9">
        <f>Mecanismos!B5*(1-F337)</f>
        <v/>
      </c>
      <c r="P337" s="9">
        <f>Mecanismos!B6*(1-I337)</f>
        <v/>
      </c>
      <c r="Q337" s="9">
        <f>Mecanismos!B9*(1-G337)</f>
        <v/>
      </c>
      <c r="R337" s="9">
        <f>Mecanismos!B9*(1-J337)</f>
        <v/>
      </c>
      <c r="S337" s="9">
        <f>Mecanismos!B8*H337</f>
        <v/>
      </c>
      <c r="T337" s="9">
        <f>Mecanismos!B10*H337</f>
        <v/>
      </c>
      <c r="U337" s="9">
        <f>Mecanismos!B8*K337</f>
        <v/>
      </c>
      <c r="V337" s="9">
        <f>Mecanismos!B3*D337</f>
        <v/>
      </c>
      <c r="W337" s="9">
        <f>Parametros!B2+Parametros!B4*(S337+T337+U337+V337)-Parametros!B3*(L337+M337+N337+O337+P337+Q337+R337)</f>
        <v/>
      </c>
      <c r="X337" s="10">
        <f>1/(1+EXP(-W337))</f>
        <v/>
      </c>
      <c r="Y337" s="11">
        <f>IF(Parametros!B6=1,0.15+0.85*(1/(1+EXP(-8*((1-N337)-0.45)))),1)</f>
        <v/>
      </c>
      <c r="Z337" s="11">
        <f>IF(Parametros!B7=1,MAX(0.05,1-L337^1.6),1)</f>
        <v/>
      </c>
      <c r="AA337" s="11">
        <f>IF(Parametros!B8=1,0.2+0.8*(1/(1+EXP(-9*(S337-0.25)))),1)</f>
        <v/>
      </c>
      <c r="AB337" s="10">
        <f>X337*Y337*Z337*AA337</f>
        <v/>
      </c>
    </row>
    <row r="338">
      <c r="A338" t="inlineStr">
        <is>
          <t>kuzfbj</t>
        </is>
      </c>
      <c r="B338" t="inlineStr">
        <is>
          <t>Maria Fernandes</t>
        </is>
      </c>
      <c r="C338" s="8" t="n">
        <v>0.3416</v>
      </c>
      <c r="D338" s="8" t="n">
        <v>0.7141999999999999</v>
      </c>
      <c r="E338" s="8" t="n">
        <v>0.4719</v>
      </c>
      <c r="F338" s="8" t="n">
        <v>0.7514999999999999</v>
      </c>
      <c r="G338" s="8" t="n">
        <v>0.2063</v>
      </c>
      <c r="H338" s="8" t="n">
        <v>0.722</v>
      </c>
      <c r="I338" s="8" t="n">
        <v>0.5532</v>
      </c>
      <c r="J338" s="8" t="n">
        <v>0.3701</v>
      </c>
      <c r="K338" s="8" t="n">
        <v>0.8028999999999999</v>
      </c>
      <c r="L338" s="9">
        <f>1-(1-Mecanismos!B2)*(1-C338)</f>
        <v/>
      </c>
      <c r="M338" s="9">
        <f>Mecanismos!B7*D338</f>
        <v/>
      </c>
      <c r="N338" s="9">
        <f>Mecanismos!B4*(1-E338)</f>
        <v/>
      </c>
      <c r="O338" s="9">
        <f>Mecanismos!B5*(1-F338)</f>
        <v/>
      </c>
      <c r="P338" s="9">
        <f>Mecanismos!B6*(1-I338)</f>
        <v/>
      </c>
      <c r="Q338" s="9">
        <f>Mecanismos!B9*(1-G338)</f>
        <v/>
      </c>
      <c r="R338" s="9">
        <f>Mecanismos!B9*(1-J338)</f>
        <v/>
      </c>
      <c r="S338" s="9">
        <f>Mecanismos!B8*H338</f>
        <v/>
      </c>
      <c r="T338" s="9">
        <f>Mecanismos!B10*H338</f>
        <v/>
      </c>
      <c r="U338" s="9">
        <f>Mecanismos!B8*K338</f>
        <v/>
      </c>
      <c r="V338" s="9">
        <f>Mecanismos!B3*D338</f>
        <v/>
      </c>
      <c r="W338" s="9">
        <f>Parametros!B2+Parametros!B4*(S338+T338+U338+V338)-Parametros!B3*(L338+M338+N338+O338+P338+Q338+R338)</f>
        <v/>
      </c>
      <c r="X338" s="10">
        <f>1/(1+EXP(-W338))</f>
        <v/>
      </c>
      <c r="Y338" s="11">
        <f>IF(Parametros!B6=1,0.15+0.85*(1/(1+EXP(-8*((1-N338)-0.45)))),1)</f>
        <v/>
      </c>
      <c r="Z338" s="11">
        <f>IF(Parametros!B7=1,MAX(0.05,1-L338^1.6),1)</f>
        <v/>
      </c>
      <c r="AA338" s="11">
        <f>IF(Parametros!B8=1,0.2+0.8*(1/(1+EXP(-9*(S338-0.25)))),1)</f>
        <v/>
      </c>
      <c r="AB338" s="10">
        <f>X338*Y338*Z338*AA338</f>
        <v/>
      </c>
    </row>
    <row r="339">
      <c r="A339" t="inlineStr">
        <is>
          <t>520g8x</t>
        </is>
      </c>
      <c r="B339" t="inlineStr">
        <is>
          <t>Maria Flor Casa Grande</t>
        </is>
      </c>
      <c r="C339" s="8" t="n">
        <v>0.4465</v>
      </c>
      <c r="D339" s="8" t="n">
        <v>0.4227</v>
      </c>
      <c r="E339" s="8" t="n">
        <v>0.6074000000000001</v>
      </c>
      <c r="F339" s="8" t="n">
        <v>0.5959</v>
      </c>
      <c r="G339" s="8" t="n">
        <v>0.3977</v>
      </c>
      <c r="H339" s="8" t="n">
        <v>0.796</v>
      </c>
      <c r="I339" s="8" t="n">
        <v>0.3946</v>
      </c>
      <c r="J339" s="8" t="n">
        <v>0.768</v>
      </c>
      <c r="K339" s="8" t="n">
        <v>0.5638</v>
      </c>
      <c r="L339" s="9">
        <f>1-(1-Mecanismos!B2)*(1-C339)</f>
        <v/>
      </c>
      <c r="M339" s="9">
        <f>Mecanismos!B7*D339</f>
        <v/>
      </c>
      <c r="N339" s="9">
        <f>Mecanismos!B4*(1-E339)</f>
        <v/>
      </c>
      <c r="O339" s="9">
        <f>Mecanismos!B5*(1-F339)</f>
        <v/>
      </c>
      <c r="P339" s="9">
        <f>Mecanismos!B6*(1-I339)</f>
        <v/>
      </c>
      <c r="Q339" s="9">
        <f>Mecanismos!B9*(1-G339)</f>
        <v/>
      </c>
      <c r="R339" s="9">
        <f>Mecanismos!B9*(1-J339)</f>
        <v/>
      </c>
      <c r="S339" s="9">
        <f>Mecanismos!B8*H339</f>
        <v/>
      </c>
      <c r="T339" s="9">
        <f>Mecanismos!B10*H339</f>
        <v/>
      </c>
      <c r="U339" s="9">
        <f>Mecanismos!B8*K339</f>
        <v/>
      </c>
      <c r="V339" s="9">
        <f>Mecanismos!B3*D339</f>
        <v/>
      </c>
      <c r="W339" s="9">
        <f>Parametros!B2+Parametros!B4*(S339+T339+U339+V339)-Parametros!B3*(L339+M339+N339+O339+P339+Q339+R339)</f>
        <v/>
      </c>
      <c r="X339" s="10">
        <f>1/(1+EXP(-W339))</f>
        <v/>
      </c>
      <c r="Y339" s="11">
        <f>IF(Parametros!B6=1,0.15+0.85*(1/(1+EXP(-8*((1-N339)-0.45)))),1)</f>
        <v/>
      </c>
      <c r="Z339" s="11">
        <f>IF(Parametros!B7=1,MAX(0.05,1-L339^1.6),1)</f>
        <v/>
      </c>
      <c r="AA339" s="11">
        <f>IF(Parametros!B8=1,0.2+0.8*(1/(1+EXP(-9*(S339-0.25)))),1)</f>
        <v/>
      </c>
      <c r="AB339" s="10">
        <f>X339*Y339*Z339*AA339</f>
        <v/>
      </c>
    </row>
    <row r="340">
      <c r="A340" t="inlineStr">
        <is>
          <t>ox1ju4</t>
        </is>
      </c>
      <c r="B340" t="inlineStr">
        <is>
          <t>Maria Fonseca</t>
        </is>
      </c>
      <c r="C340" s="8" t="n">
        <v>0.7576000000000001</v>
      </c>
      <c r="D340" s="8" t="n">
        <v>0.1801</v>
      </c>
      <c r="E340" s="8" t="n">
        <v>0.6843</v>
      </c>
      <c r="F340" s="8" t="n">
        <v>0.455</v>
      </c>
      <c r="G340" s="8" t="n">
        <v>0.375</v>
      </c>
      <c r="H340" s="8" t="n">
        <v>0.6689000000000001</v>
      </c>
      <c r="I340" s="8" t="n">
        <v>0.4677</v>
      </c>
      <c r="J340" s="8" t="n">
        <v>0.4387</v>
      </c>
      <c r="K340" s="8" t="n">
        <v>0.3671</v>
      </c>
      <c r="L340" s="9">
        <f>1-(1-Mecanismos!B2)*(1-C340)</f>
        <v/>
      </c>
      <c r="M340" s="9">
        <f>Mecanismos!B7*D340</f>
        <v/>
      </c>
      <c r="N340" s="9">
        <f>Mecanismos!B4*(1-E340)</f>
        <v/>
      </c>
      <c r="O340" s="9">
        <f>Mecanismos!B5*(1-F340)</f>
        <v/>
      </c>
      <c r="P340" s="9">
        <f>Mecanismos!B6*(1-I340)</f>
        <v/>
      </c>
      <c r="Q340" s="9">
        <f>Mecanismos!B9*(1-G340)</f>
        <v/>
      </c>
      <c r="R340" s="9">
        <f>Mecanismos!B9*(1-J340)</f>
        <v/>
      </c>
      <c r="S340" s="9">
        <f>Mecanismos!B8*H340</f>
        <v/>
      </c>
      <c r="T340" s="9">
        <f>Mecanismos!B10*H340</f>
        <v/>
      </c>
      <c r="U340" s="9">
        <f>Mecanismos!B8*K340</f>
        <v/>
      </c>
      <c r="V340" s="9">
        <f>Mecanismos!B3*D340</f>
        <v/>
      </c>
      <c r="W340" s="9">
        <f>Parametros!B2+Parametros!B4*(S340+T340+U340+V340)-Parametros!B3*(L340+M340+N340+O340+P340+Q340+R340)</f>
        <v/>
      </c>
      <c r="X340" s="10">
        <f>1/(1+EXP(-W340))</f>
        <v/>
      </c>
      <c r="Y340" s="11">
        <f>IF(Parametros!B6=1,0.15+0.85*(1/(1+EXP(-8*((1-N340)-0.45)))),1)</f>
        <v/>
      </c>
      <c r="Z340" s="11">
        <f>IF(Parametros!B7=1,MAX(0.05,1-L340^1.6),1)</f>
        <v/>
      </c>
      <c r="AA340" s="11">
        <f>IF(Parametros!B8=1,0.2+0.8*(1/(1+EXP(-9*(S340-0.25)))),1)</f>
        <v/>
      </c>
      <c r="AB340" s="10">
        <f>X340*Y340*Z340*AA340</f>
        <v/>
      </c>
    </row>
    <row r="341">
      <c r="A341" t="inlineStr">
        <is>
          <t>jity40</t>
        </is>
      </c>
      <c r="B341" t="inlineStr">
        <is>
          <t>Maria Helena da Cunha</t>
        </is>
      </c>
      <c r="C341" s="8" t="n">
        <v>0.6528</v>
      </c>
      <c r="D341" s="8" t="n">
        <v>0.6516999999999999</v>
      </c>
      <c r="E341" s="8" t="n">
        <v>0.7826</v>
      </c>
      <c r="F341" s="8" t="n">
        <v>0.4532</v>
      </c>
      <c r="G341" s="8" t="n">
        <v>0.5343</v>
      </c>
      <c r="H341" s="8" t="n">
        <v>0.7468</v>
      </c>
      <c r="I341" s="8" t="n">
        <v>0.2994</v>
      </c>
      <c r="J341" s="8" t="n">
        <v>0.9032</v>
      </c>
      <c r="K341" s="8" t="n">
        <v>0.7282</v>
      </c>
      <c r="L341" s="9">
        <f>1-(1-Mecanismos!B2)*(1-C341)</f>
        <v/>
      </c>
      <c r="M341" s="9">
        <f>Mecanismos!B7*D341</f>
        <v/>
      </c>
      <c r="N341" s="9">
        <f>Mecanismos!B4*(1-E341)</f>
        <v/>
      </c>
      <c r="O341" s="9">
        <f>Mecanismos!B5*(1-F341)</f>
        <v/>
      </c>
      <c r="P341" s="9">
        <f>Mecanismos!B6*(1-I341)</f>
        <v/>
      </c>
      <c r="Q341" s="9">
        <f>Mecanismos!B9*(1-G341)</f>
        <v/>
      </c>
      <c r="R341" s="9">
        <f>Mecanismos!B9*(1-J341)</f>
        <v/>
      </c>
      <c r="S341" s="9">
        <f>Mecanismos!B8*H341</f>
        <v/>
      </c>
      <c r="T341" s="9">
        <f>Mecanismos!B10*H341</f>
        <v/>
      </c>
      <c r="U341" s="9">
        <f>Mecanismos!B8*K341</f>
        <v/>
      </c>
      <c r="V341" s="9">
        <f>Mecanismos!B3*D341</f>
        <v/>
      </c>
      <c r="W341" s="9">
        <f>Parametros!B2+Parametros!B4*(S341+T341+U341+V341)-Parametros!B3*(L341+M341+N341+O341+P341+Q341+R341)</f>
        <v/>
      </c>
      <c r="X341" s="10">
        <f>1/(1+EXP(-W341))</f>
        <v/>
      </c>
      <c r="Y341" s="11">
        <f>IF(Parametros!B6=1,0.15+0.85*(1/(1+EXP(-8*((1-N341)-0.45)))),1)</f>
        <v/>
      </c>
      <c r="Z341" s="11">
        <f>IF(Parametros!B7=1,MAX(0.05,1-L341^1.6),1)</f>
        <v/>
      </c>
      <c r="AA341" s="11">
        <f>IF(Parametros!B8=1,0.2+0.8*(1/(1+EXP(-9*(S341-0.25)))),1)</f>
        <v/>
      </c>
      <c r="AB341" s="10">
        <f>X341*Y341*Z341*AA341</f>
        <v/>
      </c>
    </row>
    <row r="342">
      <c r="A342" t="inlineStr">
        <is>
          <t>4slhpa</t>
        </is>
      </c>
      <c r="B342" t="inlineStr">
        <is>
          <t>Maria Isis Mendes</t>
        </is>
      </c>
      <c r="C342" s="8" t="n">
        <v>0.7366</v>
      </c>
      <c r="D342" s="8" t="n">
        <v>0.3366</v>
      </c>
      <c r="E342" s="8" t="n">
        <v>0.5714</v>
      </c>
      <c r="F342" s="8" t="n">
        <v>0.4335</v>
      </c>
      <c r="G342" s="8" t="n">
        <v>0.4212</v>
      </c>
      <c r="H342" s="8" t="n">
        <v>0.7337</v>
      </c>
      <c r="I342" s="8" t="n">
        <v>0.4474</v>
      </c>
      <c r="J342" s="8" t="n">
        <v>0.8413</v>
      </c>
      <c r="K342" s="8" t="n">
        <v>0.3465</v>
      </c>
      <c r="L342" s="9">
        <f>1-(1-Mecanismos!B2)*(1-C342)</f>
        <v/>
      </c>
      <c r="M342" s="9">
        <f>Mecanismos!B7*D342</f>
        <v/>
      </c>
      <c r="N342" s="9">
        <f>Mecanismos!B4*(1-E342)</f>
        <v/>
      </c>
      <c r="O342" s="9">
        <f>Mecanismos!B5*(1-F342)</f>
        <v/>
      </c>
      <c r="P342" s="9">
        <f>Mecanismos!B6*(1-I342)</f>
        <v/>
      </c>
      <c r="Q342" s="9">
        <f>Mecanismos!B9*(1-G342)</f>
        <v/>
      </c>
      <c r="R342" s="9">
        <f>Mecanismos!B9*(1-J342)</f>
        <v/>
      </c>
      <c r="S342" s="9">
        <f>Mecanismos!B8*H342</f>
        <v/>
      </c>
      <c r="T342" s="9">
        <f>Mecanismos!B10*H342</f>
        <v/>
      </c>
      <c r="U342" s="9">
        <f>Mecanismos!B8*K342</f>
        <v/>
      </c>
      <c r="V342" s="9">
        <f>Mecanismos!B3*D342</f>
        <v/>
      </c>
      <c r="W342" s="9">
        <f>Parametros!B2+Parametros!B4*(S342+T342+U342+V342)-Parametros!B3*(L342+M342+N342+O342+P342+Q342+R342)</f>
        <v/>
      </c>
      <c r="X342" s="10">
        <f>1/(1+EXP(-W342))</f>
        <v/>
      </c>
      <c r="Y342" s="11">
        <f>IF(Parametros!B6=1,0.15+0.85*(1/(1+EXP(-8*((1-N342)-0.45)))),1)</f>
        <v/>
      </c>
      <c r="Z342" s="11">
        <f>IF(Parametros!B7=1,MAX(0.05,1-L342^1.6),1)</f>
        <v/>
      </c>
      <c r="AA342" s="11">
        <f>IF(Parametros!B8=1,0.2+0.8*(1/(1+EXP(-9*(S342-0.25)))),1)</f>
        <v/>
      </c>
      <c r="AB342" s="10">
        <f>X342*Y342*Z342*AA342</f>
        <v/>
      </c>
    </row>
    <row r="343">
      <c r="A343" t="inlineStr">
        <is>
          <t>nsfohi</t>
        </is>
      </c>
      <c r="B343" t="inlineStr">
        <is>
          <t>Maria Isis Nogueira</t>
        </is>
      </c>
      <c r="C343" s="8" t="n">
        <v>0.6744</v>
      </c>
      <c r="D343" s="8" t="n">
        <v>0.495</v>
      </c>
      <c r="E343" s="8" t="n">
        <v>0.2534</v>
      </c>
      <c r="F343" s="8" t="n">
        <v>0.3574</v>
      </c>
      <c r="G343" s="8" t="n">
        <v>0.4629</v>
      </c>
      <c r="H343" s="8" t="n">
        <v>0.6381</v>
      </c>
      <c r="I343" s="8" t="n">
        <v>0.1702</v>
      </c>
      <c r="J343" s="8" t="n">
        <v>0.8151</v>
      </c>
      <c r="K343" s="8" t="n">
        <v>0.4709</v>
      </c>
      <c r="L343" s="9">
        <f>1-(1-Mecanismos!B2)*(1-C343)</f>
        <v/>
      </c>
      <c r="M343" s="9">
        <f>Mecanismos!B7*D343</f>
        <v/>
      </c>
      <c r="N343" s="9">
        <f>Mecanismos!B4*(1-E343)</f>
        <v/>
      </c>
      <c r="O343" s="9">
        <f>Mecanismos!B5*(1-F343)</f>
        <v/>
      </c>
      <c r="P343" s="9">
        <f>Mecanismos!B6*(1-I343)</f>
        <v/>
      </c>
      <c r="Q343" s="9">
        <f>Mecanismos!B9*(1-G343)</f>
        <v/>
      </c>
      <c r="R343" s="9">
        <f>Mecanismos!B9*(1-J343)</f>
        <v/>
      </c>
      <c r="S343" s="9">
        <f>Mecanismos!B8*H343</f>
        <v/>
      </c>
      <c r="T343" s="9">
        <f>Mecanismos!B10*H343</f>
        <v/>
      </c>
      <c r="U343" s="9">
        <f>Mecanismos!B8*K343</f>
        <v/>
      </c>
      <c r="V343" s="9">
        <f>Mecanismos!B3*D343</f>
        <v/>
      </c>
      <c r="W343" s="9">
        <f>Parametros!B2+Parametros!B4*(S343+T343+U343+V343)-Parametros!B3*(L343+M343+N343+O343+P343+Q343+R343)</f>
        <v/>
      </c>
      <c r="X343" s="10">
        <f>1/(1+EXP(-W343))</f>
        <v/>
      </c>
      <c r="Y343" s="11">
        <f>IF(Parametros!B6=1,0.15+0.85*(1/(1+EXP(-8*((1-N343)-0.45)))),1)</f>
        <v/>
      </c>
      <c r="Z343" s="11">
        <f>IF(Parametros!B7=1,MAX(0.05,1-L343^1.6),1)</f>
        <v/>
      </c>
      <c r="AA343" s="11">
        <f>IF(Parametros!B8=1,0.2+0.8*(1/(1+EXP(-9*(S343-0.25)))),1)</f>
        <v/>
      </c>
      <c r="AB343" s="10">
        <f>X343*Y343*Z343*AA343</f>
        <v/>
      </c>
    </row>
    <row r="344">
      <c r="A344" t="inlineStr">
        <is>
          <t>pdo7tc</t>
        </is>
      </c>
      <c r="B344" t="inlineStr">
        <is>
          <t>Maria Isis da Conceição</t>
        </is>
      </c>
      <c r="C344" s="8" t="n">
        <v>0.7205</v>
      </c>
      <c r="D344" s="8" t="n">
        <v>0.6347</v>
      </c>
      <c r="E344" s="8" t="n">
        <v>0.5122</v>
      </c>
      <c r="F344" s="8" t="n">
        <v>0.8747</v>
      </c>
      <c r="G344" s="8" t="n">
        <v>0.4745</v>
      </c>
      <c r="H344" s="8" t="n">
        <v>0.5817</v>
      </c>
      <c r="I344" s="8" t="n">
        <v>0.4843</v>
      </c>
      <c r="J344" s="8" t="n">
        <v>0.8991</v>
      </c>
      <c r="K344" s="8" t="n">
        <v>0.6177</v>
      </c>
      <c r="L344" s="9">
        <f>1-(1-Mecanismos!B2)*(1-C344)</f>
        <v/>
      </c>
      <c r="M344" s="9">
        <f>Mecanismos!B7*D344</f>
        <v/>
      </c>
      <c r="N344" s="9">
        <f>Mecanismos!B4*(1-E344)</f>
        <v/>
      </c>
      <c r="O344" s="9">
        <f>Mecanismos!B5*(1-F344)</f>
        <v/>
      </c>
      <c r="P344" s="9">
        <f>Mecanismos!B6*(1-I344)</f>
        <v/>
      </c>
      <c r="Q344" s="9">
        <f>Mecanismos!B9*(1-G344)</f>
        <v/>
      </c>
      <c r="R344" s="9">
        <f>Mecanismos!B9*(1-J344)</f>
        <v/>
      </c>
      <c r="S344" s="9">
        <f>Mecanismos!B8*H344</f>
        <v/>
      </c>
      <c r="T344" s="9">
        <f>Mecanismos!B10*H344</f>
        <v/>
      </c>
      <c r="U344" s="9">
        <f>Mecanismos!B8*K344</f>
        <v/>
      </c>
      <c r="V344" s="9">
        <f>Mecanismos!B3*D344</f>
        <v/>
      </c>
      <c r="W344" s="9">
        <f>Parametros!B2+Parametros!B4*(S344+T344+U344+V344)-Parametros!B3*(L344+M344+N344+O344+P344+Q344+R344)</f>
        <v/>
      </c>
      <c r="X344" s="10">
        <f>1/(1+EXP(-W344))</f>
        <v/>
      </c>
      <c r="Y344" s="11">
        <f>IF(Parametros!B6=1,0.15+0.85*(1/(1+EXP(-8*((1-N344)-0.45)))),1)</f>
        <v/>
      </c>
      <c r="Z344" s="11">
        <f>IF(Parametros!B7=1,MAX(0.05,1-L344^1.6),1)</f>
        <v/>
      </c>
      <c r="AA344" s="11">
        <f>IF(Parametros!B8=1,0.2+0.8*(1/(1+EXP(-9*(S344-0.25)))),1)</f>
        <v/>
      </c>
      <c r="AB344" s="10">
        <f>X344*Y344*Z344*AA344</f>
        <v/>
      </c>
    </row>
    <row r="345">
      <c r="A345" t="inlineStr">
        <is>
          <t>jcj00n</t>
        </is>
      </c>
      <c r="B345" t="inlineStr">
        <is>
          <t>Maria Júlia Monteiro</t>
        </is>
      </c>
      <c r="C345" s="8" t="n">
        <v>0.6129</v>
      </c>
      <c r="D345" s="8" t="n">
        <v>0.2883</v>
      </c>
      <c r="E345" s="8" t="n">
        <v>0.4841</v>
      </c>
      <c r="F345" s="8" t="n">
        <v>0.49</v>
      </c>
      <c r="G345" s="8" t="n">
        <v>0.5543</v>
      </c>
      <c r="H345" s="8" t="n">
        <v>0.6361</v>
      </c>
      <c r="I345" s="8" t="n">
        <v>0.5456</v>
      </c>
      <c r="J345" s="8" t="n">
        <v>0.5593</v>
      </c>
      <c r="K345" s="8" t="n">
        <v>0.4655</v>
      </c>
      <c r="L345" s="9">
        <f>1-(1-Mecanismos!B2)*(1-C345)</f>
        <v/>
      </c>
      <c r="M345" s="9">
        <f>Mecanismos!B7*D345</f>
        <v/>
      </c>
      <c r="N345" s="9">
        <f>Mecanismos!B4*(1-E345)</f>
        <v/>
      </c>
      <c r="O345" s="9">
        <f>Mecanismos!B5*(1-F345)</f>
        <v/>
      </c>
      <c r="P345" s="9">
        <f>Mecanismos!B6*(1-I345)</f>
        <v/>
      </c>
      <c r="Q345" s="9">
        <f>Mecanismos!B9*(1-G345)</f>
        <v/>
      </c>
      <c r="R345" s="9">
        <f>Mecanismos!B9*(1-J345)</f>
        <v/>
      </c>
      <c r="S345" s="9">
        <f>Mecanismos!B8*H345</f>
        <v/>
      </c>
      <c r="T345" s="9">
        <f>Mecanismos!B10*H345</f>
        <v/>
      </c>
      <c r="U345" s="9">
        <f>Mecanismos!B8*K345</f>
        <v/>
      </c>
      <c r="V345" s="9">
        <f>Mecanismos!B3*D345</f>
        <v/>
      </c>
      <c r="W345" s="9">
        <f>Parametros!B2+Parametros!B4*(S345+T345+U345+V345)-Parametros!B3*(L345+M345+N345+O345+P345+Q345+R345)</f>
        <v/>
      </c>
      <c r="X345" s="10">
        <f>1/(1+EXP(-W345))</f>
        <v/>
      </c>
      <c r="Y345" s="11">
        <f>IF(Parametros!B6=1,0.15+0.85*(1/(1+EXP(-8*((1-N345)-0.45)))),1)</f>
        <v/>
      </c>
      <c r="Z345" s="11">
        <f>IF(Parametros!B7=1,MAX(0.05,1-L345^1.6),1)</f>
        <v/>
      </c>
      <c r="AA345" s="11">
        <f>IF(Parametros!B8=1,0.2+0.8*(1/(1+EXP(-9*(S345-0.25)))),1)</f>
        <v/>
      </c>
      <c r="AB345" s="10">
        <f>X345*Y345*Z345*AA345</f>
        <v/>
      </c>
    </row>
    <row r="346">
      <c r="A346" t="inlineStr">
        <is>
          <t>1azilz</t>
        </is>
      </c>
      <c r="B346" t="inlineStr">
        <is>
          <t>Maria Laura Barbosa</t>
        </is>
      </c>
      <c r="C346" s="8" t="n">
        <v>0.6199</v>
      </c>
      <c r="D346" s="8" t="n">
        <v>0.3885</v>
      </c>
      <c r="E346" s="8" t="n">
        <v>0.5537</v>
      </c>
      <c r="F346" s="8" t="n">
        <v>0.1855</v>
      </c>
      <c r="G346" s="8" t="n">
        <v>0.3193</v>
      </c>
      <c r="H346" s="8" t="n">
        <v>0.4255</v>
      </c>
      <c r="I346" s="8" t="n">
        <v>0.1683</v>
      </c>
      <c r="J346" s="8" t="n">
        <v>0.4216</v>
      </c>
      <c r="K346" s="8" t="n">
        <v>0.2804</v>
      </c>
      <c r="L346" s="9">
        <f>1-(1-Mecanismos!B2)*(1-C346)</f>
        <v/>
      </c>
      <c r="M346" s="9">
        <f>Mecanismos!B7*D346</f>
        <v/>
      </c>
      <c r="N346" s="9">
        <f>Mecanismos!B4*(1-E346)</f>
        <v/>
      </c>
      <c r="O346" s="9">
        <f>Mecanismos!B5*(1-F346)</f>
        <v/>
      </c>
      <c r="P346" s="9">
        <f>Mecanismos!B6*(1-I346)</f>
        <v/>
      </c>
      <c r="Q346" s="9">
        <f>Mecanismos!B9*(1-G346)</f>
        <v/>
      </c>
      <c r="R346" s="9">
        <f>Mecanismos!B9*(1-J346)</f>
        <v/>
      </c>
      <c r="S346" s="9">
        <f>Mecanismos!B8*H346</f>
        <v/>
      </c>
      <c r="T346" s="9">
        <f>Mecanismos!B10*H346</f>
        <v/>
      </c>
      <c r="U346" s="9">
        <f>Mecanismos!B8*K346</f>
        <v/>
      </c>
      <c r="V346" s="9">
        <f>Mecanismos!B3*D346</f>
        <v/>
      </c>
      <c r="W346" s="9">
        <f>Parametros!B2+Parametros!B4*(S346+T346+U346+V346)-Parametros!B3*(L346+M346+N346+O346+P346+Q346+R346)</f>
        <v/>
      </c>
      <c r="X346" s="10">
        <f>1/(1+EXP(-W346))</f>
        <v/>
      </c>
      <c r="Y346" s="11">
        <f>IF(Parametros!B6=1,0.15+0.85*(1/(1+EXP(-8*((1-N346)-0.45)))),1)</f>
        <v/>
      </c>
      <c r="Z346" s="11">
        <f>IF(Parametros!B7=1,MAX(0.05,1-L346^1.6),1)</f>
        <v/>
      </c>
      <c r="AA346" s="11">
        <f>IF(Parametros!B8=1,0.2+0.8*(1/(1+EXP(-9*(S346-0.25)))),1)</f>
        <v/>
      </c>
      <c r="AB346" s="10">
        <f>X346*Y346*Z346*AA346</f>
        <v/>
      </c>
    </row>
    <row r="347">
      <c r="A347" t="inlineStr">
        <is>
          <t>z15q3g</t>
        </is>
      </c>
      <c r="B347" t="inlineStr">
        <is>
          <t>Maria Laura Cassiano</t>
        </is>
      </c>
      <c r="C347" s="8" t="n">
        <v>0.5182</v>
      </c>
      <c r="D347" s="8" t="n">
        <v>0.5528999999999999</v>
      </c>
      <c r="E347" s="8" t="n">
        <v>0.5566</v>
      </c>
      <c r="F347" s="8" t="n">
        <v>0.5382</v>
      </c>
      <c r="G347" s="8" t="n">
        <v>0.53</v>
      </c>
      <c r="H347" s="8" t="n">
        <v>0.6236</v>
      </c>
      <c r="I347" s="8" t="n">
        <v>0.2124</v>
      </c>
      <c r="J347" s="8" t="n">
        <v>0.8811</v>
      </c>
      <c r="K347" s="8" t="n">
        <v>0.4087</v>
      </c>
      <c r="L347" s="9">
        <f>1-(1-Mecanismos!B2)*(1-C347)</f>
        <v/>
      </c>
      <c r="M347" s="9">
        <f>Mecanismos!B7*D347</f>
        <v/>
      </c>
      <c r="N347" s="9">
        <f>Mecanismos!B4*(1-E347)</f>
        <v/>
      </c>
      <c r="O347" s="9">
        <f>Mecanismos!B5*(1-F347)</f>
        <v/>
      </c>
      <c r="P347" s="9">
        <f>Mecanismos!B6*(1-I347)</f>
        <v/>
      </c>
      <c r="Q347" s="9">
        <f>Mecanismos!B9*(1-G347)</f>
        <v/>
      </c>
      <c r="R347" s="9">
        <f>Mecanismos!B9*(1-J347)</f>
        <v/>
      </c>
      <c r="S347" s="9">
        <f>Mecanismos!B8*H347</f>
        <v/>
      </c>
      <c r="T347" s="9">
        <f>Mecanismos!B10*H347</f>
        <v/>
      </c>
      <c r="U347" s="9">
        <f>Mecanismos!B8*K347</f>
        <v/>
      </c>
      <c r="V347" s="9">
        <f>Mecanismos!B3*D347</f>
        <v/>
      </c>
      <c r="W347" s="9">
        <f>Parametros!B2+Parametros!B4*(S347+T347+U347+V347)-Parametros!B3*(L347+M347+N347+O347+P347+Q347+R347)</f>
        <v/>
      </c>
      <c r="X347" s="10">
        <f>1/(1+EXP(-W347))</f>
        <v/>
      </c>
      <c r="Y347" s="11">
        <f>IF(Parametros!B6=1,0.15+0.85*(1/(1+EXP(-8*((1-N347)-0.45)))),1)</f>
        <v/>
      </c>
      <c r="Z347" s="11">
        <f>IF(Parametros!B7=1,MAX(0.05,1-L347^1.6),1)</f>
        <v/>
      </c>
      <c r="AA347" s="11">
        <f>IF(Parametros!B8=1,0.2+0.8*(1/(1+EXP(-9*(S347-0.25)))),1)</f>
        <v/>
      </c>
      <c r="AB347" s="10">
        <f>X347*Y347*Z347*AA347</f>
        <v/>
      </c>
    </row>
    <row r="348">
      <c r="A348" t="inlineStr">
        <is>
          <t>6jmaf1</t>
        </is>
      </c>
      <c r="B348" t="inlineStr">
        <is>
          <t>Maria Laura Fogaça</t>
        </is>
      </c>
      <c r="C348" s="8" t="n">
        <v>0.7946</v>
      </c>
      <c r="D348" s="8" t="n">
        <v>0.5856</v>
      </c>
      <c r="E348" s="8" t="n">
        <v>0.5381</v>
      </c>
      <c r="F348" s="8" t="n">
        <v>0.3803</v>
      </c>
      <c r="G348" s="8" t="n">
        <v>0.5465</v>
      </c>
      <c r="H348" s="8" t="n">
        <v>0.4635</v>
      </c>
      <c r="I348" s="8" t="n">
        <v>0.3524</v>
      </c>
      <c r="J348" s="8" t="n">
        <v>0.9085</v>
      </c>
      <c r="K348" s="8" t="n">
        <v>0.5971</v>
      </c>
      <c r="L348" s="9">
        <f>1-(1-Mecanismos!B2)*(1-C348)</f>
        <v/>
      </c>
      <c r="M348" s="9">
        <f>Mecanismos!B7*D348</f>
        <v/>
      </c>
      <c r="N348" s="9">
        <f>Mecanismos!B4*(1-E348)</f>
        <v/>
      </c>
      <c r="O348" s="9">
        <f>Mecanismos!B5*(1-F348)</f>
        <v/>
      </c>
      <c r="P348" s="9">
        <f>Mecanismos!B6*(1-I348)</f>
        <v/>
      </c>
      <c r="Q348" s="9">
        <f>Mecanismos!B9*(1-G348)</f>
        <v/>
      </c>
      <c r="R348" s="9">
        <f>Mecanismos!B9*(1-J348)</f>
        <v/>
      </c>
      <c r="S348" s="9">
        <f>Mecanismos!B8*H348</f>
        <v/>
      </c>
      <c r="T348" s="9">
        <f>Mecanismos!B10*H348</f>
        <v/>
      </c>
      <c r="U348" s="9">
        <f>Mecanismos!B8*K348</f>
        <v/>
      </c>
      <c r="V348" s="9">
        <f>Mecanismos!B3*D348</f>
        <v/>
      </c>
      <c r="W348" s="9">
        <f>Parametros!B2+Parametros!B4*(S348+T348+U348+V348)-Parametros!B3*(L348+M348+N348+O348+P348+Q348+R348)</f>
        <v/>
      </c>
      <c r="X348" s="10">
        <f>1/(1+EXP(-W348))</f>
        <v/>
      </c>
      <c r="Y348" s="11">
        <f>IF(Parametros!B6=1,0.15+0.85*(1/(1+EXP(-8*((1-N348)-0.45)))),1)</f>
        <v/>
      </c>
      <c r="Z348" s="11">
        <f>IF(Parametros!B7=1,MAX(0.05,1-L348^1.6),1)</f>
        <v/>
      </c>
      <c r="AA348" s="11">
        <f>IF(Parametros!B8=1,0.2+0.8*(1/(1+EXP(-9*(S348-0.25)))),1)</f>
        <v/>
      </c>
      <c r="AB348" s="10">
        <f>X348*Y348*Z348*AA348</f>
        <v/>
      </c>
    </row>
    <row r="349">
      <c r="A349" t="inlineStr">
        <is>
          <t>0h7q89</t>
        </is>
      </c>
      <c r="B349" t="inlineStr">
        <is>
          <t>Maria Luiza Casa Grande</t>
        </is>
      </c>
      <c r="C349" s="8" t="n">
        <v>0.5503</v>
      </c>
      <c r="D349" s="8" t="n">
        <v>0.6372</v>
      </c>
      <c r="E349" s="8" t="n">
        <v>0.2845</v>
      </c>
      <c r="F349" s="8" t="n">
        <v>0.4996</v>
      </c>
      <c r="G349" s="8" t="n">
        <v>0.4567</v>
      </c>
      <c r="H349" s="8" t="n">
        <v>0.654</v>
      </c>
      <c r="I349" s="8" t="n">
        <v>0.6343</v>
      </c>
      <c r="J349" s="8" t="n">
        <v>0.8575</v>
      </c>
      <c r="K349" s="8" t="n">
        <v>0.5106000000000001</v>
      </c>
      <c r="L349" s="9">
        <f>1-(1-Mecanismos!B2)*(1-C349)</f>
        <v/>
      </c>
      <c r="M349" s="9">
        <f>Mecanismos!B7*D349</f>
        <v/>
      </c>
      <c r="N349" s="9">
        <f>Mecanismos!B4*(1-E349)</f>
        <v/>
      </c>
      <c r="O349" s="9">
        <f>Mecanismos!B5*(1-F349)</f>
        <v/>
      </c>
      <c r="P349" s="9">
        <f>Mecanismos!B6*(1-I349)</f>
        <v/>
      </c>
      <c r="Q349" s="9">
        <f>Mecanismos!B9*(1-G349)</f>
        <v/>
      </c>
      <c r="R349" s="9">
        <f>Mecanismos!B9*(1-J349)</f>
        <v/>
      </c>
      <c r="S349" s="9">
        <f>Mecanismos!B8*H349</f>
        <v/>
      </c>
      <c r="T349" s="9">
        <f>Mecanismos!B10*H349</f>
        <v/>
      </c>
      <c r="U349" s="9">
        <f>Mecanismos!B8*K349</f>
        <v/>
      </c>
      <c r="V349" s="9">
        <f>Mecanismos!B3*D349</f>
        <v/>
      </c>
      <c r="W349" s="9">
        <f>Parametros!B2+Parametros!B4*(S349+T349+U349+V349)-Parametros!B3*(L349+M349+N349+O349+P349+Q349+R349)</f>
        <v/>
      </c>
      <c r="X349" s="10">
        <f>1/(1+EXP(-W349))</f>
        <v/>
      </c>
      <c r="Y349" s="11">
        <f>IF(Parametros!B6=1,0.15+0.85*(1/(1+EXP(-8*((1-N349)-0.45)))),1)</f>
        <v/>
      </c>
      <c r="Z349" s="11">
        <f>IF(Parametros!B7=1,MAX(0.05,1-L349^1.6),1)</f>
        <v/>
      </c>
      <c r="AA349" s="11">
        <f>IF(Parametros!B8=1,0.2+0.8*(1/(1+EXP(-9*(S349-0.25)))),1)</f>
        <v/>
      </c>
      <c r="AB349" s="10">
        <f>X349*Y349*Z349*AA349</f>
        <v/>
      </c>
    </row>
    <row r="350">
      <c r="A350" t="inlineStr">
        <is>
          <t>d9wqoe</t>
        </is>
      </c>
      <c r="B350" t="inlineStr">
        <is>
          <t>Maria Luiza Dias</t>
        </is>
      </c>
      <c r="C350" s="8" t="n">
        <v>0.7956</v>
      </c>
      <c r="D350" s="8" t="n">
        <v>0.3328</v>
      </c>
      <c r="E350" s="8" t="n">
        <v>0.4029</v>
      </c>
      <c r="F350" s="8" t="n">
        <v>0.3981</v>
      </c>
      <c r="G350" s="8" t="n">
        <v>0.2571</v>
      </c>
      <c r="H350" s="8" t="n">
        <v>0.4929</v>
      </c>
      <c r="I350" s="8" t="n">
        <v>0.5739</v>
      </c>
      <c r="J350" s="8" t="n">
        <v>0.325</v>
      </c>
      <c r="K350" s="8" t="n">
        <v>0.5645</v>
      </c>
      <c r="L350" s="9">
        <f>1-(1-Mecanismos!B2)*(1-C350)</f>
        <v/>
      </c>
      <c r="M350" s="9">
        <f>Mecanismos!B7*D350</f>
        <v/>
      </c>
      <c r="N350" s="9">
        <f>Mecanismos!B4*(1-E350)</f>
        <v/>
      </c>
      <c r="O350" s="9">
        <f>Mecanismos!B5*(1-F350)</f>
        <v/>
      </c>
      <c r="P350" s="9">
        <f>Mecanismos!B6*(1-I350)</f>
        <v/>
      </c>
      <c r="Q350" s="9">
        <f>Mecanismos!B9*(1-G350)</f>
        <v/>
      </c>
      <c r="R350" s="9">
        <f>Mecanismos!B9*(1-J350)</f>
        <v/>
      </c>
      <c r="S350" s="9">
        <f>Mecanismos!B8*H350</f>
        <v/>
      </c>
      <c r="T350" s="9">
        <f>Mecanismos!B10*H350</f>
        <v/>
      </c>
      <c r="U350" s="9">
        <f>Mecanismos!B8*K350</f>
        <v/>
      </c>
      <c r="V350" s="9">
        <f>Mecanismos!B3*D350</f>
        <v/>
      </c>
      <c r="W350" s="9">
        <f>Parametros!B2+Parametros!B4*(S350+T350+U350+V350)-Parametros!B3*(L350+M350+N350+O350+P350+Q350+R350)</f>
        <v/>
      </c>
      <c r="X350" s="10">
        <f>1/(1+EXP(-W350))</f>
        <v/>
      </c>
      <c r="Y350" s="11">
        <f>IF(Parametros!B6=1,0.15+0.85*(1/(1+EXP(-8*((1-N350)-0.45)))),1)</f>
        <v/>
      </c>
      <c r="Z350" s="11">
        <f>IF(Parametros!B7=1,MAX(0.05,1-L350^1.6),1)</f>
        <v/>
      </c>
      <c r="AA350" s="11">
        <f>IF(Parametros!B8=1,0.2+0.8*(1/(1+EXP(-9*(S350-0.25)))),1)</f>
        <v/>
      </c>
      <c r="AB350" s="10">
        <f>X350*Y350*Z350*AA350</f>
        <v/>
      </c>
    </row>
    <row r="351">
      <c r="A351" t="inlineStr">
        <is>
          <t>rd1bf9</t>
        </is>
      </c>
      <c r="B351" t="inlineStr">
        <is>
          <t>Maria Luiza Guerra</t>
        </is>
      </c>
      <c r="C351" s="8" t="n">
        <v>0.5714</v>
      </c>
      <c r="D351" s="8" t="n">
        <v>0.3071</v>
      </c>
      <c r="E351" s="8" t="n">
        <v>0.2695</v>
      </c>
      <c r="F351" s="8" t="n">
        <v>0.618</v>
      </c>
      <c r="G351" s="8" t="n">
        <v>0.3031</v>
      </c>
      <c r="H351" s="8" t="n">
        <v>0.5883</v>
      </c>
      <c r="I351" s="8" t="n">
        <v>0.3237</v>
      </c>
      <c r="J351" s="8" t="n">
        <v>0.9123</v>
      </c>
      <c r="K351" s="8" t="n">
        <v>0.4021</v>
      </c>
      <c r="L351" s="9">
        <f>1-(1-Mecanismos!B2)*(1-C351)</f>
        <v/>
      </c>
      <c r="M351" s="9">
        <f>Mecanismos!B7*D351</f>
        <v/>
      </c>
      <c r="N351" s="9">
        <f>Mecanismos!B4*(1-E351)</f>
        <v/>
      </c>
      <c r="O351" s="9">
        <f>Mecanismos!B5*(1-F351)</f>
        <v/>
      </c>
      <c r="P351" s="9">
        <f>Mecanismos!B6*(1-I351)</f>
        <v/>
      </c>
      <c r="Q351" s="9">
        <f>Mecanismos!B9*(1-G351)</f>
        <v/>
      </c>
      <c r="R351" s="9">
        <f>Mecanismos!B9*(1-J351)</f>
        <v/>
      </c>
      <c r="S351" s="9">
        <f>Mecanismos!B8*H351</f>
        <v/>
      </c>
      <c r="T351" s="9">
        <f>Mecanismos!B10*H351</f>
        <v/>
      </c>
      <c r="U351" s="9">
        <f>Mecanismos!B8*K351</f>
        <v/>
      </c>
      <c r="V351" s="9">
        <f>Mecanismos!B3*D351</f>
        <v/>
      </c>
      <c r="W351" s="9">
        <f>Parametros!B2+Parametros!B4*(S351+T351+U351+V351)-Parametros!B3*(L351+M351+N351+O351+P351+Q351+R351)</f>
        <v/>
      </c>
      <c r="X351" s="10">
        <f>1/(1+EXP(-W351))</f>
        <v/>
      </c>
      <c r="Y351" s="11">
        <f>IF(Parametros!B6=1,0.15+0.85*(1/(1+EXP(-8*((1-N351)-0.45)))),1)</f>
        <v/>
      </c>
      <c r="Z351" s="11">
        <f>IF(Parametros!B7=1,MAX(0.05,1-L351^1.6),1)</f>
        <v/>
      </c>
      <c r="AA351" s="11">
        <f>IF(Parametros!B8=1,0.2+0.8*(1/(1+EXP(-9*(S351-0.25)))),1)</f>
        <v/>
      </c>
      <c r="AB351" s="10">
        <f>X351*Y351*Z351*AA351</f>
        <v/>
      </c>
    </row>
    <row r="352">
      <c r="A352" t="inlineStr">
        <is>
          <t>bdfy75</t>
        </is>
      </c>
      <c r="B352" t="inlineStr">
        <is>
          <t>Maria Luiza Lima</t>
        </is>
      </c>
      <c r="C352" s="8" t="n">
        <v>0.5750999999999999</v>
      </c>
      <c r="D352" s="8" t="n">
        <v>0.5082</v>
      </c>
      <c r="E352" s="8" t="n">
        <v>0.5659</v>
      </c>
      <c r="F352" s="8" t="n">
        <v>0.76</v>
      </c>
      <c r="G352" s="8" t="n">
        <v>0.5432</v>
      </c>
      <c r="H352" s="8" t="n">
        <v>0.7763</v>
      </c>
      <c r="I352" s="8" t="n">
        <v>0.5567</v>
      </c>
      <c r="J352" s="8" t="n">
        <v>0.9689</v>
      </c>
      <c r="K352" s="8" t="n">
        <v>0.4488</v>
      </c>
      <c r="L352" s="9">
        <f>1-(1-Mecanismos!B2)*(1-C352)</f>
        <v/>
      </c>
      <c r="M352" s="9">
        <f>Mecanismos!B7*D352</f>
        <v/>
      </c>
      <c r="N352" s="9">
        <f>Mecanismos!B4*(1-E352)</f>
        <v/>
      </c>
      <c r="O352" s="9">
        <f>Mecanismos!B5*(1-F352)</f>
        <v/>
      </c>
      <c r="P352" s="9">
        <f>Mecanismos!B6*(1-I352)</f>
        <v/>
      </c>
      <c r="Q352" s="9">
        <f>Mecanismos!B9*(1-G352)</f>
        <v/>
      </c>
      <c r="R352" s="9">
        <f>Mecanismos!B9*(1-J352)</f>
        <v/>
      </c>
      <c r="S352" s="9">
        <f>Mecanismos!B8*H352</f>
        <v/>
      </c>
      <c r="T352" s="9">
        <f>Mecanismos!B10*H352</f>
        <v/>
      </c>
      <c r="U352" s="9">
        <f>Mecanismos!B8*K352</f>
        <v/>
      </c>
      <c r="V352" s="9">
        <f>Mecanismos!B3*D352</f>
        <v/>
      </c>
      <c r="W352" s="9">
        <f>Parametros!B2+Parametros!B4*(S352+T352+U352+V352)-Parametros!B3*(L352+M352+N352+O352+P352+Q352+R352)</f>
        <v/>
      </c>
      <c r="X352" s="10">
        <f>1/(1+EXP(-W352))</f>
        <v/>
      </c>
      <c r="Y352" s="11">
        <f>IF(Parametros!B6=1,0.15+0.85*(1/(1+EXP(-8*((1-N352)-0.45)))),1)</f>
        <v/>
      </c>
      <c r="Z352" s="11">
        <f>IF(Parametros!B7=1,MAX(0.05,1-L352^1.6),1)</f>
        <v/>
      </c>
      <c r="AA352" s="11">
        <f>IF(Parametros!B8=1,0.2+0.8*(1/(1+EXP(-9*(S352-0.25)))),1)</f>
        <v/>
      </c>
      <c r="AB352" s="10">
        <f>X352*Y352*Z352*AA352</f>
        <v/>
      </c>
    </row>
    <row r="353">
      <c r="A353" t="inlineStr">
        <is>
          <t>tba1gj</t>
        </is>
      </c>
      <c r="B353" t="inlineStr">
        <is>
          <t>Maria Luísa Nunes</t>
        </is>
      </c>
      <c r="C353" s="8" t="n">
        <v>0.6761</v>
      </c>
      <c r="D353" s="8" t="n">
        <v>0.8363</v>
      </c>
      <c r="E353" s="8" t="n">
        <v>0.4037</v>
      </c>
      <c r="F353" s="8" t="n">
        <v>0.7227</v>
      </c>
      <c r="G353" s="8" t="n">
        <v>0.3479</v>
      </c>
      <c r="H353" s="8" t="n">
        <v>0.6088</v>
      </c>
      <c r="I353" s="8" t="n">
        <v>0.7926</v>
      </c>
      <c r="J353" s="8" t="n">
        <v>0.6636</v>
      </c>
      <c r="K353" s="8" t="n">
        <v>0.3564</v>
      </c>
      <c r="L353" s="9">
        <f>1-(1-Mecanismos!B2)*(1-C353)</f>
        <v/>
      </c>
      <c r="M353" s="9">
        <f>Mecanismos!B7*D353</f>
        <v/>
      </c>
      <c r="N353" s="9">
        <f>Mecanismos!B4*(1-E353)</f>
        <v/>
      </c>
      <c r="O353" s="9">
        <f>Mecanismos!B5*(1-F353)</f>
        <v/>
      </c>
      <c r="P353" s="9">
        <f>Mecanismos!B6*(1-I353)</f>
        <v/>
      </c>
      <c r="Q353" s="9">
        <f>Mecanismos!B9*(1-G353)</f>
        <v/>
      </c>
      <c r="R353" s="9">
        <f>Mecanismos!B9*(1-J353)</f>
        <v/>
      </c>
      <c r="S353" s="9">
        <f>Mecanismos!B8*H353</f>
        <v/>
      </c>
      <c r="T353" s="9">
        <f>Mecanismos!B10*H353</f>
        <v/>
      </c>
      <c r="U353" s="9">
        <f>Mecanismos!B8*K353</f>
        <v/>
      </c>
      <c r="V353" s="9">
        <f>Mecanismos!B3*D353</f>
        <v/>
      </c>
      <c r="W353" s="9">
        <f>Parametros!B2+Parametros!B4*(S353+T353+U353+V353)-Parametros!B3*(L353+M353+N353+O353+P353+Q353+R353)</f>
        <v/>
      </c>
      <c r="X353" s="10">
        <f>1/(1+EXP(-W353))</f>
        <v/>
      </c>
      <c r="Y353" s="11">
        <f>IF(Parametros!B6=1,0.15+0.85*(1/(1+EXP(-8*((1-N353)-0.45)))),1)</f>
        <v/>
      </c>
      <c r="Z353" s="11">
        <f>IF(Parametros!B7=1,MAX(0.05,1-L353^1.6),1)</f>
        <v/>
      </c>
      <c r="AA353" s="11">
        <f>IF(Parametros!B8=1,0.2+0.8*(1/(1+EXP(-9*(S353-0.25)))),1)</f>
        <v/>
      </c>
      <c r="AB353" s="10">
        <f>X353*Y353*Z353*AA353</f>
        <v/>
      </c>
    </row>
    <row r="354">
      <c r="A354" t="inlineStr">
        <is>
          <t>gyoe5k</t>
        </is>
      </c>
      <c r="B354" t="inlineStr">
        <is>
          <t>Maria Luísa Sá</t>
        </is>
      </c>
      <c r="C354" s="8" t="n">
        <v>0.5794</v>
      </c>
      <c r="D354" s="8" t="n">
        <v>0.4188</v>
      </c>
      <c r="E354" s="8" t="n">
        <v>0.4773</v>
      </c>
      <c r="F354" s="8" t="n">
        <v>0.5839</v>
      </c>
      <c r="G354" s="8" t="n">
        <v>0.4696</v>
      </c>
      <c r="H354" s="8" t="n">
        <v>0.6622</v>
      </c>
      <c r="I354" s="8" t="n">
        <v>0.5164</v>
      </c>
      <c r="J354" s="8" t="n">
        <v>0.7346</v>
      </c>
      <c r="K354" s="8" t="n">
        <v>0.7444</v>
      </c>
      <c r="L354" s="9">
        <f>1-(1-Mecanismos!B2)*(1-C354)</f>
        <v/>
      </c>
      <c r="M354" s="9">
        <f>Mecanismos!B7*D354</f>
        <v/>
      </c>
      <c r="N354" s="9">
        <f>Mecanismos!B4*(1-E354)</f>
        <v/>
      </c>
      <c r="O354" s="9">
        <f>Mecanismos!B5*(1-F354)</f>
        <v/>
      </c>
      <c r="P354" s="9">
        <f>Mecanismos!B6*(1-I354)</f>
        <v/>
      </c>
      <c r="Q354" s="9">
        <f>Mecanismos!B9*(1-G354)</f>
        <v/>
      </c>
      <c r="R354" s="9">
        <f>Mecanismos!B9*(1-J354)</f>
        <v/>
      </c>
      <c r="S354" s="9">
        <f>Mecanismos!B8*H354</f>
        <v/>
      </c>
      <c r="T354" s="9">
        <f>Mecanismos!B10*H354</f>
        <v/>
      </c>
      <c r="U354" s="9">
        <f>Mecanismos!B8*K354</f>
        <v/>
      </c>
      <c r="V354" s="9">
        <f>Mecanismos!B3*D354</f>
        <v/>
      </c>
      <c r="W354" s="9">
        <f>Parametros!B2+Parametros!B4*(S354+T354+U354+V354)-Parametros!B3*(L354+M354+N354+O354+P354+Q354+R354)</f>
        <v/>
      </c>
      <c r="X354" s="10">
        <f>1/(1+EXP(-W354))</f>
        <v/>
      </c>
      <c r="Y354" s="11">
        <f>IF(Parametros!B6=1,0.15+0.85*(1/(1+EXP(-8*((1-N354)-0.45)))),1)</f>
        <v/>
      </c>
      <c r="Z354" s="11">
        <f>IF(Parametros!B7=1,MAX(0.05,1-L354^1.6),1)</f>
        <v/>
      </c>
      <c r="AA354" s="11">
        <f>IF(Parametros!B8=1,0.2+0.8*(1/(1+EXP(-9*(S354-0.25)))),1)</f>
        <v/>
      </c>
      <c r="AB354" s="10">
        <f>X354*Y354*Z354*AA354</f>
        <v/>
      </c>
    </row>
    <row r="355">
      <c r="A355" t="inlineStr">
        <is>
          <t>a1fwgi</t>
        </is>
      </c>
      <c r="B355" t="inlineStr">
        <is>
          <t>Maria Sophia Duarte</t>
        </is>
      </c>
      <c r="C355" s="8" t="n">
        <v>0.5427</v>
      </c>
      <c r="D355" s="8" t="n">
        <v>0.4098</v>
      </c>
      <c r="E355" s="8" t="n">
        <v>0.3239</v>
      </c>
      <c r="F355" s="8" t="n">
        <v>0.4325</v>
      </c>
      <c r="G355" s="8" t="n">
        <v>0.3969</v>
      </c>
      <c r="H355" s="8" t="n">
        <v>0.3722</v>
      </c>
      <c r="I355" s="8" t="n">
        <v>0.5508999999999999</v>
      </c>
      <c r="J355" s="8" t="n">
        <v>0.7327</v>
      </c>
      <c r="K355" s="8" t="n">
        <v>0.2989</v>
      </c>
      <c r="L355" s="9">
        <f>1-(1-Mecanismos!B2)*(1-C355)</f>
        <v/>
      </c>
      <c r="M355" s="9">
        <f>Mecanismos!B7*D355</f>
        <v/>
      </c>
      <c r="N355" s="9">
        <f>Mecanismos!B4*(1-E355)</f>
        <v/>
      </c>
      <c r="O355" s="9">
        <f>Mecanismos!B5*(1-F355)</f>
        <v/>
      </c>
      <c r="P355" s="9">
        <f>Mecanismos!B6*(1-I355)</f>
        <v/>
      </c>
      <c r="Q355" s="9">
        <f>Mecanismos!B9*(1-G355)</f>
        <v/>
      </c>
      <c r="R355" s="9">
        <f>Mecanismos!B9*(1-J355)</f>
        <v/>
      </c>
      <c r="S355" s="9">
        <f>Mecanismos!B8*H355</f>
        <v/>
      </c>
      <c r="T355" s="9">
        <f>Mecanismos!B10*H355</f>
        <v/>
      </c>
      <c r="U355" s="9">
        <f>Mecanismos!B8*K355</f>
        <v/>
      </c>
      <c r="V355" s="9">
        <f>Mecanismos!B3*D355</f>
        <v/>
      </c>
      <c r="W355" s="9">
        <f>Parametros!B2+Parametros!B4*(S355+T355+U355+V355)-Parametros!B3*(L355+M355+N355+O355+P355+Q355+R355)</f>
        <v/>
      </c>
      <c r="X355" s="10">
        <f>1/(1+EXP(-W355))</f>
        <v/>
      </c>
      <c r="Y355" s="11">
        <f>IF(Parametros!B6=1,0.15+0.85*(1/(1+EXP(-8*((1-N355)-0.45)))),1)</f>
        <v/>
      </c>
      <c r="Z355" s="11">
        <f>IF(Parametros!B7=1,MAX(0.05,1-L355^1.6),1)</f>
        <v/>
      </c>
      <c r="AA355" s="11">
        <f>IF(Parametros!B8=1,0.2+0.8*(1/(1+EXP(-9*(S355-0.25)))),1)</f>
        <v/>
      </c>
      <c r="AB355" s="10">
        <f>X355*Y355*Z355*AA355</f>
        <v/>
      </c>
    </row>
    <row r="356">
      <c r="A356" t="inlineStr">
        <is>
          <t>n64l11</t>
        </is>
      </c>
      <c r="B356" t="inlineStr">
        <is>
          <t>Maria Sophia Marques</t>
        </is>
      </c>
      <c r="C356" s="8" t="n">
        <v>0.8103</v>
      </c>
      <c r="D356" s="8" t="n">
        <v>0.2686</v>
      </c>
      <c r="E356" s="8" t="n">
        <v>0.7382</v>
      </c>
      <c r="F356" s="8" t="n">
        <v>0.6804</v>
      </c>
      <c r="G356" s="8" t="n">
        <v>0.2505</v>
      </c>
      <c r="H356" s="8" t="n">
        <v>0.5722</v>
      </c>
      <c r="I356" s="8" t="n">
        <v>0.2587</v>
      </c>
      <c r="J356" s="8" t="n">
        <v>0.444</v>
      </c>
      <c r="K356" s="8" t="n">
        <v>0.7381</v>
      </c>
      <c r="L356" s="9">
        <f>1-(1-Mecanismos!B2)*(1-C356)</f>
        <v/>
      </c>
      <c r="M356" s="9">
        <f>Mecanismos!B7*D356</f>
        <v/>
      </c>
      <c r="N356" s="9">
        <f>Mecanismos!B4*(1-E356)</f>
        <v/>
      </c>
      <c r="O356" s="9">
        <f>Mecanismos!B5*(1-F356)</f>
        <v/>
      </c>
      <c r="P356" s="9">
        <f>Mecanismos!B6*(1-I356)</f>
        <v/>
      </c>
      <c r="Q356" s="9">
        <f>Mecanismos!B9*(1-G356)</f>
        <v/>
      </c>
      <c r="R356" s="9">
        <f>Mecanismos!B9*(1-J356)</f>
        <v/>
      </c>
      <c r="S356" s="9">
        <f>Mecanismos!B8*H356</f>
        <v/>
      </c>
      <c r="T356" s="9">
        <f>Mecanismos!B10*H356</f>
        <v/>
      </c>
      <c r="U356" s="9">
        <f>Mecanismos!B8*K356</f>
        <v/>
      </c>
      <c r="V356" s="9">
        <f>Mecanismos!B3*D356</f>
        <v/>
      </c>
      <c r="W356" s="9">
        <f>Parametros!B2+Parametros!B4*(S356+T356+U356+V356)-Parametros!B3*(L356+M356+N356+O356+P356+Q356+R356)</f>
        <v/>
      </c>
      <c r="X356" s="10">
        <f>1/(1+EXP(-W356))</f>
        <v/>
      </c>
      <c r="Y356" s="11">
        <f>IF(Parametros!B6=1,0.15+0.85*(1/(1+EXP(-8*((1-N356)-0.45)))),1)</f>
        <v/>
      </c>
      <c r="Z356" s="11">
        <f>IF(Parametros!B7=1,MAX(0.05,1-L356^1.6),1)</f>
        <v/>
      </c>
      <c r="AA356" s="11">
        <f>IF(Parametros!B8=1,0.2+0.8*(1/(1+EXP(-9*(S356-0.25)))),1)</f>
        <v/>
      </c>
      <c r="AB356" s="10">
        <f>X356*Y356*Z356*AA356</f>
        <v/>
      </c>
    </row>
    <row r="357">
      <c r="A357" t="inlineStr">
        <is>
          <t>6yxn71</t>
        </is>
      </c>
      <c r="B357" t="inlineStr">
        <is>
          <t>Maria Sophia Pereira</t>
        </is>
      </c>
      <c r="C357" s="8" t="n">
        <v>0.5499000000000001</v>
      </c>
      <c r="D357" s="8" t="n">
        <v>0.3848</v>
      </c>
      <c r="E357" s="8" t="n">
        <v>0.5884</v>
      </c>
      <c r="F357" s="8" t="n">
        <v>0.6249</v>
      </c>
      <c r="G357" s="8" t="n">
        <v>0.4721</v>
      </c>
      <c r="H357" s="8" t="n">
        <v>0.5914</v>
      </c>
      <c r="I357" s="8" t="n">
        <v>0.3815</v>
      </c>
      <c r="J357" s="8" t="n">
        <v>0.7153</v>
      </c>
      <c r="K357" s="8" t="n">
        <v>0.4091</v>
      </c>
      <c r="L357" s="9">
        <f>1-(1-Mecanismos!B2)*(1-C357)</f>
        <v/>
      </c>
      <c r="M357" s="9">
        <f>Mecanismos!B7*D357</f>
        <v/>
      </c>
      <c r="N357" s="9">
        <f>Mecanismos!B4*(1-E357)</f>
        <v/>
      </c>
      <c r="O357" s="9">
        <f>Mecanismos!B5*(1-F357)</f>
        <v/>
      </c>
      <c r="P357" s="9">
        <f>Mecanismos!B6*(1-I357)</f>
        <v/>
      </c>
      <c r="Q357" s="9">
        <f>Mecanismos!B9*(1-G357)</f>
        <v/>
      </c>
      <c r="R357" s="9">
        <f>Mecanismos!B9*(1-J357)</f>
        <v/>
      </c>
      <c r="S357" s="9">
        <f>Mecanismos!B8*H357</f>
        <v/>
      </c>
      <c r="T357" s="9">
        <f>Mecanismos!B10*H357</f>
        <v/>
      </c>
      <c r="U357" s="9">
        <f>Mecanismos!B8*K357</f>
        <v/>
      </c>
      <c r="V357" s="9">
        <f>Mecanismos!B3*D357</f>
        <v/>
      </c>
      <c r="W357" s="9">
        <f>Parametros!B2+Parametros!B4*(S357+T357+U357+V357)-Parametros!B3*(L357+M357+N357+O357+P357+Q357+R357)</f>
        <v/>
      </c>
      <c r="X357" s="10">
        <f>1/(1+EXP(-W357))</f>
        <v/>
      </c>
      <c r="Y357" s="11">
        <f>IF(Parametros!B6=1,0.15+0.85*(1/(1+EXP(-8*((1-N357)-0.45)))),1)</f>
        <v/>
      </c>
      <c r="Z357" s="11">
        <f>IF(Parametros!B7=1,MAX(0.05,1-L357^1.6),1)</f>
        <v/>
      </c>
      <c r="AA357" s="11">
        <f>IF(Parametros!B8=1,0.2+0.8*(1/(1+EXP(-9*(S357-0.25)))),1)</f>
        <v/>
      </c>
      <c r="AB357" s="10">
        <f>X357*Y357*Z357*AA357</f>
        <v/>
      </c>
    </row>
    <row r="358">
      <c r="A358" t="inlineStr">
        <is>
          <t>d3h6cy</t>
        </is>
      </c>
      <c r="B358" t="inlineStr">
        <is>
          <t>Maria Vitória Câmara</t>
        </is>
      </c>
      <c r="C358" s="8" t="n">
        <v>0.7105</v>
      </c>
      <c r="D358" s="8" t="n">
        <v>0.5198</v>
      </c>
      <c r="E358" s="8" t="n">
        <v>0.8017</v>
      </c>
      <c r="F358" s="8" t="n">
        <v>0.4886</v>
      </c>
      <c r="G358" s="8" t="n">
        <v>0.1631</v>
      </c>
      <c r="H358" s="8" t="n">
        <v>0.5567</v>
      </c>
      <c r="I358" s="8" t="n">
        <v>0.4385</v>
      </c>
      <c r="J358" s="8" t="n">
        <v>0.67</v>
      </c>
      <c r="K358" s="8" t="n">
        <v>0.5174</v>
      </c>
      <c r="L358" s="9">
        <f>1-(1-Mecanismos!B2)*(1-C358)</f>
        <v/>
      </c>
      <c r="M358" s="9">
        <f>Mecanismos!B7*D358</f>
        <v/>
      </c>
      <c r="N358" s="9">
        <f>Mecanismos!B4*(1-E358)</f>
        <v/>
      </c>
      <c r="O358" s="9">
        <f>Mecanismos!B5*(1-F358)</f>
        <v/>
      </c>
      <c r="P358" s="9">
        <f>Mecanismos!B6*(1-I358)</f>
        <v/>
      </c>
      <c r="Q358" s="9">
        <f>Mecanismos!B9*(1-G358)</f>
        <v/>
      </c>
      <c r="R358" s="9">
        <f>Mecanismos!B9*(1-J358)</f>
        <v/>
      </c>
      <c r="S358" s="9">
        <f>Mecanismos!B8*H358</f>
        <v/>
      </c>
      <c r="T358" s="9">
        <f>Mecanismos!B10*H358</f>
        <v/>
      </c>
      <c r="U358" s="9">
        <f>Mecanismos!B8*K358</f>
        <v/>
      </c>
      <c r="V358" s="9">
        <f>Mecanismos!B3*D358</f>
        <v/>
      </c>
      <c r="W358" s="9">
        <f>Parametros!B2+Parametros!B4*(S358+T358+U358+V358)-Parametros!B3*(L358+M358+N358+O358+P358+Q358+R358)</f>
        <v/>
      </c>
      <c r="X358" s="10">
        <f>1/(1+EXP(-W358))</f>
        <v/>
      </c>
      <c r="Y358" s="11">
        <f>IF(Parametros!B6=1,0.15+0.85*(1/(1+EXP(-8*((1-N358)-0.45)))),1)</f>
        <v/>
      </c>
      <c r="Z358" s="11">
        <f>IF(Parametros!B7=1,MAX(0.05,1-L358^1.6),1)</f>
        <v/>
      </c>
      <c r="AA358" s="11">
        <f>IF(Parametros!B8=1,0.2+0.8*(1/(1+EXP(-9*(S358-0.25)))),1)</f>
        <v/>
      </c>
      <c r="AB358" s="10">
        <f>X358*Y358*Z358*AA358</f>
        <v/>
      </c>
    </row>
    <row r="359">
      <c r="A359" t="inlineStr">
        <is>
          <t>vb9g46</t>
        </is>
      </c>
      <c r="B359" t="inlineStr">
        <is>
          <t>Maria Vitória Duarte</t>
        </is>
      </c>
      <c r="C359" s="8" t="n">
        <v>0.4179</v>
      </c>
      <c r="D359" s="8" t="n">
        <v>0.3695</v>
      </c>
      <c r="E359" s="8" t="n">
        <v>0.6002999999999999</v>
      </c>
      <c r="F359" s="8" t="n">
        <v>0.6804</v>
      </c>
      <c r="G359" s="8" t="n">
        <v>0.4248</v>
      </c>
      <c r="H359" s="8" t="n">
        <v>0.5682</v>
      </c>
      <c r="I359" s="8" t="n">
        <v>0.4237</v>
      </c>
      <c r="J359" s="8" t="n">
        <v>0.7665</v>
      </c>
      <c r="K359" s="8" t="n">
        <v>0.3439</v>
      </c>
      <c r="L359" s="9">
        <f>1-(1-Mecanismos!B2)*(1-C359)</f>
        <v/>
      </c>
      <c r="M359" s="9">
        <f>Mecanismos!B7*D359</f>
        <v/>
      </c>
      <c r="N359" s="9">
        <f>Mecanismos!B4*(1-E359)</f>
        <v/>
      </c>
      <c r="O359" s="9">
        <f>Mecanismos!B5*(1-F359)</f>
        <v/>
      </c>
      <c r="P359" s="9">
        <f>Mecanismos!B6*(1-I359)</f>
        <v/>
      </c>
      <c r="Q359" s="9">
        <f>Mecanismos!B9*(1-G359)</f>
        <v/>
      </c>
      <c r="R359" s="9">
        <f>Mecanismos!B9*(1-J359)</f>
        <v/>
      </c>
      <c r="S359" s="9">
        <f>Mecanismos!B8*H359</f>
        <v/>
      </c>
      <c r="T359" s="9">
        <f>Mecanismos!B10*H359</f>
        <v/>
      </c>
      <c r="U359" s="9">
        <f>Mecanismos!B8*K359</f>
        <v/>
      </c>
      <c r="V359" s="9">
        <f>Mecanismos!B3*D359</f>
        <v/>
      </c>
      <c r="W359" s="9">
        <f>Parametros!B2+Parametros!B4*(S359+T359+U359+V359)-Parametros!B3*(L359+M359+N359+O359+P359+Q359+R359)</f>
        <v/>
      </c>
      <c r="X359" s="10">
        <f>1/(1+EXP(-W359))</f>
        <v/>
      </c>
      <c r="Y359" s="11">
        <f>IF(Parametros!B6=1,0.15+0.85*(1/(1+EXP(-8*((1-N359)-0.45)))),1)</f>
        <v/>
      </c>
      <c r="Z359" s="11">
        <f>IF(Parametros!B7=1,MAX(0.05,1-L359^1.6),1)</f>
        <v/>
      </c>
      <c r="AA359" s="11">
        <f>IF(Parametros!B8=1,0.2+0.8*(1/(1+EXP(-9*(S359-0.25)))),1)</f>
        <v/>
      </c>
      <c r="AB359" s="10">
        <f>X359*Y359*Z359*AA359</f>
        <v/>
      </c>
    </row>
    <row r="360">
      <c r="A360" t="inlineStr">
        <is>
          <t>dzgznx</t>
        </is>
      </c>
      <c r="B360" t="inlineStr">
        <is>
          <t>Maria Vitória Pastor</t>
        </is>
      </c>
      <c r="C360" s="8" t="n">
        <v>0.5365</v>
      </c>
      <c r="D360" s="8" t="n">
        <v>0.5298</v>
      </c>
      <c r="E360" s="8" t="n">
        <v>0.3212</v>
      </c>
      <c r="F360" s="8" t="n">
        <v>0.5713</v>
      </c>
      <c r="G360" s="8" t="n">
        <v>0.4799</v>
      </c>
      <c r="H360" s="8" t="n">
        <v>0.5427999999999999</v>
      </c>
      <c r="I360" s="8" t="n">
        <v>0.6749000000000001</v>
      </c>
      <c r="J360" s="8" t="n">
        <v>0.885</v>
      </c>
      <c r="K360" s="8" t="n">
        <v>0.5554</v>
      </c>
      <c r="L360" s="9">
        <f>1-(1-Mecanismos!B2)*(1-C360)</f>
        <v/>
      </c>
      <c r="M360" s="9">
        <f>Mecanismos!B7*D360</f>
        <v/>
      </c>
      <c r="N360" s="9">
        <f>Mecanismos!B4*(1-E360)</f>
        <v/>
      </c>
      <c r="O360" s="9">
        <f>Mecanismos!B5*(1-F360)</f>
        <v/>
      </c>
      <c r="P360" s="9">
        <f>Mecanismos!B6*(1-I360)</f>
        <v/>
      </c>
      <c r="Q360" s="9">
        <f>Mecanismos!B9*(1-G360)</f>
        <v/>
      </c>
      <c r="R360" s="9">
        <f>Mecanismos!B9*(1-J360)</f>
        <v/>
      </c>
      <c r="S360" s="9">
        <f>Mecanismos!B8*H360</f>
        <v/>
      </c>
      <c r="T360" s="9">
        <f>Mecanismos!B10*H360</f>
        <v/>
      </c>
      <c r="U360" s="9">
        <f>Mecanismos!B8*K360</f>
        <v/>
      </c>
      <c r="V360" s="9">
        <f>Mecanismos!B3*D360</f>
        <v/>
      </c>
      <c r="W360" s="9">
        <f>Parametros!B2+Parametros!B4*(S360+T360+U360+V360)-Parametros!B3*(L360+M360+N360+O360+P360+Q360+R360)</f>
        <v/>
      </c>
      <c r="X360" s="10">
        <f>1/(1+EXP(-W360))</f>
        <v/>
      </c>
      <c r="Y360" s="11">
        <f>IF(Parametros!B6=1,0.15+0.85*(1/(1+EXP(-8*((1-N360)-0.45)))),1)</f>
        <v/>
      </c>
      <c r="Z360" s="11">
        <f>IF(Parametros!B7=1,MAX(0.05,1-L360^1.6),1)</f>
        <v/>
      </c>
      <c r="AA360" s="11">
        <f>IF(Parametros!B8=1,0.2+0.8*(1/(1+EXP(-9*(S360-0.25)))),1)</f>
        <v/>
      </c>
      <c r="AB360" s="10">
        <f>X360*Y360*Z360*AA360</f>
        <v/>
      </c>
    </row>
    <row r="361">
      <c r="A361" t="inlineStr">
        <is>
          <t>1o97zo</t>
        </is>
      </c>
      <c r="B361" t="inlineStr">
        <is>
          <t>Mariah Cavalcante</t>
        </is>
      </c>
      <c r="C361" s="8" t="n">
        <v>0.7432</v>
      </c>
      <c r="D361" s="8" t="n">
        <v>0.4078</v>
      </c>
      <c r="E361" s="8" t="n">
        <v>0.6209</v>
      </c>
      <c r="F361" s="8" t="n">
        <v>0.6832</v>
      </c>
      <c r="G361" s="8" t="n">
        <v>0.5602</v>
      </c>
      <c r="H361" s="8" t="n">
        <v>0.7511</v>
      </c>
      <c r="I361" s="8" t="n">
        <v>0.3098</v>
      </c>
      <c r="J361" s="8" t="n">
        <v>0.7307</v>
      </c>
      <c r="K361" s="8" t="n">
        <v>0.6325</v>
      </c>
      <c r="L361" s="9">
        <f>1-(1-Mecanismos!B2)*(1-C361)</f>
        <v/>
      </c>
      <c r="M361" s="9">
        <f>Mecanismos!B7*D361</f>
        <v/>
      </c>
      <c r="N361" s="9">
        <f>Mecanismos!B4*(1-E361)</f>
        <v/>
      </c>
      <c r="O361" s="9">
        <f>Mecanismos!B5*(1-F361)</f>
        <v/>
      </c>
      <c r="P361" s="9">
        <f>Mecanismos!B6*(1-I361)</f>
        <v/>
      </c>
      <c r="Q361" s="9">
        <f>Mecanismos!B9*(1-G361)</f>
        <v/>
      </c>
      <c r="R361" s="9">
        <f>Mecanismos!B9*(1-J361)</f>
        <v/>
      </c>
      <c r="S361" s="9">
        <f>Mecanismos!B8*H361</f>
        <v/>
      </c>
      <c r="T361" s="9">
        <f>Mecanismos!B10*H361</f>
        <v/>
      </c>
      <c r="U361" s="9">
        <f>Mecanismos!B8*K361</f>
        <v/>
      </c>
      <c r="V361" s="9">
        <f>Mecanismos!B3*D361</f>
        <v/>
      </c>
      <c r="W361" s="9">
        <f>Parametros!B2+Parametros!B4*(S361+T361+U361+V361)-Parametros!B3*(L361+M361+N361+O361+P361+Q361+R361)</f>
        <v/>
      </c>
      <c r="X361" s="10">
        <f>1/(1+EXP(-W361))</f>
        <v/>
      </c>
      <c r="Y361" s="11">
        <f>IF(Parametros!B6=1,0.15+0.85*(1/(1+EXP(-8*((1-N361)-0.45)))),1)</f>
        <v/>
      </c>
      <c r="Z361" s="11">
        <f>IF(Parametros!B7=1,MAX(0.05,1-L361^1.6),1)</f>
        <v/>
      </c>
      <c r="AA361" s="11">
        <f>IF(Parametros!B8=1,0.2+0.8*(1/(1+EXP(-9*(S361-0.25)))),1)</f>
        <v/>
      </c>
      <c r="AB361" s="10">
        <f>X361*Y361*Z361*AA361</f>
        <v/>
      </c>
    </row>
    <row r="362">
      <c r="A362" t="inlineStr">
        <is>
          <t>vytflv</t>
        </is>
      </c>
      <c r="B362" t="inlineStr">
        <is>
          <t>Mariah Guerra</t>
        </is>
      </c>
      <c r="C362" s="8" t="n">
        <v>0.5367</v>
      </c>
      <c r="D362" s="8" t="n">
        <v>0.5424</v>
      </c>
      <c r="E362" s="8" t="n">
        <v>0.4836</v>
      </c>
      <c r="F362" s="8" t="n">
        <v>0.5047</v>
      </c>
      <c r="G362" s="8" t="n">
        <v>0.5376</v>
      </c>
      <c r="H362" s="8" t="n">
        <v>0.5732</v>
      </c>
      <c r="I362" s="8" t="n">
        <v>0.3328</v>
      </c>
      <c r="J362" s="8" t="n">
        <v>0.9414</v>
      </c>
      <c r="K362" s="8" t="n">
        <v>0.5182</v>
      </c>
      <c r="L362" s="9">
        <f>1-(1-Mecanismos!B2)*(1-C362)</f>
        <v/>
      </c>
      <c r="M362" s="9">
        <f>Mecanismos!B7*D362</f>
        <v/>
      </c>
      <c r="N362" s="9">
        <f>Mecanismos!B4*(1-E362)</f>
        <v/>
      </c>
      <c r="O362" s="9">
        <f>Mecanismos!B5*(1-F362)</f>
        <v/>
      </c>
      <c r="P362" s="9">
        <f>Mecanismos!B6*(1-I362)</f>
        <v/>
      </c>
      <c r="Q362" s="9">
        <f>Mecanismos!B9*(1-G362)</f>
        <v/>
      </c>
      <c r="R362" s="9">
        <f>Mecanismos!B9*(1-J362)</f>
        <v/>
      </c>
      <c r="S362" s="9">
        <f>Mecanismos!B8*H362</f>
        <v/>
      </c>
      <c r="T362" s="9">
        <f>Mecanismos!B10*H362</f>
        <v/>
      </c>
      <c r="U362" s="9">
        <f>Mecanismos!B8*K362</f>
        <v/>
      </c>
      <c r="V362" s="9">
        <f>Mecanismos!B3*D362</f>
        <v/>
      </c>
      <c r="W362" s="9">
        <f>Parametros!B2+Parametros!B4*(S362+T362+U362+V362)-Parametros!B3*(L362+M362+N362+O362+P362+Q362+R362)</f>
        <v/>
      </c>
      <c r="X362" s="10">
        <f>1/(1+EXP(-W362))</f>
        <v/>
      </c>
      <c r="Y362" s="11">
        <f>IF(Parametros!B6=1,0.15+0.85*(1/(1+EXP(-8*((1-N362)-0.45)))),1)</f>
        <v/>
      </c>
      <c r="Z362" s="11">
        <f>IF(Parametros!B7=1,MAX(0.05,1-L362^1.6),1)</f>
        <v/>
      </c>
      <c r="AA362" s="11">
        <f>IF(Parametros!B8=1,0.2+0.8*(1/(1+EXP(-9*(S362-0.25)))),1)</f>
        <v/>
      </c>
      <c r="AB362" s="10">
        <f>X362*Y362*Z362*AA362</f>
        <v/>
      </c>
    </row>
    <row r="363">
      <c r="A363" t="inlineStr">
        <is>
          <t>2n9tzl</t>
        </is>
      </c>
      <c r="B363" t="inlineStr">
        <is>
          <t>Mariah Leão</t>
        </is>
      </c>
      <c r="C363" s="8" t="n">
        <v>0.4436</v>
      </c>
      <c r="D363" s="8" t="n">
        <v>0.5228</v>
      </c>
      <c r="E363" s="8" t="n">
        <v>0.5943000000000001</v>
      </c>
      <c r="F363" s="8" t="n">
        <v>0.623</v>
      </c>
      <c r="G363" s="8" t="n">
        <v>0.2964</v>
      </c>
      <c r="H363" s="8" t="n">
        <v>0.3491</v>
      </c>
      <c r="I363" s="8" t="n">
        <v>0.6106</v>
      </c>
      <c r="J363" s="8" t="n">
        <v>0.8387</v>
      </c>
      <c r="K363" s="8" t="n">
        <v>0.2312</v>
      </c>
      <c r="L363" s="9">
        <f>1-(1-Mecanismos!B2)*(1-C363)</f>
        <v/>
      </c>
      <c r="M363" s="9">
        <f>Mecanismos!B7*D363</f>
        <v/>
      </c>
      <c r="N363" s="9">
        <f>Mecanismos!B4*(1-E363)</f>
        <v/>
      </c>
      <c r="O363" s="9">
        <f>Mecanismos!B5*(1-F363)</f>
        <v/>
      </c>
      <c r="P363" s="9">
        <f>Mecanismos!B6*(1-I363)</f>
        <v/>
      </c>
      <c r="Q363" s="9">
        <f>Mecanismos!B9*(1-G363)</f>
        <v/>
      </c>
      <c r="R363" s="9">
        <f>Mecanismos!B9*(1-J363)</f>
        <v/>
      </c>
      <c r="S363" s="9">
        <f>Mecanismos!B8*H363</f>
        <v/>
      </c>
      <c r="T363" s="9">
        <f>Mecanismos!B10*H363</f>
        <v/>
      </c>
      <c r="U363" s="9">
        <f>Mecanismos!B8*K363</f>
        <v/>
      </c>
      <c r="V363" s="9">
        <f>Mecanismos!B3*D363</f>
        <v/>
      </c>
      <c r="W363" s="9">
        <f>Parametros!B2+Parametros!B4*(S363+T363+U363+V363)-Parametros!B3*(L363+M363+N363+O363+P363+Q363+R363)</f>
        <v/>
      </c>
      <c r="X363" s="10">
        <f>1/(1+EXP(-W363))</f>
        <v/>
      </c>
      <c r="Y363" s="11">
        <f>IF(Parametros!B6=1,0.15+0.85*(1/(1+EXP(-8*((1-N363)-0.45)))),1)</f>
        <v/>
      </c>
      <c r="Z363" s="11">
        <f>IF(Parametros!B7=1,MAX(0.05,1-L363^1.6),1)</f>
        <v/>
      </c>
      <c r="AA363" s="11">
        <f>IF(Parametros!B8=1,0.2+0.8*(1/(1+EXP(-9*(S363-0.25)))),1)</f>
        <v/>
      </c>
      <c r="AB363" s="10">
        <f>X363*Y363*Z363*AA363</f>
        <v/>
      </c>
    </row>
    <row r="364">
      <c r="A364" t="inlineStr">
        <is>
          <t>32g5s0</t>
        </is>
      </c>
      <c r="B364" t="inlineStr">
        <is>
          <t>Mariana Cavalcanti</t>
        </is>
      </c>
      <c r="C364" s="8" t="n">
        <v>0.8270999999999999</v>
      </c>
      <c r="D364" s="8" t="n">
        <v>0.5561</v>
      </c>
      <c r="E364" s="8" t="n">
        <v>0.6274999999999999</v>
      </c>
      <c r="F364" s="8" t="n">
        <v>0.3994</v>
      </c>
      <c r="G364" s="8" t="n">
        <v>0.2132</v>
      </c>
      <c r="H364" s="8" t="n">
        <v>0.5137</v>
      </c>
      <c r="I364" s="8" t="n">
        <v>0.09039999999999999</v>
      </c>
      <c r="J364" s="8" t="n">
        <v>0.7078</v>
      </c>
      <c r="K364" s="8" t="n">
        <v>0.4685</v>
      </c>
      <c r="L364" s="9">
        <f>1-(1-Mecanismos!B2)*(1-C364)</f>
        <v/>
      </c>
      <c r="M364" s="9">
        <f>Mecanismos!B7*D364</f>
        <v/>
      </c>
      <c r="N364" s="9">
        <f>Mecanismos!B4*(1-E364)</f>
        <v/>
      </c>
      <c r="O364" s="9">
        <f>Mecanismos!B5*(1-F364)</f>
        <v/>
      </c>
      <c r="P364" s="9">
        <f>Mecanismos!B6*(1-I364)</f>
        <v/>
      </c>
      <c r="Q364" s="9">
        <f>Mecanismos!B9*(1-G364)</f>
        <v/>
      </c>
      <c r="R364" s="9">
        <f>Mecanismos!B9*(1-J364)</f>
        <v/>
      </c>
      <c r="S364" s="9">
        <f>Mecanismos!B8*H364</f>
        <v/>
      </c>
      <c r="T364" s="9">
        <f>Mecanismos!B10*H364</f>
        <v/>
      </c>
      <c r="U364" s="9">
        <f>Mecanismos!B8*K364</f>
        <v/>
      </c>
      <c r="V364" s="9">
        <f>Mecanismos!B3*D364</f>
        <v/>
      </c>
      <c r="W364" s="9">
        <f>Parametros!B2+Parametros!B4*(S364+T364+U364+V364)-Parametros!B3*(L364+M364+N364+O364+P364+Q364+R364)</f>
        <v/>
      </c>
      <c r="X364" s="10">
        <f>1/(1+EXP(-W364))</f>
        <v/>
      </c>
      <c r="Y364" s="11">
        <f>IF(Parametros!B6=1,0.15+0.85*(1/(1+EXP(-8*((1-N364)-0.45)))),1)</f>
        <v/>
      </c>
      <c r="Z364" s="11">
        <f>IF(Parametros!B7=1,MAX(0.05,1-L364^1.6),1)</f>
        <v/>
      </c>
      <c r="AA364" s="11">
        <f>IF(Parametros!B8=1,0.2+0.8*(1/(1+EXP(-9*(S364-0.25)))),1)</f>
        <v/>
      </c>
      <c r="AB364" s="10">
        <f>X364*Y364*Z364*AA364</f>
        <v/>
      </c>
    </row>
    <row r="365">
      <c r="A365" t="inlineStr">
        <is>
          <t>z84bcd</t>
        </is>
      </c>
      <c r="B365" t="inlineStr">
        <is>
          <t>Mariana Moraes</t>
        </is>
      </c>
      <c r="C365" s="8" t="n">
        <v>0.4716</v>
      </c>
      <c r="D365" s="8" t="n">
        <v>0.516</v>
      </c>
      <c r="E365" s="8" t="n">
        <v>0.3702</v>
      </c>
      <c r="F365" s="8" t="n">
        <v>0.611</v>
      </c>
      <c r="G365" s="8" t="n">
        <v>0.3607</v>
      </c>
      <c r="H365" s="8" t="n">
        <v>0.7058</v>
      </c>
      <c r="I365" s="8" t="n">
        <v>0.4961</v>
      </c>
      <c r="J365" s="8" t="n">
        <v>0.6405</v>
      </c>
      <c r="K365" s="8" t="n">
        <v>0.2825</v>
      </c>
      <c r="L365" s="9">
        <f>1-(1-Mecanismos!B2)*(1-C365)</f>
        <v/>
      </c>
      <c r="M365" s="9">
        <f>Mecanismos!B7*D365</f>
        <v/>
      </c>
      <c r="N365" s="9">
        <f>Mecanismos!B4*(1-E365)</f>
        <v/>
      </c>
      <c r="O365" s="9">
        <f>Mecanismos!B5*(1-F365)</f>
        <v/>
      </c>
      <c r="P365" s="9">
        <f>Mecanismos!B6*(1-I365)</f>
        <v/>
      </c>
      <c r="Q365" s="9">
        <f>Mecanismos!B9*(1-G365)</f>
        <v/>
      </c>
      <c r="R365" s="9">
        <f>Mecanismos!B9*(1-J365)</f>
        <v/>
      </c>
      <c r="S365" s="9">
        <f>Mecanismos!B8*H365</f>
        <v/>
      </c>
      <c r="T365" s="9">
        <f>Mecanismos!B10*H365</f>
        <v/>
      </c>
      <c r="U365" s="9">
        <f>Mecanismos!B8*K365</f>
        <v/>
      </c>
      <c r="V365" s="9">
        <f>Mecanismos!B3*D365</f>
        <v/>
      </c>
      <c r="W365" s="9">
        <f>Parametros!B2+Parametros!B4*(S365+T365+U365+V365)-Parametros!B3*(L365+M365+N365+O365+P365+Q365+R365)</f>
        <v/>
      </c>
      <c r="X365" s="10">
        <f>1/(1+EXP(-W365))</f>
        <v/>
      </c>
      <c r="Y365" s="11">
        <f>IF(Parametros!B6=1,0.15+0.85*(1/(1+EXP(-8*((1-N365)-0.45)))),1)</f>
        <v/>
      </c>
      <c r="Z365" s="11">
        <f>IF(Parametros!B7=1,MAX(0.05,1-L365^1.6),1)</f>
        <v/>
      </c>
      <c r="AA365" s="11">
        <f>IF(Parametros!B8=1,0.2+0.8*(1/(1+EXP(-9*(S365-0.25)))),1)</f>
        <v/>
      </c>
      <c r="AB365" s="10">
        <f>X365*Y365*Z365*AA365</f>
        <v/>
      </c>
    </row>
    <row r="366">
      <c r="A366" t="inlineStr">
        <is>
          <t>65vui1</t>
        </is>
      </c>
      <c r="B366" t="inlineStr">
        <is>
          <t>Mariana Ribeiro</t>
        </is>
      </c>
      <c r="C366" s="8" t="n">
        <v>0.3306</v>
      </c>
      <c r="D366" s="8" t="n">
        <v>0.4531</v>
      </c>
      <c r="E366" s="8" t="n">
        <v>0.6818</v>
      </c>
      <c r="F366" s="8" t="n">
        <v>0.5949</v>
      </c>
      <c r="G366" s="8" t="n">
        <v>0.3044</v>
      </c>
      <c r="H366" s="8" t="n">
        <v>0.5289</v>
      </c>
      <c r="I366" s="8" t="n">
        <v>0.4903</v>
      </c>
      <c r="J366" s="8" t="n">
        <v>0.8401</v>
      </c>
      <c r="K366" s="8" t="n">
        <v>0.3023</v>
      </c>
      <c r="L366" s="9">
        <f>1-(1-Mecanismos!B2)*(1-C366)</f>
        <v/>
      </c>
      <c r="M366" s="9">
        <f>Mecanismos!B7*D366</f>
        <v/>
      </c>
      <c r="N366" s="9">
        <f>Mecanismos!B4*(1-E366)</f>
        <v/>
      </c>
      <c r="O366" s="9">
        <f>Mecanismos!B5*(1-F366)</f>
        <v/>
      </c>
      <c r="P366" s="9">
        <f>Mecanismos!B6*(1-I366)</f>
        <v/>
      </c>
      <c r="Q366" s="9">
        <f>Mecanismos!B9*(1-G366)</f>
        <v/>
      </c>
      <c r="R366" s="9">
        <f>Mecanismos!B9*(1-J366)</f>
        <v/>
      </c>
      <c r="S366" s="9">
        <f>Mecanismos!B8*H366</f>
        <v/>
      </c>
      <c r="T366" s="9">
        <f>Mecanismos!B10*H366</f>
        <v/>
      </c>
      <c r="U366" s="9">
        <f>Mecanismos!B8*K366</f>
        <v/>
      </c>
      <c r="V366" s="9">
        <f>Mecanismos!B3*D366</f>
        <v/>
      </c>
      <c r="W366" s="9">
        <f>Parametros!B2+Parametros!B4*(S366+T366+U366+V366)-Parametros!B3*(L366+M366+N366+O366+P366+Q366+R366)</f>
        <v/>
      </c>
      <c r="X366" s="10">
        <f>1/(1+EXP(-W366))</f>
        <v/>
      </c>
      <c r="Y366" s="11">
        <f>IF(Parametros!B6=1,0.15+0.85*(1/(1+EXP(-8*((1-N366)-0.45)))),1)</f>
        <v/>
      </c>
      <c r="Z366" s="11">
        <f>IF(Parametros!B7=1,MAX(0.05,1-L366^1.6),1)</f>
        <v/>
      </c>
      <c r="AA366" s="11">
        <f>IF(Parametros!B8=1,0.2+0.8*(1/(1+EXP(-9*(S366-0.25)))),1)</f>
        <v/>
      </c>
      <c r="AB366" s="10">
        <f>X366*Y366*Z366*AA366</f>
        <v/>
      </c>
    </row>
    <row r="367">
      <c r="A367" t="inlineStr">
        <is>
          <t>0asa50</t>
        </is>
      </c>
      <c r="B367" t="inlineStr">
        <is>
          <t>Mariana Silveira</t>
        </is>
      </c>
      <c r="C367" s="8" t="n">
        <v>0.5485</v>
      </c>
      <c r="D367" s="8" t="n">
        <v>0.3633</v>
      </c>
      <c r="E367" s="8" t="n">
        <v>0.4125</v>
      </c>
      <c r="F367" s="8" t="n">
        <v>0.485</v>
      </c>
      <c r="G367" s="8" t="n">
        <v>0.2437</v>
      </c>
      <c r="H367" s="8" t="n">
        <v>0.43</v>
      </c>
      <c r="I367" s="8" t="n">
        <v>0.7718</v>
      </c>
      <c r="J367" s="8" t="n">
        <v>0.9051</v>
      </c>
      <c r="K367" s="8" t="n">
        <v>0.609</v>
      </c>
      <c r="L367" s="9">
        <f>1-(1-Mecanismos!B2)*(1-C367)</f>
        <v/>
      </c>
      <c r="M367" s="9">
        <f>Mecanismos!B7*D367</f>
        <v/>
      </c>
      <c r="N367" s="9">
        <f>Mecanismos!B4*(1-E367)</f>
        <v/>
      </c>
      <c r="O367" s="9">
        <f>Mecanismos!B5*(1-F367)</f>
        <v/>
      </c>
      <c r="P367" s="9">
        <f>Mecanismos!B6*(1-I367)</f>
        <v/>
      </c>
      <c r="Q367" s="9">
        <f>Mecanismos!B9*(1-G367)</f>
        <v/>
      </c>
      <c r="R367" s="9">
        <f>Mecanismos!B9*(1-J367)</f>
        <v/>
      </c>
      <c r="S367" s="9">
        <f>Mecanismos!B8*H367</f>
        <v/>
      </c>
      <c r="T367" s="9">
        <f>Mecanismos!B10*H367</f>
        <v/>
      </c>
      <c r="U367" s="9">
        <f>Mecanismos!B8*K367</f>
        <v/>
      </c>
      <c r="V367" s="9">
        <f>Mecanismos!B3*D367</f>
        <v/>
      </c>
      <c r="W367" s="9">
        <f>Parametros!B2+Parametros!B4*(S367+T367+U367+V367)-Parametros!B3*(L367+M367+N367+O367+P367+Q367+R367)</f>
        <v/>
      </c>
      <c r="X367" s="10">
        <f>1/(1+EXP(-W367))</f>
        <v/>
      </c>
      <c r="Y367" s="11">
        <f>IF(Parametros!B6=1,0.15+0.85*(1/(1+EXP(-8*((1-N367)-0.45)))),1)</f>
        <v/>
      </c>
      <c r="Z367" s="11">
        <f>IF(Parametros!B7=1,MAX(0.05,1-L367^1.6),1)</f>
        <v/>
      </c>
      <c r="AA367" s="11">
        <f>IF(Parametros!B8=1,0.2+0.8*(1/(1+EXP(-9*(S367-0.25)))),1)</f>
        <v/>
      </c>
      <c r="AB367" s="10">
        <f>X367*Y367*Z367*AA367</f>
        <v/>
      </c>
    </row>
    <row r="368">
      <c r="A368" t="inlineStr">
        <is>
          <t>vq1eep</t>
        </is>
      </c>
      <c r="B368" t="inlineStr">
        <is>
          <t>Mariana Siqueira</t>
        </is>
      </c>
      <c r="C368" s="8" t="n">
        <v>0.6684</v>
      </c>
      <c r="D368" s="8" t="n">
        <v>0.6045</v>
      </c>
      <c r="E368" s="8" t="n">
        <v>0.4927</v>
      </c>
      <c r="F368" s="8" t="n">
        <v>0.6487000000000001</v>
      </c>
      <c r="G368" s="8" t="n">
        <v>0.5093</v>
      </c>
      <c r="H368" s="8" t="n">
        <v>0.3828</v>
      </c>
      <c r="I368" s="8" t="n">
        <v>0.5891</v>
      </c>
      <c r="J368" s="8" t="n">
        <v>0.6737</v>
      </c>
      <c r="K368" s="8" t="n">
        <v>0.8065</v>
      </c>
      <c r="L368" s="9">
        <f>1-(1-Mecanismos!B2)*(1-C368)</f>
        <v/>
      </c>
      <c r="M368" s="9">
        <f>Mecanismos!B7*D368</f>
        <v/>
      </c>
      <c r="N368" s="9">
        <f>Mecanismos!B4*(1-E368)</f>
        <v/>
      </c>
      <c r="O368" s="9">
        <f>Mecanismos!B5*(1-F368)</f>
        <v/>
      </c>
      <c r="P368" s="9">
        <f>Mecanismos!B6*(1-I368)</f>
        <v/>
      </c>
      <c r="Q368" s="9">
        <f>Mecanismos!B9*(1-G368)</f>
        <v/>
      </c>
      <c r="R368" s="9">
        <f>Mecanismos!B9*(1-J368)</f>
        <v/>
      </c>
      <c r="S368" s="9">
        <f>Mecanismos!B8*H368</f>
        <v/>
      </c>
      <c r="T368" s="9">
        <f>Mecanismos!B10*H368</f>
        <v/>
      </c>
      <c r="U368" s="9">
        <f>Mecanismos!B8*K368</f>
        <v/>
      </c>
      <c r="V368" s="9">
        <f>Mecanismos!B3*D368</f>
        <v/>
      </c>
      <c r="W368" s="9">
        <f>Parametros!B2+Parametros!B4*(S368+T368+U368+V368)-Parametros!B3*(L368+M368+N368+O368+P368+Q368+R368)</f>
        <v/>
      </c>
      <c r="X368" s="10">
        <f>1/(1+EXP(-W368))</f>
        <v/>
      </c>
      <c r="Y368" s="11">
        <f>IF(Parametros!B6=1,0.15+0.85*(1/(1+EXP(-8*((1-N368)-0.45)))),1)</f>
        <v/>
      </c>
      <c r="Z368" s="11">
        <f>IF(Parametros!B7=1,MAX(0.05,1-L368^1.6),1)</f>
        <v/>
      </c>
      <c r="AA368" s="11">
        <f>IF(Parametros!B8=1,0.2+0.8*(1/(1+EXP(-9*(S368-0.25)))),1)</f>
        <v/>
      </c>
      <c r="AB368" s="10">
        <f>X368*Y368*Z368*AA368</f>
        <v/>
      </c>
    </row>
    <row r="369">
      <c r="A369" t="inlineStr">
        <is>
          <t>kytdhi</t>
        </is>
      </c>
      <c r="B369" t="inlineStr">
        <is>
          <t>Mariane Albuquerque</t>
        </is>
      </c>
      <c r="C369" s="8" t="n">
        <v>0.3872</v>
      </c>
      <c r="D369" s="8" t="n">
        <v>0.7345</v>
      </c>
      <c r="E369" s="8" t="n">
        <v>0.5053</v>
      </c>
      <c r="F369" s="8" t="n">
        <v>0.5404</v>
      </c>
      <c r="G369" s="8" t="n">
        <v>0.8051</v>
      </c>
      <c r="H369" s="8" t="n">
        <v>0.8794</v>
      </c>
      <c r="I369" s="8" t="n">
        <v>0.7877</v>
      </c>
      <c r="J369" s="8" t="n">
        <v>0.7557</v>
      </c>
      <c r="K369" s="8" t="n">
        <v>0.8646</v>
      </c>
      <c r="L369" s="9">
        <f>1-(1-Mecanismos!B2)*(1-C369)</f>
        <v/>
      </c>
      <c r="M369" s="9">
        <f>Mecanismos!B7*D369</f>
        <v/>
      </c>
      <c r="N369" s="9">
        <f>Mecanismos!B4*(1-E369)</f>
        <v/>
      </c>
      <c r="O369" s="9">
        <f>Mecanismos!B5*(1-F369)</f>
        <v/>
      </c>
      <c r="P369" s="9">
        <f>Mecanismos!B6*(1-I369)</f>
        <v/>
      </c>
      <c r="Q369" s="9">
        <f>Mecanismos!B9*(1-G369)</f>
        <v/>
      </c>
      <c r="R369" s="9">
        <f>Mecanismos!B9*(1-J369)</f>
        <v/>
      </c>
      <c r="S369" s="9">
        <f>Mecanismos!B8*H369</f>
        <v/>
      </c>
      <c r="T369" s="9">
        <f>Mecanismos!B10*H369</f>
        <v/>
      </c>
      <c r="U369" s="9">
        <f>Mecanismos!B8*K369</f>
        <v/>
      </c>
      <c r="V369" s="9">
        <f>Mecanismos!B3*D369</f>
        <v/>
      </c>
      <c r="W369" s="9">
        <f>Parametros!B2+Parametros!B4*(S369+T369+U369+V369)-Parametros!B3*(L369+M369+N369+O369+P369+Q369+R369)</f>
        <v/>
      </c>
      <c r="X369" s="10">
        <f>1/(1+EXP(-W369))</f>
        <v/>
      </c>
      <c r="Y369" s="11">
        <f>IF(Parametros!B6=1,0.15+0.85*(1/(1+EXP(-8*((1-N369)-0.45)))),1)</f>
        <v/>
      </c>
      <c r="Z369" s="11">
        <f>IF(Parametros!B7=1,MAX(0.05,1-L369^1.6),1)</f>
        <v/>
      </c>
      <c r="AA369" s="11">
        <f>IF(Parametros!B8=1,0.2+0.8*(1/(1+EXP(-9*(S369-0.25)))),1)</f>
        <v/>
      </c>
      <c r="AB369" s="10">
        <f>X369*Y369*Z369*AA369</f>
        <v/>
      </c>
    </row>
    <row r="370">
      <c r="A370" t="inlineStr">
        <is>
          <t>4r43zn</t>
        </is>
      </c>
      <c r="B370" t="inlineStr">
        <is>
          <t>Mariane Barros</t>
        </is>
      </c>
      <c r="C370" s="8" t="n">
        <v>0.5493</v>
      </c>
      <c r="D370" s="8" t="n">
        <v>0.6901</v>
      </c>
      <c r="E370" s="8" t="n">
        <v>0.4596</v>
      </c>
      <c r="F370" s="8" t="n">
        <v>0.6777</v>
      </c>
      <c r="G370" s="8" t="n">
        <v>0.5072</v>
      </c>
      <c r="H370" s="8" t="n">
        <v>0.5835</v>
      </c>
      <c r="I370" s="8" t="n">
        <v>0.7423999999999999</v>
      </c>
      <c r="J370" s="8" t="n">
        <v>0.6778</v>
      </c>
      <c r="K370" s="8" t="n">
        <v>0.5528999999999999</v>
      </c>
      <c r="L370" s="9">
        <f>1-(1-Mecanismos!B2)*(1-C370)</f>
        <v/>
      </c>
      <c r="M370" s="9">
        <f>Mecanismos!B7*D370</f>
        <v/>
      </c>
      <c r="N370" s="9">
        <f>Mecanismos!B4*(1-E370)</f>
        <v/>
      </c>
      <c r="O370" s="9">
        <f>Mecanismos!B5*(1-F370)</f>
        <v/>
      </c>
      <c r="P370" s="9">
        <f>Mecanismos!B6*(1-I370)</f>
        <v/>
      </c>
      <c r="Q370" s="9">
        <f>Mecanismos!B9*(1-G370)</f>
        <v/>
      </c>
      <c r="R370" s="9">
        <f>Mecanismos!B9*(1-J370)</f>
        <v/>
      </c>
      <c r="S370" s="9">
        <f>Mecanismos!B8*H370</f>
        <v/>
      </c>
      <c r="T370" s="9">
        <f>Mecanismos!B10*H370</f>
        <v/>
      </c>
      <c r="U370" s="9">
        <f>Mecanismos!B8*K370</f>
        <v/>
      </c>
      <c r="V370" s="9">
        <f>Mecanismos!B3*D370</f>
        <v/>
      </c>
      <c r="W370" s="9">
        <f>Parametros!B2+Parametros!B4*(S370+T370+U370+V370)-Parametros!B3*(L370+M370+N370+O370+P370+Q370+R370)</f>
        <v/>
      </c>
      <c r="X370" s="10">
        <f>1/(1+EXP(-W370))</f>
        <v/>
      </c>
      <c r="Y370" s="11">
        <f>IF(Parametros!B6=1,0.15+0.85*(1/(1+EXP(-8*((1-N370)-0.45)))),1)</f>
        <v/>
      </c>
      <c r="Z370" s="11">
        <f>IF(Parametros!B7=1,MAX(0.05,1-L370^1.6),1)</f>
        <v/>
      </c>
      <c r="AA370" s="11">
        <f>IF(Parametros!B8=1,0.2+0.8*(1/(1+EXP(-9*(S370-0.25)))),1)</f>
        <v/>
      </c>
      <c r="AB370" s="10">
        <f>X370*Y370*Z370*AA370</f>
        <v/>
      </c>
    </row>
    <row r="371">
      <c r="A371" t="inlineStr">
        <is>
          <t>05eevt</t>
        </is>
      </c>
      <c r="B371" t="inlineStr">
        <is>
          <t>Marina Dias</t>
        </is>
      </c>
      <c r="C371" s="8" t="n">
        <v>0.8164</v>
      </c>
      <c r="D371" s="8" t="n">
        <v>0.4204</v>
      </c>
      <c r="E371" s="8" t="n">
        <v>0.7359</v>
      </c>
      <c r="F371" s="8" t="n">
        <v>0.303</v>
      </c>
      <c r="G371" s="8" t="n">
        <v>0.3439</v>
      </c>
      <c r="H371" s="8" t="n">
        <v>0.4535</v>
      </c>
      <c r="I371" s="8" t="n">
        <v>0.2625</v>
      </c>
      <c r="J371" s="8" t="n">
        <v>0.6524</v>
      </c>
      <c r="K371" s="8" t="n">
        <v>0.4745</v>
      </c>
      <c r="L371" s="9">
        <f>1-(1-Mecanismos!B2)*(1-C371)</f>
        <v/>
      </c>
      <c r="M371" s="9">
        <f>Mecanismos!B7*D371</f>
        <v/>
      </c>
      <c r="N371" s="9">
        <f>Mecanismos!B4*(1-E371)</f>
        <v/>
      </c>
      <c r="O371" s="9">
        <f>Mecanismos!B5*(1-F371)</f>
        <v/>
      </c>
      <c r="P371" s="9">
        <f>Mecanismos!B6*(1-I371)</f>
        <v/>
      </c>
      <c r="Q371" s="9">
        <f>Mecanismos!B9*(1-G371)</f>
        <v/>
      </c>
      <c r="R371" s="9">
        <f>Mecanismos!B9*(1-J371)</f>
        <v/>
      </c>
      <c r="S371" s="9">
        <f>Mecanismos!B8*H371</f>
        <v/>
      </c>
      <c r="T371" s="9">
        <f>Mecanismos!B10*H371</f>
        <v/>
      </c>
      <c r="U371" s="9">
        <f>Mecanismos!B8*K371</f>
        <v/>
      </c>
      <c r="V371" s="9">
        <f>Mecanismos!B3*D371</f>
        <v/>
      </c>
      <c r="W371" s="9">
        <f>Parametros!B2+Parametros!B4*(S371+T371+U371+V371)-Parametros!B3*(L371+M371+N371+O371+P371+Q371+R371)</f>
        <v/>
      </c>
      <c r="X371" s="10">
        <f>1/(1+EXP(-W371))</f>
        <v/>
      </c>
      <c r="Y371" s="11">
        <f>IF(Parametros!B6=1,0.15+0.85*(1/(1+EXP(-8*((1-N371)-0.45)))),1)</f>
        <v/>
      </c>
      <c r="Z371" s="11">
        <f>IF(Parametros!B7=1,MAX(0.05,1-L371^1.6),1)</f>
        <v/>
      </c>
      <c r="AA371" s="11">
        <f>IF(Parametros!B8=1,0.2+0.8*(1/(1+EXP(-9*(S371-0.25)))),1)</f>
        <v/>
      </c>
      <c r="AB371" s="10">
        <f>X371*Y371*Z371*AA371</f>
        <v/>
      </c>
    </row>
    <row r="372">
      <c r="A372" t="inlineStr">
        <is>
          <t>1c2tpw</t>
        </is>
      </c>
      <c r="B372" t="inlineStr">
        <is>
          <t>Marina Mendonça</t>
        </is>
      </c>
      <c r="C372" s="8" t="n">
        <v>0.8156</v>
      </c>
      <c r="D372" s="8" t="n">
        <v>0.4716</v>
      </c>
      <c r="E372" s="8" t="n">
        <v>0.5271</v>
      </c>
      <c r="F372" s="8" t="n">
        <v>0.338</v>
      </c>
      <c r="G372" s="8" t="n">
        <v>0.5129</v>
      </c>
      <c r="H372" s="8" t="n">
        <v>0.7681</v>
      </c>
      <c r="I372" s="8" t="n">
        <v>0.4609</v>
      </c>
      <c r="J372" s="8" t="n">
        <v>0.5673</v>
      </c>
      <c r="K372" s="8" t="n">
        <v>0.4894</v>
      </c>
      <c r="L372" s="9">
        <f>1-(1-Mecanismos!B2)*(1-C372)</f>
        <v/>
      </c>
      <c r="M372" s="9">
        <f>Mecanismos!B7*D372</f>
        <v/>
      </c>
      <c r="N372" s="9">
        <f>Mecanismos!B4*(1-E372)</f>
        <v/>
      </c>
      <c r="O372" s="9">
        <f>Mecanismos!B5*(1-F372)</f>
        <v/>
      </c>
      <c r="P372" s="9">
        <f>Mecanismos!B6*(1-I372)</f>
        <v/>
      </c>
      <c r="Q372" s="9">
        <f>Mecanismos!B9*(1-G372)</f>
        <v/>
      </c>
      <c r="R372" s="9">
        <f>Mecanismos!B9*(1-J372)</f>
        <v/>
      </c>
      <c r="S372" s="9">
        <f>Mecanismos!B8*H372</f>
        <v/>
      </c>
      <c r="T372" s="9">
        <f>Mecanismos!B10*H372</f>
        <v/>
      </c>
      <c r="U372" s="9">
        <f>Mecanismos!B8*K372</f>
        <v/>
      </c>
      <c r="V372" s="9">
        <f>Mecanismos!B3*D372</f>
        <v/>
      </c>
      <c r="W372" s="9">
        <f>Parametros!B2+Parametros!B4*(S372+T372+U372+V372)-Parametros!B3*(L372+M372+N372+O372+P372+Q372+R372)</f>
        <v/>
      </c>
      <c r="X372" s="10">
        <f>1/(1+EXP(-W372))</f>
        <v/>
      </c>
      <c r="Y372" s="11">
        <f>IF(Parametros!B6=1,0.15+0.85*(1/(1+EXP(-8*((1-N372)-0.45)))),1)</f>
        <v/>
      </c>
      <c r="Z372" s="11">
        <f>IF(Parametros!B7=1,MAX(0.05,1-L372^1.6),1)</f>
        <v/>
      </c>
      <c r="AA372" s="11">
        <f>IF(Parametros!B8=1,0.2+0.8*(1/(1+EXP(-9*(S372-0.25)))),1)</f>
        <v/>
      </c>
      <c r="AB372" s="10">
        <f>X372*Y372*Z372*AA372</f>
        <v/>
      </c>
    </row>
    <row r="373">
      <c r="A373" t="inlineStr">
        <is>
          <t>bbfcu0</t>
        </is>
      </c>
      <c r="B373" t="inlineStr">
        <is>
          <t>Mateus Martins</t>
        </is>
      </c>
      <c r="C373" s="8" t="n">
        <v>0.8447</v>
      </c>
      <c r="D373" s="8" t="n">
        <v>0.654</v>
      </c>
      <c r="E373" s="8" t="n">
        <v>0.5361</v>
      </c>
      <c r="F373" s="8" t="n">
        <v>0.616</v>
      </c>
      <c r="G373" s="8" t="n">
        <v>0.6425</v>
      </c>
      <c r="H373" s="8" t="n">
        <v>0.6403</v>
      </c>
      <c r="I373" s="8" t="n">
        <v>0.5558999999999999</v>
      </c>
      <c r="J373" s="8" t="n">
        <v>0.8048999999999999</v>
      </c>
      <c r="K373" s="8" t="n">
        <v>0.4135</v>
      </c>
      <c r="L373" s="9">
        <f>1-(1-Mecanismos!B2)*(1-C373)</f>
        <v/>
      </c>
      <c r="M373" s="9">
        <f>Mecanismos!B7*D373</f>
        <v/>
      </c>
      <c r="N373" s="9">
        <f>Mecanismos!B4*(1-E373)</f>
        <v/>
      </c>
      <c r="O373" s="9">
        <f>Mecanismos!B5*(1-F373)</f>
        <v/>
      </c>
      <c r="P373" s="9">
        <f>Mecanismos!B6*(1-I373)</f>
        <v/>
      </c>
      <c r="Q373" s="9">
        <f>Mecanismos!B9*(1-G373)</f>
        <v/>
      </c>
      <c r="R373" s="9">
        <f>Mecanismos!B9*(1-J373)</f>
        <v/>
      </c>
      <c r="S373" s="9">
        <f>Mecanismos!B8*H373</f>
        <v/>
      </c>
      <c r="T373" s="9">
        <f>Mecanismos!B10*H373</f>
        <v/>
      </c>
      <c r="U373" s="9">
        <f>Mecanismos!B8*K373</f>
        <v/>
      </c>
      <c r="V373" s="9">
        <f>Mecanismos!B3*D373</f>
        <v/>
      </c>
      <c r="W373" s="9">
        <f>Parametros!B2+Parametros!B4*(S373+T373+U373+V373)-Parametros!B3*(L373+M373+N373+O373+P373+Q373+R373)</f>
        <v/>
      </c>
      <c r="X373" s="10">
        <f>1/(1+EXP(-W373))</f>
        <v/>
      </c>
      <c r="Y373" s="11">
        <f>IF(Parametros!B6=1,0.15+0.85*(1/(1+EXP(-8*((1-N373)-0.45)))),1)</f>
        <v/>
      </c>
      <c r="Z373" s="11">
        <f>IF(Parametros!B7=1,MAX(0.05,1-L373^1.6),1)</f>
        <v/>
      </c>
      <c r="AA373" s="11">
        <f>IF(Parametros!B8=1,0.2+0.8*(1/(1+EXP(-9*(S373-0.25)))),1)</f>
        <v/>
      </c>
      <c r="AB373" s="10">
        <f>X373*Y373*Z373*AA373</f>
        <v/>
      </c>
    </row>
    <row r="374">
      <c r="A374" t="inlineStr">
        <is>
          <t>ax2c3x</t>
        </is>
      </c>
      <c r="B374" t="inlineStr">
        <is>
          <t>Mateus Melo</t>
        </is>
      </c>
      <c r="C374" s="8" t="n">
        <v>0.4525</v>
      </c>
      <c r="D374" s="8" t="n">
        <v>0.7347</v>
      </c>
      <c r="E374" s="8" t="n">
        <v>0.6041</v>
      </c>
      <c r="F374" s="8" t="n">
        <v>0.5639999999999999</v>
      </c>
      <c r="G374" s="8" t="n">
        <v>0.5722</v>
      </c>
      <c r="H374" s="8" t="n">
        <v>0.6005</v>
      </c>
      <c r="I374" s="8" t="n">
        <v>0.5074</v>
      </c>
      <c r="J374" s="8" t="n">
        <v>0.8773</v>
      </c>
      <c r="K374" s="8" t="n">
        <v>0.6489</v>
      </c>
      <c r="L374" s="9">
        <f>1-(1-Mecanismos!B2)*(1-C374)</f>
        <v/>
      </c>
      <c r="M374" s="9">
        <f>Mecanismos!B7*D374</f>
        <v/>
      </c>
      <c r="N374" s="9">
        <f>Mecanismos!B4*(1-E374)</f>
        <v/>
      </c>
      <c r="O374" s="9">
        <f>Mecanismos!B5*(1-F374)</f>
        <v/>
      </c>
      <c r="P374" s="9">
        <f>Mecanismos!B6*(1-I374)</f>
        <v/>
      </c>
      <c r="Q374" s="9">
        <f>Mecanismos!B9*(1-G374)</f>
        <v/>
      </c>
      <c r="R374" s="9">
        <f>Mecanismos!B9*(1-J374)</f>
        <v/>
      </c>
      <c r="S374" s="9">
        <f>Mecanismos!B8*H374</f>
        <v/>
      </c>
      <c r="T374" s="9">
        <f>Mecanismos!B10*H374</f>
        <v/>
      </c>
      <c r="U374" s="9">
        <f>Mecanismos!B8*K374</f>
        <v/>
      </c>
      <c r="V374" s="9">
        <f>Mecanismos!B3*D374</f>
        <v/>
      </c>
      <c r="W374" s="9">
        <f>Parametros!B2+Parametros!B4*(S374+T374+U374+V374)-Parametros!B3*(L374+M374+N374+O374+P374+Q374+R374)</f>
        <v/>
      </c>
      <c r="X374" s="10">
        <f>1/(1+EXP(-W374))</f>
        <v/>
      </c>
      <c r="Y374" s="11">
        <f>IF(Parametros!B6=1,0.15+0.85*(1/(1+EXP(-8*((1-N374)-0.45)))),1)</f>
        <v/>
      </c>
      <c r="Z374" s="11">
        <f>IF(Parametros!B7=1,MAX(0.05,1-L374^1.6),1)</f>
        <v/>
      </c>
      <c r="AA374" s="11">
        <f>IF(Parametros!B8=1,0.2+0.8*(1/(1+EXP(-9*(S374-0.25)))),1)</f>
        <v/>
      </c>
      <c r="AB374" s="10">
        <f>X374*Y374*Z374*AA374</f>
        <v/>
      </c>
    </row>
    <row r="375">
      <c r="A375" t="inlineStr">
        <is>
          <t>1nb8iz</t>
        </is>
      </c>
      <c r="B375" t="inlineStr">
        <is>
          <t>Matheus Rocha</t>
        </is>
      </c>
      <c r="C375" s="8" t="n">
        <v>0.6833</v>
      </c>
      <c r="D375" s="8" t="n">
        <v>0.4045</v>
      </c>
      <c r="E375" s="8" t="n">
        <v>0.5275</v>
      </c>
      <c r="F375" s="8" t="n">
        <v>0.5416</v>
      </c>
      <c r="G375" s="8" t="n">
        <v>0.5588</v>
      </c>
      <c r="H375" s="8" t="n">
        <v>0.5325</v>
      </c>
      <c r="I375" s="8" t="n">
        <v>0.2983</v>
      </c>
      <c r="J375" s="8" t="n">
        <v>0.9022</v>
      </c>
      <c r="K375" s="8" t="n">
        <v>0.4667</v>
      </c>
      <c r="L375" s="9">
        <f>1-(1-Mecanismos!B2)*(1-C375)</f>
        <v/>
      </c>
      <c r="M375" s="9">
        <f>Mecanismos!B7*D375</f>
        <v/>
      </c>
      <c r="N375" s="9">
        <f>Mecanismos!B4*(1-E375)</f>
        <v/>
      </c>
      <c r="O375" s="9">
        <f>Mecanismos!B5*(1-F375)</f>
        <v/>
      </c>
      <c r="P375" s="9">
        <f>Mecanismos!B6*(1-I375)</f>
        <v/>
      </c>
      <c r="Q375" s="9">
        <f>Mecanismos!B9*(1-G375)</f>
        <v/>
      </c>
      <c r="R375" s="9">
        <f>Mecanismos!B9*(1-J375)</f>
        <v/>
      </c>
      <c r="S375" s="9">
        <f>Mecanismos!B8*H375</f>
        <v/>
      </c>
      <c r="T375" s="9">
        <f>Mecanismos!B10*H375</f>
        <v/>
      </c>
      <c r="U375" s="9">
        <f>Mecanismos!B8*K375</f>
        <v/>
      </c>
      <c r="V375" s="9">
        <f>Mecanismos!B3*D375</f>
        <v/>
      </c>
      <c r="W375" s="9">
        <f>Parametros!B2+Parametros!B4*(S375+T375+U375+V375)-Parametros!B3*(L375+M375+N375+O375+P375+Q375+R375)</f>
        <v/>
      </c>
      <c r="X375" s="10">
        <f>1/(1+EXP(-W375))</f>
        <v/>
      </c>
      <c r="Y375" s="11">
        <f>IF(Parametros!B6=1,0.15+0.85*(1/(1+EXP(-8*((1-N375)-0.45)))),1)</f>
        <v/>
      </c>
      <c r="Z375" s="11">
        <f>IF(Parametros!B7=1,MAX(0.05,1-L375^1.6),1)</f>
        <v/>
      </c>
      <c r="AA375" s="11">
        <f>IF(Parametros!B8=1,0.2+0.8*(1/(1+EXP(-9*(S375-0.25)))),1)</f>
        <v/>
      </c>
      <c r="AB375" s="10">
        <f>X375*Y375*Z375*AA375</f>
        <v/>
      </c>
    </row>
    <row r="376">
      <c r="A376" t="inlineStr">
        <is>
          <t>3dcekr</t>
        </is>
      </c>
      <c r="B376" t="inlineStr">
        <is>
          <t>Matheus Rodrigues</t>
        </is>
      </c>
      <c r="C376" s="8" t="n">
        <v>0.4635</v>
      </c>
      <c r="D376" s="8" t="n">
        <v>0.545</v>
      </c>
      <c r="E376" s="8" t="n">
        <v>0.6286</v>
      </c>
      <c r="F376" s="8" t="n">
        <v>0.633</v>
      </c>
      <c r="G376" s="8" t="n">
        <v>0.696</v>
      </c>
      <c r="H376" s="8" t="n">
        <v>0.6844</v>
      </c>
      <c r="I376" s="8" t="n">
        <v>0.4755</v>
      </c>
      <c r="J376" s="8" t="n">
        <v>0.7598</v>
      </c>
      <c r="K376" s="8" t="n">
        <v>0.7648</v>
      </c>
      <c r="L376" s="9">
        <f>1-(1-Mecanismos!B2)*(1-C376)</f>
        <v/>
      </c>
      <c r="M376" s="9">
        <f>Mecanismos!B7*D376</f>
        <v/>
      </c>
      <c r="N376" s="9">
        <f>Mecanismos!B4*(1-E376)</f>
        <v/>
      </c>
      <c r="O376" s="9">
        <f>Mecanismos!B5*(1-F376)</f>
        <v/>
      </c>
      <c r="P376" s="9">
        <f>Mecanismos!B6*(1-I376)</f>
        <v/>
      </c>
      <c r="Q376" s="9">
        <f>Mecanismos!B9*(1-G376)</f>
        <v/>
      </c>
      <c r="R376" s="9">
        <f>Mecanismos!B9*(1-J376)</f>
        <v/>
      </c>
      <c r="S376" s="9">
        <f>Mecanismos!B8*H376</f>
        <v/>
      </c>
      <c r="T376" s="9">
        <f>Mecanismos!B10*H376</f>
        <v/>
      </c>
      <c r="U376" s="9">
        <f>Mecanismos!B8*K376</f>
        <v/>
      </c>
      <c r="V376" s="9">
        <f>Mecanismos!B3*D376</f>
        <v/>
      </c>
      <c r="W376" s="9">
        <f>Parametros!B2+Parametros!B4*(S376+T376+U376+V376)-Parametros!B3*(L376+M376+N376+O376+P376+Q376+R376)</f>
        <v/>
      </c>
      <c r="X376" s="10">
        <f>1/(1+EXP(-W376))</f>
        <v/>
      </c>
      <c r="Y376" s="11">
        <f>IF(Parametros!B6=1,0.15+0.85*(1/(1+EXP(-8*((1-N376)-0.45)))),1)</f>
        <v/>
      </c>
      <c r="Z376" s="11">
        <f>IF(Parametros!B7=1,MAX(0.05,1-L376^1.6),1)</f>
        <v/>
      </c>
      <c r="AA376" s="11">
        <f>IF(Parametros!B8=1,0.2+0.8*(1/(1+EXP(-9*(S376-0.25)))),1)</f>
        <v/>
      </c>
      <c r="AB376" s="10">
        <f>X376*Y376*Z376*AA376</f>
        <v/>
      </c>
    </row>
    <row r="377">
      <c r="A377" t="inlineStr">
        <is>
          <t>3pqxcc</t>
        </is>
      </c>
      <c r="B377" t="inlineStr">
        <is>
          <t>Mathias Ramos</t>
        </is>
      </c>
      <c r="C377" s="8" t="n">
        <v>0.6437</v>
      </c>
      <c r="D377" s="8" t="n">
        <v>0.4558</v>
      </c>
      <c r="E377" s="8" t="n">
        <v>0.4871</v>
      </c>
      <c r="F377" s="8" t="n">
        <v>0.3993</v>
      </c>
      <c r="G377" s="8" t="n">
        <v>0.3773</v>
      </c>
      <c r="H377" s="8" t="n">
        <v>0.6663</v>
      </c>
      <c r="I377" s="8" t="n">
        <v>0.2395</v>
      </c>
      <c r="J377" s="8" t="n">
        <v>0.7044</v>
      </c>
      <c r="K377" s="8" t="n">
        <v>0.527</v>
      </c>
      <c r="L377" s="9">
        <f>1-(1-Mecanismos!B2)*(1-C377)</f>
        <v/>
      </c>
      <c r="M377" s="9">
        <f>Mecanismos!B7*D377</f>
        <v/>
      </c>
      <c r="N377" s="9">
        <f>Mecanismos!B4*(1-E377)</f>
        <v/>
      </c>
      <c r="O377" s="9">
        <f>Mecanismos!B5*(1-F377)</f>
        <v/>
      </c>
      <c r="P377" s="9">
        <f>Mecanismos!B6*(1-I377)</f>
        <v/>
      </c>
      <c r="Q377" s="9">
        <f>Mecanismos!B9*(1-G377)</f>
        <v/>
      </c>
      <c r="R377" s="9">
        <f>Mecanismos!B9*(1-J377)</f>
        <v/>
      </c>
      <c r="S377" s="9">
        <f>Mecanismos!B8*H377</f>
        <v/>
      </c>
      <c r="T377" s="9">
        <f>Mecanismos!B10*H377</f>
        <v/>
      </c>
      <c r="U377" s="9">
        <f>Mecanismos!B8*K377</f>
        <v/>
      </c>
      <c r="V377" s="9">
        <f>Mecanismos!B3*D377</f>
        <v/>
      </c>
      <c r="W377" s="9">
        <f>Parametros!B2+Parametros!B4*(S377+T377+U377+V377)-Parametros!B3*(L377+M377+N377+O377+P377+Q377+R377)</f>
        <v/>
      </c>
      <c r="X377" s="10">
        <f>1/(1+EXP(-W377))</f>
        <v/>
      </c>
      <c r="Y377" s="11">
        <f>IF(Parametros!B6=1,0.15+0.85*(1/(1+EXP(-8*((1-N377)-0.45)))),1)</f>
        <v/>
      </c>
      <c r="Z377" s="11">
        <f>IF(Parametros!B7=1,MAX(0.05,1-L377^1.6),1)</f>
        <v/>
      </c>
      <c r="AA377" s="11">
        <f>IF(Parametros!B8=1,0.2+0.8*(1/(1+EXP(-9*(S377-0.25)))),1)</f>
        <v/>
      </c>
      <c r="AB377" s="10">
        <f>X377*Y377*Z377*AA377</f>
        <v/>
      </c>
    </row>
    <row r="378">
      <c r="A378" t="inlineStr">
        <is>
          <t>spfn5e</t>
        </is>
      </c>
      <c r="B378" t="inlineStr">
        <is>
          <t>Matteo Garcia</t>
        </is>
      </c>
      <c r="C378" s="8" t="n">
        <v>0.6937</v>
      </c>
      <c r="D378" s="8" t="n">
        <v>0.5058</v>
      </c>
      <c r="E378" s="8" t="n">
        <v>0.7229</v>
      </c>
      <c r="F378" s="8" t="n">
        <v>0.5256</v>
      </c>
      <c r="G378" s="8" t="n">
        <v>0.4079</v>
      </c>
      <c r="H378" s="8" t="n">
        <v>0.5125999999999999</v>
      </c>
      <c r="I378" s="8" t="n">
        <v>0.4239</v>
      </c>
      <c r="J378" s="8" t="n">
        <v>0.9048</v>
      </c>
      <c r="K378" s="8" t="n">
        <v>0.4537</v>
      </c>
      <c r="L378" s="9">
        <f>1-(1-Mecanismos!B2)*(1-C378)</f>
        <v/>
      </c>
      <c r="M378" s="9">
        <f>Mecanismos!B7*D378</f>
        <v/>
      </c>
      <c r="N378" s="9">
        <f>Mecanismos!B4*(1-E378)</f>
        <v/>
      </c>
      <c r="O378" s="9">
        <f>Mecanismos!B5*(1-F378)</f>
        <v/>
      </c>
      <c r="P378" s="9">
        <f>Mecanismos!B6*(1-I378)</f>
        <v/>
      </c>
      <c r="Q378" s="9">
        <f>Mecanismos!B9*(1-G378)</f>
        <v/>
      </c>
      <c r="R378" s="9">
        <f>Mecanismos!B9*(1-J378)</f>
        <v/>
      </c>
      <c r="S378" s="9">
        <f>Mecanismos!B8*H378</f>
        <v/>
      </c>
      <c r="T378" s="9">
        <f>Mecanismos!B10*H378</f>
        <v/>
      </c>
      <c r="U378" s="9">
        <f>Mecanismos!B8*K378</f>
        <v/>
      </c>
      <c r="V378" s="9">
        <f>Mecanismos!B3*D378</f>
        <v/>
      </c>
      <c r="W378" s="9">
        <f>Parametros!B2+Parametros!B4*(S378+T378+U378+V378)-Parametros!B3*(L378+M378+N378+O378+P378+Q378+R378)</f>
        <v/>
      </c>
      <c r="X378" s="10">
        <f>1/(1+EXP(-W378))</f>
        <v/>
      </c>
      <c r="Y378" s="11">
        <f>IF(Parametros!B6=1,0.15+0.85*(1/(1+EXP(-8*((1-N378)-0.45)))),1)</f>
        <v/>
      </c>
      <c r="Z378" s="11">
        <f>IF(Parametros!B7=1,MAX(0.05,1-L378^1.6),1)</f>
        <v/>
      </c>
      <c r="AA378" s="11">
        <f>IF(Parametros!B8=1,0.2+0.8*(1/(1+EXP(-9*(S378-0.25)))),1)</f>
        <v/>
      </c>
      <c r="AB378" s="10">
        <f>X378*Y378*Z378*AA378</f>
        <v/>
      </c>
    </row>
    <row r="379">
      <c r="A379" t="inlineStr">
        <is>
          <t>skoq2n</t>
        </is>
      </c>
      <c r="B379" t="inlineStr">
        <is>
          <t>Maya da Costa</t>
        </is>
      </c>
      <c r="C379" s="8" t="n">
        <v>0.3631</v>
      </c>
      <c r="D379" s="8" t="n">
        <v>0.4528</v>
      </c>
      <c r="E379" s="8" t="n">
        <v>0.4764</v>
      </c>
      <c r="F379" s="8" t="n">
        <v>0.5929</v>
      </c>
      <c r="G379" s="8" t="n">
        <v>0.5128</v>
      </c>
      <c r="H379" s="8" t="n">
        <v>0.624</v>
      </c>
      <c r="I379" s="8" t="n">
        <v>0.6942</v>
      </c>
      <c r="J379" s="8" t="n">
        <v>0.8356</v>
      </c>
      <c r="K379" s="8" t="n">
        <v>0.8915</v>
      </c>
      <c r="L379" s="9">
        <f>1-(1-Mecanismos!B2)*(1-C379)</f>
        <v/>
      </c>
      <c r="M379" s="9">
        <f>Mecanismos!B7*D379</f>
        <v/>
      </c>
      <c r="N379" s="9">
        <f>Mecanismos!B4*(1-E379)</f>
        <v/>
      </c>
      <c r="O379" s="9">
        <f>Mecanismos!B5*(1-F379)</f>
        <v/>
      </c>
      <c r="P379" s="9">
        <f>Mecanismos!B6*(1-I379)</f>
        <v/>
      </c>
      <c r="Q379" s="9">
        <f>Mecanismos!B9*(1-G379)</f>
        <v/>
      </c>
      <c r="R379" s="9">
        <f>Mecanismos!B9*(1-J379)</f>
        <v/>
      </c>
      <c r="S379" s="9">
        <f>Mecanismos!B8*H379</f>
        <v/>
      </c>
      <c r="T379" s="9">
        <f>Mecanismos!B10*H379</f>
        <v/>
      </c>
      <c r="U379" s="9">
        <f>Mecanismos!B8*K379</f>
        <v/>
      </c>
      <c r="V379" s="9">
        <f>Mecanismos!B3*D379</f>
        <v/>
      </c>
      <c r="W379" s="9">
        <f>Parametros!B2+Parametros!B4*(S379+T379+U379+V379)-Parametros!B3*(L379+M379+N379+O379+P379+Q379+R379)</f>
        <v/>
      </c>
      <c r="X379" s="10">
        <f>1/(1+EXP(-W379))</f>
        <v/>
      </c>
      <c r="Y379" s="11">
        <f>IF(Parametros!B6=1,0.15+0.85*(1/(1+EXP(-8*((1-N379)-0.45)))),1)</f>
        <v/>
      </c>
      <c r="Z379" s="11">
        <f>IF(Parametros!B7=1,MAX(0.05,1-L379^1.6),1)</f>
        <v/>
      </c>
      <c r="AA379" s="11">
        <f>IF(Parametros!B8=1,0.2+0.8*(1/(1+EXP(-9*(S379-0.25)))),1)</f>
        <v/>
      </c>
      <c r="AB379" s="10">
        <f>X379*Y379*Z379*AA379</f>
        <v/>
      </c>
    </row>
    <row r="380">
      <c r="A380" t="inlineStr">
        <is>
          <t>zpjpox</t>
        </is>
      </c>
      <c r="B380" t="inlineStr">
        <is>
          <t>Maysa Alves</t>
        </is>
      </c>
      <c r="C380" s="8" t="n">
        <v>0.6085</v>
      </c>
      <c r="D380" s="8" t="n">
        <v>0.5409</v>
      </c>
      <c r="E380" s="8" t="n">
        <v>0.6911</v>
      </c>
      <c r="F380" s="8" t="n">
        <v>0.5036</v>
      </c>
      <c r="G380" s="8" t="n">
        <v>0.3436</v>
      </c>
      <c r="H380" s="8" t="n">
        <v>0.4784</v>
      </c>
      <c r="I380" s="8" t="n">
        <v>0.5365</v>
      </c>
      <c r="J380" s="8" t="n">
        <v>0.7337</v>
      </c>
      <c r="K380" s="8" t="n">
        <v>0.3442</v>
      </c>
      <c r="L380" s="9">
        <f>1-(1-Mecanismos!B2)*(1-C380)</f>
        <v/>
      </c>
      <c r="M380" s="9">
        <f>Mecanismos!B7*D380</f>
        <v/>
      </c>
      <c r="N380" s="9">
        <f>Mecanismos!B4*(1-E380)</f>
        <v/>
      </c>
      <c r="O380" s="9">
        <f>Mecanismos!B5*(1-F380)</f>
        <v/>
      </c>
      <c r="P380" s="9">
        <f>Mecanismos!B6*(1-I380)</f>
        <v/>
      </c>
      <c r="Q380" s="9">
        <f>Mecanismos!B9*(1-G380)</f>
        <v/>
      </c>
      <c r="R380" s="9">
        <f>Mecanismos!B9*(1-J380)</f>
        <v/>
      </c>
      <c r="S380" s="9">
        <f>Mecanismos!B8*H380</f>
        <v/>
      </c>
      <c r="T380" s="9">
        <f>Mecanismos!B10*H380</f>
        <v/>
      </c>
      <c r="U380" s="9">
        <f>Mecanismos!B8*K380</f>
        <v/>
      </c>
      <c r="V380" s="9">
        <f>Mecanismos!B3*D380</f>
        <v/>
      </c>
      <c r="W380" s="9">
        <f>Parametros!B2+Parametros!B4*(S380+T380+U380+V380)-Parametros!B3*(L380+M380+N380+O380+P380+Q380+R380)</f>
        <v/>
      </c>
      <c r="X380" s="10">
        <f>1/(1+EXP(-W380))</f>
        <v/>
      </c>
      <c r="Y380" s="11">
        <f>IF(Parametros!B6=1,0.15+0.85*(1/(1+EXP(-8*((1-N380)-0.45)))),1)</f>
        <v/>
      </c>
      <c r="Z380" s="11">
        <f>IF(Parametros!B7=1,MAX(0.05,1-L380^1.6),1)</f>
        <v/>
      </c>
      <c r="AA380" s="11">
        <f>IF(Parametros!B8=1,0.2+0.8*(1/(1+EXP(-9*(S380-0.25)))),1)</f>
        <v/>
      </c>
      <c r="AB380" s="10">
        <f>X380*Y380*Z380*AA380</f>
        <v/>
      </c>
    </row>
    <row r="381">
      <c r="A381" t="inlineStr">
        <is>
          <t>y7tcd3</t>
        </is>
      </c>
      <c r="B381" t="inlineStr">
        <is>
          <t>Maysa Carvalho</t>
        </is>
      </c>
      <c r="C381" s="8" t="n">
        <v>0.7214</v>
      </c>
      <c r="D381" s="8" t="n">
        <v>0.4383</v>
      </c>
      <c r="E381" s="8" t="n">
        <v>0.7076</v>
      </c>
      <c r="F381" s="8" t="n">
        <v>0.1059</v>
      </c>
      <c r="G381" s="8" t="n">
        <v>0.2192</v>
      </c>
      <c r="H381" s="8" t="n">
        <v>0.481</v>
      </c>
      <c r="I381" s="8" t="n">
        <v>0.2392</v>
      </c>
      <c r="J381" s="8" t="n">
        <v>0.7492</v>
      </c>
      <c r="K381" s="8" t="n">
        <v>0.4814</v>
      </c>
      <c r="L381" s="9">
        <f>1-(1-Mecanismos!B2)*(1-C381)</f>
        <v/>
      </c>
      <c r="M381" s="9">
        <f>Mecanismos!B7*D381</f>
        <v/>
      </c>
      <c r="N381" s="9">
        <f>Mecanismos!B4*(1-E381)</f>
        <v/>
      </c>
      <c r="O381" s="9">
        <f>Mecanismos!B5*(1-F381)</f>
        <v/>
      </c>
      <c r="P381" s="9">
        <f>Mecanismos!B6*(1-I381)</f>
        <v/>
      </c>
      <c r="Q381" s="9">
        <f>Mecanismos!B9*(1-G381)</f>
        <v/>
      </c>
      <c r="R381" s="9">
        <f>Mecanismos!B9*(1-J381)</f>
        <v/>
      </c>
      <c r="S381" s="9">
        <f>Mecanismos!B8*H381</f>
        <v/>
      </c>
      <c r="T381" s="9">
        <f>Mecanismos!B10*H381</f>
        <v/>
      </c>
      <c r="U381" s="9">
        <f>Mecanismos!B8*K381</f>
        <v/>
      </c>
      <c r="V381" s="9">
        <f>Mecanismos!B3*D381</f>
        <v/>
      </c>
      <c r="W381" s="9">
        <f>Parametros!B2+Parametros!B4*(S381+T381+U381+V381)-Parametros!B3*(L381+M381+N381+O381+P381+Q381+R381)</f>
        <v/>
      </c>
      <c r="X381" s="10">
        <f>1/(1+EXP(-W381))</f>
        <v/>
      </c>
      <c r="Y381" s="11">
        <f>IF(Parametros!B6=1,0.15+0.85*(1/(1+EXP(-8*((1-N381)-0.45)))),1)</f>
        <v/>
      </c>
      <c r="Z381" s="11">
        <f>IF(Parametros!B7=1,MAX(0.05,1-L381^1.6),1)</f>
        <v/>
      </c>
      <c r="AA381" s="11">
        <f>IF(Parametros!B8=1,0.2+0.8*(1/(1+EXP(-9*(S381-0.25)))),1)</f>
        <v/>
      </c>
      <c r="AB381" s="10">
        <f>X381*Y381*Z381*AA381</f>
        <v/>
      </c>
    </row>
    <row r="382">
      <c r="A382" t="inlineStr">
        <is>
          <t>yojdwy</t>
        </is>
      </c>
      <c r="B382" t="inlineStr">
        <is>
          <t>Maysa Freitas</t>
        </is>
      </c>
      <c r="C382" s="8" t="n">
        <v>0.5875</v>
      </c>
      <c r="D382" s="8" t="n">
        <v>0.4387</v>
      </c>
      <c r="E382" s="8" t="n">
        <v>0.5663</v>
      </c>
      <c r="F382" s="8" t="n">
        <v>0.4548</v>
      </c>
      <c r="G382" s="8" t="n">
        <v>0.5752</v>
      </c>
      <c r="H382" s="8" t="n">
        <v>0.6375</v>
      </c>
      <c r="I382" s="8" t="n">
        <v>0.4302</v>
      </c>
      <c r="J382" s="8" t="n">
        <v>0.8179</v>
      </c>
      <c r="K382" s="8" t="n">
        <v>0.6299</v>
      </c>
      <c r="L382" s="9">
        <f>1-(1-Mecanismos!B2)*(1-C382)</f>
        <v/>
      </c>
      <c r="M382" s="9">
        <f>Mecanismos!B7*D382</f>
        <v/>
      </c>
      <c r="N382" s="9">
        <f>Mecanismos!B4*(1-E382)</f>
        <v/>
      </c>
      <c r="O382" s="9">
        <f>Mecanismos!B5*(1-F382)</f>
        <v/>
      </c>
      <c r="P382" s="9">
        <f>Mecanismos!B6*(1-I382)</f>
        <v/>
      </c>
      <c r="Q382" s="9">
        <f>Mecanismos!B9*(1-G382)</f>
        <v/>
      </c>
      <c r="R382" s="9">
        <f>Mecanismos!B9*(1-J382)</f>
        <v/>
      </c>
      <c r="S382" s="9">
        <f>Mecanismos!B8*H382</f>
        <v/>
      </c>
      <c r="T382" s="9">
        <f>Mecanismos!B10*H382</f>
        <v/>
      </c>
      <c r="U382" s="9">
        <f>Mecanismos!B8*K382</f>
        <v/>
      </c>
      <c r="V382" s="9">
        <f>Mecanismos!B3*D382</f>
        <v/>
      </c>
      <c r="W382" s="9">
        <f>Parametros!B2+Parametros!B4*(S382+T382+U382+V382)-Parametros!B3*(L382+M382+N382+O382+P382+Q382+R382)</f>
        <v/>
      </c>
      <c r="X382" s="10">
        <f>1/(1+EXP(-W382))</f>
        <v/>
      </c>
      <c r="Y382" s="11">
        <f>IF(Parametros!B6=1,0.15+0.85*(1/(1+EXP(-8*((1-N382)-0.45)))),1)</f>
        <v/>
      </c>
      <c r="Z382" s="11">
        <f>IF(Parametros!B7=1,MAX(0.05,1-L382^1.6),1)</f>
        <v/>
      </c>
      <c r="AA382" s="11">
        <f>IF(Parametros!B8=1,0.2+0.8*(1/(1+EXP(-9*(S382-0.25)))),1)</f>
        <v/>
      </c>
      <c r="AB382" s="10">
        <f>X382*Y382*Z382*AA382</f>
        <v/>
      </c>
    </row>
    <row r="383">
      <c r="A383" t="inlineStr">
        <is>
          <t>cu4ah7</t>
        </is>
      </c>
      <c r="B383" t="inlineStr">
        <is>
          <t>Maysa Lima</t>
        </is>
      </c>
      <c r="C383" s="8" t="n">
        <v>0.2513</v>
      </c>
      <c r="D383" s="8" t="n">
        <v>0.3852</v>
      </c>
      <c r="E383" s="8" t="n">
        <v>0.5576</v>
      </c>
      <c r="F383" s="8" t="n">
        <v>0.5905</v>
      </c>
      <c r="G383" s="8" t="n">
        <v>0.4252</v>
      </c>
      <c r="H383" s="8" t="n">
        <v>0.4486</v>
      </c>
      <c r="I383" s="8" t="n">
        <v>0.6985</v>
      </c>
      <c r="J383" s="8" t="n">
        <v>0.8233</v>
      </c>
      <c r="K383" s="8" t="n">
        <v>0.8605</v>
      </c>
      <c r="L383" s="9">
        <f>1-(1-Mecanismos!B2)*(1-C383)</f>
        <v/>
      </c>
      <c r="M383" s="9">
        <f>Mecanismos!B7*D383</f>
        <v/>
      </c>
      <c r="N383" s="9">
        <f>Mecanismos!B4*(1-E383)</f>
        <v/>
      </c>
      <c r="O383" s="9">
        <f>Mecanismos!B5*(1-F383)</f>
        <v/>
      </c>
      <c r="P383" s="9">
        <f>Mecanismos!B6*(1-I383)</f>
        <v/>
      </c>
      <c r="Q383" s="9">
        <f>Mecanismos!B9*(1-G383)</f>
        <v/>
      </c>
      <c r="R383" s="9">
        <f>Mecanismos!B9*(1-J383)</f>
        <v/>
      </c>
      <c r="S383" s="9">
        <f>Mecanismos!B8*H383</f>
        <v/>
      </c>
      <c r="T383" s="9">
        <f>Mecanismos!B10*H383</f>
        <v/>
      </c>
      <c r="U383" s="9">
        <f>Mecanismos!B8*K383</f>
        <v/>
      </c>
      <c r="V383" s="9">
        <f>Mecanismos!B3*D383</f>
        <v/>
      </c>
      <c r="W383" s="9">
        <f>Parametros!B2+Parametros!B4*(S383+T383+U383+V383)-Parametros!B3*(L383+M383+N383+O383+P383+Q383+R383)</f>
        <v/>
      </c>
      <c r="X383" s="10">
        <f>1/(1+EXP(-W383))</f>
        <v/>
      </c>
      <c r="Y383" s="11">
        <f>IF(Parametros!B6=1,0.15+0.85*(1/(1+EXP(-8*((1-N383)-0.45)))),1)</f>
        <v/>
      </c>
      <c r="Z383" s="11">
        <f>IF(Parametros!B7=1,MAX(0.05,1-L383^1.6),1)</f>
        <v/>
      </c>
      <c r="AA383" s="11">
        <f>IF(Parametros!B8=1,0.2+0.8*(1/(1+EXP(-9*(S383-0.25)))),1)</f>
        <v/>
      </c>
      <c r="AB383" s="10">
        <f>X383*Y383*Z383*AA383</f>
        <v/>
      </c>
    </row>
    <row r="384">
      <c r="A384" t="inlineStr">
        <is>
          <t>vbgw58</t>
        </is>
      </c>
      <c r="B384" t="inlineStr">
        <is>
          <t>Melissa Dias</t>
        </is>
      </c>
      <c r="C384" s="8" t="n">
        <v>0.7553</v>
      </c>
      <c r="D384" s="8" t="n">
        <v>0.3711</v>
      </c>
      <c r="E384" s="8" t="n">
        <v>0.6737</v>
      </c>
      <c r="F384" s="8" t="n">
        <v>0.2211</v>
      </c>
      <c r="G384" s="8" t="n">
        <v>0.4873</v>
      </c>
      <c r="H384" s="8" t="n">
        <v>0.6595</v>
      </c>
      <c r="I384" s="8" t="n">
        <v>0.604</v>
      </c>
      <c r="J384" s="8" t="n">
        <v>0.7139</v>
      </c>
      <c r="K384" s="8" t="n">
        <v>0.5432</v>
      </c>
      <c r="L384" s="9">
        <f>1-(1-Mecanismos!B2)*(1-C384)</f>
        <v/>
      </c>
      <c r="M384" s="9">
        <f>Mecanismos!B7*D384</f>
        <v/>
      </c>
      <c r="N384" s="9">
        <f>Mecanismos!B4*(1-E384)</f>
        <v/>
      </c>
      <c r="O384" s="9">
        <f>Mecanismos!B5*(1-F384)</f>
        <v/>
      </c>
      <c r="P384" s="9">
        <f>Mecanismos!B6*(1-I384)</f>
        <v/>
      </c>
      <c r="Q384" s="9">
        <f>Mecanismos!B9*(1-G384)</f>
        <v/>
      </c>
      <c r="R384" s="9">
        <f>Mecanismos!B9*(1-J384)</f>
        <v/>
      </c>
      <c r="S384" s="9">
        <f>Mecanismos!B8*H384</f>
        <v/>
      </c>
      <c r="T384" s="9">
        <f>Mecanismos!B10*H384</f>
        <v/>
      </c>
      <c r="U384" s="9">
        <f>Mecanismos!B8*K384</f>
        <v/>
      </c>
      <c r="V384" s="9">
        <f>Mecanismos!B3*D384</f>
        <v/>
      </c>
      <c r="W384" s="9">
        <f>Parametros!B2+Parametros!B4*(S384+T384+U384+V384)-Parametros!B3*(L384+M384+N384+O384+P384+Q384+R384)</f>
        <v/>
      </c>
      <c r="X384" s="10">
        <f>1/(1+EXP(-W384))</f>
        <v/>
      </c>
      <c r="Y384" s="11">
        <f>IF(Parametros!B6=1,0.15+0.85*(1/(1+EXP(-8*((1-N384)-0.45)))),1)</f>
        <v/>
      </c>
      <c r="Z384" s="11">
        <f>IF(Parametros!B7=1,MAX(0.05,1-L384^1.6),1)</f>
        <v/>
      </c>
      <c r="AA384" s="11">
        <f>IF(Parametros!B8=1,0.2+0.8*(1/(1+EXP(-9*(S384-0.25)))),1)</f>
        <v/>
      </c>
      <c r="AB384" s="10">
        <f>X384*Y384*Z384*AA384</f>
        <v/>
      </c>
    </row>
    <row r="385">
      <c r="A385" t="inlineStr">
        <is>
          <t>a2n36q</t>
        </is>
      </c>
      <c r="B385" t="inlineStr">
        <is>
          <t>Melissa Rios</t>
        </is>
      </c>
      <c r="C385" s="8" t="n">
        <v>0.5229</v>
      </c>
      <c r="D385" s="8" t="n">
        <v>0.3568</v>
      </c>
      <c r="E385" s="8" t="n">
        <v>0.5934</v>
      </c>
      <c r="F385" s="8" t="n">
        <v>0.5968</v>
      </c>
      <c r="G385" s="8" t="n">
        <v>0.2747</v>
      </c>
      <c r="H385" s="8" t="n">
        <v>0.4427</v>
      </c>
      <c r="I385" s="8" t="n">
        <v>0.1873</v>
      </c>
      <c r="J385" s="8" t="n">
        <v>0.704</v>
      </c>
      <c r="K385" s="8" t="n">
        <v>0.6336000000000001</v>
      </c>
      <c r="L385" s="9">
        <f>1-(1-Mecanismos!B2)*(1-C385)</f>
        <v/>
      </c>
      <c r="M385" s="9">
        <f>Mecanismos!B7*D385</f>
        <v/>
      </c>
      <c r="N385" s="9">
        <f>Mecanismos!B4*(1-E385)</f>
        <v/>
      </c>
      <c r="O385" s="9">
        <f>Mecanismos!B5*(1-F385)</f>
        <v/>
      </c>
      <c r="P385" s="9">
        <f>Mecanismos!B6*(1-I385)</f>
        <v/>
      </c>
      <c r="Q385" s="9">
        <f>Mecanismos!B9*(1-G385)</f>
        <v/>
      </c>
      <c r="R385" s="9">
        <f>Mecanismos!B9*(1-J385)</f>
        <v/>
      </c>
      <c r="S385" s="9">
        <f>Mecanismos!B8*H385</f>
        <v/>
      </c>
      <c r="T385" s="9">
        <f>Mecanismos!B10*H385</f>
        <v/>
      </c>
      <c r="U385" s="9">
        <f>Mecanismos!B8*K385</f>
        <v/>
      </c>
      <c r="V385" s="9">
        <f>Mecanismos!B3*D385</f>
        <v/>
      </c>
      <c r="W385" s="9">
        <f>Parametros!B2+Parametros!B4*(S385+T385+U385+V385)-Parametros!B3*(L385+M385+N385+O385+P385+Q385+R385)</f>
        <v/>
      </c>
      <c r="X385" s="10">
        <f>1/(1+EXP(-W385))</f>
        <v/>
      </c>
      <c r="Y385" s="11">
        <f>IF(Parametros!B6=1,0.15+0.85*(1/(1+EXP(-8*((1-N385)-0.45)))),1)</f>
        <v/>
      </c>
      <c r="Z385" s="11">
        <f>IF(Parametros!B7=1,MAX(0.05,1-L385^1.6),1)</f>
        <v/>
      </c>
      <c r="AA385" s="11">
        <f>IF(Parametros!B8=1,0.2+0.8*(1/(1+EXP(-9*(S385-0.25)))),1)</f>
        <v/>
      </c>
      <c r="AB385" s="10">
        <f>X385*Y385*Z385*AA385</f>
        <v/>
      </c>
    </row>
    <row r="386">
      <c r="A386" t="inlineStr">
        <is>
          <t>e3kwrn</t>
        </is>
      </c>
      <c r="B386" t="inlineStr">
        <is>
          <t>Melissa Vargas</t>
        </is>
      </c>
      <c r="C386" s="8" t="n">
        <v>0.7826</v>
      </c>
      <c r="D386" s="8" t="n">
        <v>0.5633</v>
      </c>
      <c r="E386" s="8" t="n">
        <v>0.6504</v>
      </c>
      <c r="F386" s="8" t="n">
        <v>0.4747</v>
      </c>
      <c r="G386" s="8" t="n">
        <v>0.5779</v>
      </c>
      <c r="H386" s="8" t="n">
        <v>0.6878</v>
      </c>
      <c r="I386" s="8" t="n">
        <v>0.4495</v>
      </c>
      <c r="J386" s="8" t="n">
        <v>0.7968</v>
      </c>
      <c r="K386" s="8" t="n">
        <v>0.768</v>
      </c>
      <c r="L386" s="9">
        <f>1-(1-Mecanismos!B2)*(1-C386)</f>
        <v/>
      </c>
      <c r="M386" s="9">
        <f>Mecanismos!B7*D386</f>
        <v/>
      </c>
      <c r="N386" s="9">
        <f>Mecanismos!B4*(1-E386)</f>
        <v/>
      </c>
      <c r="O386" s="9">
        <f>Mecanismos!B5*(1-F386)</f>
        <v/>
      </c>
      <c r="P386" s="9">
        <f>Mecanismos!B6*(1-I386)</f>
        <v/>
      </c>
      <c r="Q386" s="9">
        <f>Mecanismos!B9*(1-G386)</f>
        <v/>
      </c>
      <c r="R386" s="9">
        <f>Mecanismos!B9*(1-J386)</f>
        <v/>
      </c>
      <c r="S386" s="9">
        <f>Mecanismos!B8*H386</f>
        <v/>
      </c>
      <c r="T386" s="9">
        <f>Mecanismos!B10*H386</f>
        <v/>
      </c>
      <c r="U386" s="9">
        <f>Mecanismos!B8*K386</f>
        <v/>
      </c>
      <c r="V386" s="9">
        <f>Mecanismos!B3*D386</f>
        <v/>
      </c>
      <c r="W386" s="9">
        <f>Parametros!B2+Parametros!B4*(S386+T386+U386+V386)-Parametros!B3*(L386+M386+N386+O386+P386+Q386+R386)</f>
        <v/>
      </c>
      <c r="X386" s="10">
        <f>1/(1+EXP(-W386))</f>
        <v/>
      </c>
      <c r="Y386" s="11">
        <f>IF(Parametros!B6=1,0.15+0.85*(1/(1+EXP(-8*((1-N386)-0.45)))),1)</f>
        <v/>
      </c>
      <c r="Z386" s="11">
        <f>IF(Parametros!B7=1,MAX(0.05,1-L386^1.6),1)</f>
        <v/>
      </c>
      <c r="AA386" s="11">
        <f>IF(Parametros!B8=1,0.2+0.8*(1/(1+EXP(-9*(S386-0.25)))),1)</f>
        <v/>
      </c>
      <c r="AB386" s="10">
        <f>X386*Y386*Z386*AA386</f>
        <v/>
      </c>
    </row>
    <row r="387">
      <c r="A387" t="inlineStr">
        <is>
          <t>lmu3p9</t>
        </is>
      </c>
      <c r="B387" t="inlineStr">
        <is>
          <t>Melissa Vasconcelos</t>
        </is>
      </c>
      <c r="C387" s="8" t="n">
        <v>0.6284</v>
      </c>
      <c r="D387" s="8" t="n">
        <v>0.8091</v>
      </c>
      <c r="E387" s="8" t="n">
        <v>0.3531</v>
      </c>
      <c r="F387" s="8" t="n">
        <v>0.6142</v>
      </c>
      <c r="G387" s="8" t="n">
        <v>0.8213</v>
      </c>
      <c r="H387" s="8" t="n">
        <v>0.5621</v>
      </c>
      <c r="I387" s="8" t="n">
        <v>0.6931</v>
      </c>
      <c r="J387" s="8" t="n">
        <v>0.8635</v>
      </c>
      <c r="K387" s="8" t="n">
        <v>0.3818</v>
      </c>
      <c r="L387" s="9">
        <f>1-(1-Mecanismos!B2)*(1-C387)</f>
        <v/>
      </c>
      <c r="M387" s="9">
        <f>Mecanismos!B7*D387</f>
        <v/>
      </c>
      <c r="N387" s="9">
        <f>Mecanismos!B4*(1-E387)</f>
        <v/>
      </c>
      <c r="O387" s="9">
        <f>Mecanismos!B5*(1-F387)</f>
        <v/>
      </c>
      <c r="P387" s="9">
        <f>Mecanismos!B6*(1-I387)</f>
        <v/>
      </c>
      <c r="Q387" s="9">
        <f>Mecanismos!B9*(1-G387)</f>
        <v/>
      </c>
      <c r="R387" s="9">
        <f>Mecanismos!B9*(1-J387)</f>
        <v/>
      </c>
      <c r="S387" s="9">
        <f>Mecanismos!B8*H387</f>
        <v/>
      </c>
      <c r="T387" s="9">
        <f>Mecanismos!B10*H387</f>
        <v/>
      </c>
      <c r="U387" s="9">
        <f>Mecanismos!B8*K387</f>
        <v/>
      </c>
      <c r="V387" s="9">
        <f>Mecanismos!B3*D387</f>
        <v/>
      </c>
      <c r="W387" s="9">
        <f>Parametros!B2+Parametros!B4*(S387+T387+U387+V387)-Parametros!B3*(L387+M387+N387+O387+P387+Q387+R387)</f>
        <v/>
      </c>
      <c r="X387" s="10">
        <f>1/(1+EXP(-W387))</f>
        <v/>
      </c>
      <c r="Y387" s="11">
        <f>IF(Parametros!B6=1,0.15+0.85*(1/(1+EXP(-8*((1-N387)-0.45)))),1)</f>
        <v/>
      </c>
      <c r="Z387" s="11">
        <f>IF(Parametros!B7=1,MAX(0.05,1-L387^1.6),1)</f>
        <v/>
      </c>
      <c r="AA387" s="11">
        <f>IF(Parametros!B8=1,0.2+0.8*(1/(1+EXP(-9*(S387-0.25)))),1)</f>
        <v/>
      </c>
      <c r="AB387" s="10">
        <f>X387*Y387*Z387*AA387</f>
        <v/>
      </c>
    </row>
    <row r="388">
      <c r="A388" t="inlineStr">
        <is>
          <t>m30ngx</t>
        </is>
      </c>
      <c r="B388" t="inlineStr">
        <is>
          <t>Miguel Moreira</t>
        </is>
      </c>
      <c r="C388" s="8" t="n">
        <v>0.8004</v>
      </c>
      <c r="D388" s="8" t="n">
        <v>0.4565</v>
      </c>
      <c r="E388" s="8" t="n">
        <v>0.7272999999999999</v>
      </c>
      <c r="F388" s="8" t="n">
        <v>0.3651</v>
      </c>
      <c r="G388" s="8" t="n">
        <v>0.4936</v>
      </c>
      <c r="H388" s="8" t="n">
        <v>0.6206</v>
      </c>
      <c r="I388" s="8" t="n">
        <v>0.2717</v>
      </c>
      <c r="J388" s="8" t="n">
        <v>0.6235000000000001</v>
      </c>
      <c r="K388" s="8" t="n">
        <v>0.5276</v>
      </c>
      <c r="L388" s="9">
        <f>1-(1-Mecanismos!B2)*(1-C388)</f>
        <v/>
      </c>
      <c r="M388" s="9">
        <f>Mecanismos!B7*D388</f>
        <v/>
      </c>
      <c r="N388" s="9">
        <f>Mecanismos!B4*(1-E388)</f>
        <v/>
      </c>
      <c r="O388" s="9">
        <f>Mecanismos!B5*(1-F388)</f>
        <v/>
      </c>
      <c r="P388" s="9">
        <f>Mecanismos!B6*(1-I388)</f>
        <v/>
      </c>
      <c r="Q388" s="9">
        <f>Mecanismos!B9*(1-G388)</f>
        <v/>
      </c>
      <c r="R388" s="9">
        <f>Mecanismos!B9*(1-J388)</f>
        <v/>
      </c>
      <c r="S388" s="9">
        <f>Mecanismos!B8*H388</f>
        <v/>
      </c>
      <c r="T388" s="9">
        <f>Mecanismos!B10*H388</f>
        <v/>
      </c>
      <c r="U388" s="9">
        <f>Mecanismos!B8*K388</f>
        <v/>
      </c>
      <c r="V388" s="9">
        <f>Mecanismos!B3*D388</f>
        <v/>
      </c>
      <c r="W388" s="9">
        <f>Parametros!B2+Parametros!B4*(S388+T388+U388+V388)-Parametros!B3*(L388+M388+N388+O388+P388+Q388+R388)</f>
        <v/>
      </c>
      <c r="X388" s="10">
        <f>1/(1+EXP(-W388))</f>
        <v/>
      </c>
      <c r="Y388" s="11">
        <f>IF(Parametros!B6=1,0.15+0.85*(1/(1+EXP(-8*((1-N388)-0.45)))),1)</f>
        <v/>
      </c>
      <c r="Z388" s="11">
        <f>IF(Parametros!B7=1,MAX(0.05,1-L388^1.6),1)</f>
        <v/>
      </c>
      <c r="AA388" s="11">
        <f>IF(Parametros!B8=1,0.2+0.8*(1/(1+EXP(-9*(S388-0.25)))),1)</f>
        <v/>
      </c>
      <c r="AB388" s="10">
        <f>X388*Y388*Z388*AA388</f>
        <v/>
      </c>
    </row>
    <row r="389">
      <c r="A389" t="inlineStr">
        <is>
          <t>llfg1b</t>
        </is>
      </c>
      <c r="B389" t="inlineStr">
        <is>
          <t>Mirella Duarte</t>
        </is>
      </c>
      <c r="C389" s="8" t="n">
        <v>0.5536</v>
      </c>
      <c r="D389" s="8" t="n">
        <v>0.6114000000000001</v>
      </c>
      <c r="E389" s="8" t="n">
        <v>0.5854</v>
      </c>
      <c r="F389" s="8" t="n">
        <v>0.343</v>
      </c>
      <c r="G389" s="8" t="n">
        <v>0.5561</v>
      </c>
      <c r="H389" s="8" t="n">
        <v>0.6226</v>
      </c>
      <c r="I389" s="8" t="n">
        <v>0.7519</v>
      </c>
      <c r="J389" s="8" t="n">
        <v>0.8259</v>
      </c>
      <c r="K389" s="8" t="n">
        <v>0.454</v>
      </c>
      <c r="L389" s="9">
        <f>1-(1-Mecanismos!B2)*(1-C389)</f>
        <v/>
      </c>
      <c r="M389" s="9">
        <f>Mecanismos!B7*D389</f>
        <v/>
      </c>
      <c r="N389" s="9">
        <f>Mecanismos!B4*(1-E389)</f>
        <v/>
      </c>
      <c r="O389" s="9">
        <f>Mecanismos!B5*(1-F389)</f>
        <v/>
      </c>
      <c r="P389" s="9">
        <f>Mecanismos!B6*(1-I389)</f>
        <v/>
      </c>
      <c r="Q389" s="9">
        <f>Mecanismos!B9*(1-G389)</f>
        <v/>
      </c>
      <c r="R389" s="9">
        <f>Mecanismos!B9*(1-J389)</f>
        <v/>
      </c>
      <c r="S389" s="9">
        <f>Mecanismos!B8*H389</f>
        <v/>
      </c>
      <c r="T389" s="9">
        <f>Mecanismos!B10*H389</f>
        <v/>
      </c>
      <c r="U389" s="9">
        <f>Mecanismos!B8*K389</f>
        <v/>
      </c>
      <c r="V389" s="9">
        <f>Mecanismos!B3*D389</f>
        <v/>
      </c>
      <c r="W389" s="9">
        <f>Parametros!B2+Parametros!B4*(S389+T389+U389+V389)-Parametros!B3*(L389+M389+N389+O389+P389+Q389+R389)</f>
        <v/>
      </c>
      <c r="X389" s="10">
        <f>1/(1+EXP(-W389))</f>
        <v/>
      </c>
      <c r="Y389" s="11">
        <f>IF(Parametros!B6=1,0.15+0.85*(1/(1+EXP(-8*((1-N389)-0.45)))),1)</f>
        <v/>
      </c>
      <c r="Z389" s="11">
        <f>IF(Parametros!B7=1,MAX(0.05,1-L389^1.6),1)</f>
        <v/>
      </c>
      <c r="AA389" s="11">
        <f>IF(Parametros!B8=1,0.2+0.8*(1/(1+EXP(-9*(S389-0.25)))),1)</f>
        <v/>
      </c>
      <c r="AB389" s="10">
        <f>X389*Y389*Z389*AA389</f>
        <v/>
      </c>
    </row>
    <row r="390">
      <c r="A390" t="inlineStr">
        <is>
          <t>7wu4hm</t>
        </is>
      </c>
      <c r="B390" t="inlineStr">
        <is>
          <t>Mirella Jesus</t>
        </is>
      </c>
      <c r="C390" s="8" t="n">
        <v>0.5052</v>
      </c>
      <c r="D390" s="8" t="n">
        <v>0.3138</v>
      </c>
      <c r="E390" s="8" t="n">
        <v>0.7708</v>
      </c>
      <c r="F390" s="8" t="n">
        <v>0.4079</v>
      </c>
      <c r="G390" s="8" t="n">
        <v>0.5006</v>
      </c>
      <c r="H390" s="8" t="n">
        <v>0.7235</v>
      </c>
      <c r="I390" s="8" t="n">
        <v>0.2811</v>
      </c>
      <c r="J390" s="8" t="n">
        <v>0.7452</v>
      </c>
      <c r="K390" s="8" t="n">
        <v>0.3527</v>
      </c>
      <c r="L390" s="9">
        <f>1-(1-Mecanismos!B2)*(1-C390)</f>
        <v/>
      </c>
      <c r="M390" s="9">
        <f>Mecanismos!B7*D390</f>
        <v/>
      </c>
      <c r="N390" s="9">
        <f>Mecanismos!B4*(1-E390)</f>
        <v/>
      </c>
      <c r="O390" s="9">
        <f>Mecanismos!B5*(1-F390)</f>
        <v/>
      </c>
      <c r="P390" s="9">
        <f>Mecanismos!B6*(1-I390)</f>
        <v/>
      </c>
      <c r="Q390" s="9">
        <f>Mecanismos!B9*(1-G390)</f>
        <v/>
      </c>
      <c r="R390" s="9">
        <f>Mecanismos!B9*(1-J390)</f>
        <v/>
      </c>
      <c r="S390" s="9">
        <f>Mecanismos!B8*H390</f>
        <v/>
      </c>
      <c r="T390" s="9">
        <f>Mecanismos!B10*H390</f>
        <v/>
      </c>
      <c r="U390" s="9">
        <f>Mecanismos!B8*K390</f>
        <v/>
      </c>
      <c r="V390" s="9">
        <f>Mecanismos!B3*D390</f>
        <v/>
      </c>
      <c r="W390" s="9">
        <f>Parametros!B2+Parametros!B4*(S390+T390+U390+V390)-Parametros!B3*(L390+M390+N390+O390+P390+Q390+R390)</f>
        <v/>
      </c>
      <c r="X390" s="10">
        <f>1/(1+EXP(-W390))</f>
        <v/>
      </c>
      <c r="Y390" s="11">
        <f>IF(Parametros!B6=1,0.15+0.85*(1/(1+EXP(-8*((1-N390)-0.45)))),1)</f>
        <v/>
      </c>
      <c r="Z390" s="11">
        <f>IF(Parametros!B7=1,MAX(0.05,1-L390^1.6),1)</f>
        <v/>
      </c>
      <c r="AA390" s="11">
        <f>IF(Parametros!B8=1,0.2+0.8*(1/(1+EXP(-9*(S390-0.25)))),1)</f>
        <v/>
      </c>
      <c r="AB390" s="10">
        <f>X390*Y390*Z390*AA390</f>
        <v/>
      </c>
    </row>
    <row r="391">
      <c r="A391" t="inlineStr">
        <is>
          <t>jmux5i</t>
        </is>
      </c>
      <c r="B391" t="inlineStr">
        <is>
          <t>Mirella Nunes</t>
        </is>
      </c>
      <c r="C391" s="8" t="n">
        <v>0.4329</v>
      </c>
      <c r="D391" s="8" t="n">
        <v>0.6032999999999999</v>
      </c>
      <c r="E391" s="8" t="n">
        <v>0.4178</v>
      </c>
      <c r="F391" s="8" t="n">
        <v>0.2928</v>
      </c>
      <c r="G391" s="8" t="n">
        <v>0.3196</v>
      </c>
      <c r="H391" s="8" t="n">
        <v>0.6924</v>
      </c>
      <c r="I391" s="8" t="n">
        <v>0.4584</v>
      </c>
      <c r="J391" s="8" t="n">
        <v>0.8729</v>
      </c>
      <c r="K391" s="8" t="n">
        <v>0.217</v>
      </c>
      <c r="L391" s="9">
        <f>1-(1-Mecanismos!B2)*(1-C391)</f>
        <v/>
      </c>
      <c r="M391" s="9">
        <f>Mecanismos!B7*D391</f>
        <v/>
      </c>
      <c r="N391" s="9">
        <f>Mecanismos!B4*(1-E391)</f>
        <v/>
      </c>
      <c r="O391" s="9">
        <f>Mecanismos!B5*(1-F391)</f>
        <v/>
      </c>
      <c r="P391" s="9">
        <f>Mecanismos!B6*(1-I391)</f>
        <v/>
      </c>
      <c r="Q391" s="9">
        <f>Mecanismos!B9*(1-G391)</f>
        <v/>
      </c>
      <c r="R391" s="9">
        <f>Mecanismos!B9*(1-J391)</f>
        <v/>
      </c>
      <c r="S391" s="9">
        <f>Mecanismos!B8*H391</f>
        <v/>
      </c>
      <c r="T391" s="9">
        <f>Mecanismos!B10*H391</f>
        <v/>
      </c>
      <c r="U391" s="9">
        <f>Mecanismos!B8*K391</f>
        <v/>
      </c>
      <c r="V391" s="9">
        <f>Mecanismos!B3*D391</f>
        <v/>
      </c>
      <c r="W391" s="9">
        <f>Parametros!B2+Parametros!B4*(S391+T391+U391+V391)-Parametros!B3*(L391+M391+N391+O391+P391+Q391+R391)</f>
        <v/>
      </c>
      <c r="X391" s="10">
        <f>1/(1+EXP(-W391))</f>
        <v/>
      </c>
      <c r="Y391" s="11">
        <f>IF(Parametros!B6=1,0.15+0.85*(1/(1+EXP(-8*((1-N391)-0.45)))),1)</f>
        <v/>
      </c>
      <c r="Z391" s="11">
        <f>IF(Parametros!B7=1,MAX(0.05,1-L391^1.6),1)</f>
        <v/>
      </c>
      <c r="AA391" s="11">
        <f>IF(Parametros!B8=1,0.2+0.8*(1/(1+EXP(-9*(S391-0.25)))),1)</f>
        <v/>
      </c>
      <c r="AB391" s="10">
        <f>X391*Y391*Z391*AA391</f>
        <v/>
      </c>
    </row>
    <row r="392">
      <c r="A392" t="inlineStr">
        <is>
          <t>gakl6t</t>
        </is>
      </c>
      <c r="B392" t="inlineStr">
        <is>
          <t>Nathan Almeida</t>
        </is>
      </c>
      <c r="C392" s="8" t="n">
        <v>0.618</v>
      </c>
      <c r="D392" s="8" t="n">
        <v>0.5451</v>
      </c>
      <c r="E392" s="8" t="n">
        <v>0.8361</v>
      </c>
      <c r="F392" s="8" t="n">
        <v>0.5199</v>
      </c>
      <c r="G392" s="8" t="n">
        <v>0.7254</v>
      </c>
      <c r="H392" s="8" t="n">
        <v>0.6322</v>
      </c>
      <c r="I392" s="8" t="n">
        <v>0.4046</v>
      </c>
      <c r="J392" s="8" t="n">
        <v>0.8487</v>
      </c>
      <c r="K392" s="8" t="n">
        <v>0.4964</v>
      </c>
      <c r="L392" s="9">
        <f>1-(1-Mecanismos!B2)*(1-C392)</f>
        <v/>
      </c>
      <c r="M392" s="9">
        <f>Mecanismos!B7*D392</f>
        <v/>
      </c>
      <c r="N392" s="9">
        <f>Mecanismos!B4*(1-E392)</f>
        <v/>
      </c>
      <c r="O392" s="9">
        <f>Mecanismos!B5*(1-F392)</f>
        <v/>
      </c>
      <c r="P392" s="9">
        <f>Mecanismos!B6*(1-I392)</f>
        <v/>
      </c>
      <c r="Q392" s="9">
        <f>Mecanismos!B9*(1-G392)</f>
        <v/>
      </c>
      <c r="R392" s="9">
        <f>Mecanismos!B9*(1-J392)</f>
        <v/>
      </c>
      <c r="S392" s="9">
        <f>Mecanismos!B8*H392</f>
        <v/>
      </c>
      <c r="T392" s="9">
        <f>Mecanismos!B10*H392</f>
        <v/>
      </c>
      <c r="U392" s="9">
        <f>Mecanismos!B8*K392</f>
        <v/>
      </c>
      <c r="V392" s="9">
        <f>Mecanismos!B3*D392</f>
        <v/>
      </c>
      <c r="W392" s="9">
        <f>Parametros!B2+Parametros!B4*(S392+T392+U392+V392)-Parametros!B3*(L392+M392+N392+O392+P392+Q392+R392)</f>
        <v/>
      </c>
      <c r="X392" s="10">
        <f>1/(1+EXP(-W392))</f>
        <v/>
      </c>
      <c r="Y392" s="11">
        <f>IF(Parametros!B6=1,0.15+0.85*(1/(1+EXP(-8*((1-N392)-0.45)))),1)</f>
        <v/>
      </c>
      <c r="Z392" s="11">
        <f>IF(Parametros!B7=1,MAX(0.05,1-L392^1.6),1)</f>
        <v/>
      </c>
      <c r="AA392" s="11">
        <f>IF(Parametros!B8=1,0.2+0.8*(1/(1+EXP(-9*(S392-0.25)))),1)</f>
        <v/>
      </c>
      <c r="AB392" s="10">
        <f>X392*Y392*Z392*AA392</f>
        <v/>
      </c>
    </row>
    <row r="393">
      <c r="A393" t="inlineStr">
        <is>
          <t>6x4kgh</t>
        </is>
      </c>
      <c r="B393" t="inlineStr">
        <is>
          <t>Nathan Cavalcanti</t>
        </is>
      </c>
      <c r="C393" s="8" t="n">
        <v>0.8087</v>
      </c>
      <c r="D393" s="8" t="n">
        <v>0.3749</v>
      </c>
      <c r="E393" s="8" t="n">
        <v>0.4464</v>
      </c>
      <c r="F393" s="8" t="n">
        <v>0.6299</v>
      </c>
      <c r="G393" s="8" t="n">
        <v>0.5255</v>
      </c>
      <c r="H393" s="8" t="n">
        <v>0.6385</v>
      </c>
      <c r="I393" s="8" t="n">
        <v>0.4692</v>
      </c>
      <c r="J393" s="8" t="n">
        <v>0.63</v>
      </c>
      <c r="K393" s="8" t="n">
        <v>0.7573</v>
      </c>
      <c r="L393" s="9">
        <f>1-(1-Mecanismos!B2)*(1-C393)</f>
        <v/>
      </c>
      <c r="M393" s="9">
        <f>Mecanismos!B7*D393</f>
        <v/>
      </c>
      <c r="N393" s="9">
        <f>Mecanismos!B4*(1-E393)</f>
        <v/>
      </c>
      <c r="O393" s="9">
        <f>Mecanismos!B5*(1-F393)</f>
        <v/>
      </c>
      <c r="P393" s="9">
        <f>Mecanismos!B6*(1-I393)</f>
        <v/>
      </c>
      <c r="Q393" s="9">
        <f>Mecanismos!B9*(1-G393)</f>
        <v/>
      </c>
      <c r="R393" s="9">
        <f>Mecanismos!B9*(1-J393)</f>
        <v/>
      </c>
      <c r="S393" s="9">
        <f>Mecanismos!B8*H393</f>
        <v/>
      </c>
      <c r="T393" s="9">
        <f>Mecanismos!B10*H393</f>
        <v/>
      </c>
      <c r="U393" s="9">
        <f>Mecanismos!B8*K393</f>
        <v/>
      </c>
      <c r="V393" s="9">
        <f>Mecanismos!B3*D393</f>
        <v/>
      </c>
      <c r="W393" s="9">
        <f>Parametros!B2+Parametros!B4*(S393+T393+U393+V393)-Parametros!B3*(L393+M393+N393+O393+P393+Q393+R393)</f>
        <v/>
      </c>
      <c r="X393" s="10">
        <f>1/(1+EXP(-W393))</f>
        <v/>
      </c>
      <c r="Y393" s="11">
        <f>IF(Parametros!B6=1,0.15+0.85*(1/(1+EXP(-8*((1-N393)-0.45)))),1)</f>
        <v/>
      </c>
      <c r="Z393" s="11">
        <f>IF(Parametros!B7=1,MAX(0.05,1-L393^1.6),1)</f>
        <v/>
      </c>
      <c r="AA393" s="11">
        <f>IF(Parametros!B8=1,0.2+0.8*(1/(1+EXP(-9*(S393-0.25)))),1)</f>
        <v/>
      </c>
      <c r="AB393" s="10">
        <f>X393*Y393*Z393*AA393</f>
        <v/>
      </c>
    </row>
    <row r="394">
      <c r="A394" t="inlineStr">
        <is>
          <t>tryw9i</t>
        </is>
      </c>
      <c r="B394" t="inlineStr">
        <is>
          <t>Nathan Guerra</t>
        </is>
      </c>
      <c r="C394" s="8" t="n">
        <v>0.634</v>
      </c>
      <c r="D394" s="8" t="n">
        <v>0.4214</v>
      </c>
      <c r="E394" s="8" t="n">
        <v>0.6647999999999999</v>
      </c>
      <c r="F394" s="8" t="n">
        <v>0.4505</v>
      </c>
      <c r="G394" s="8" t="n">
        <v>0.3641</v>
      </c>
      <c r="H394" s="8" t="n">
        <v>0.7108</v>
      </c>
      <c r="I394" s="8" t="n">
        <v>0.4226</v>
      </c>
      <c r="J394" s="8" t="n">
        <v>0.783</v>
      </c>
      <c r="K394" s="8" t="n">
        <v>0.6969</v>
      </c>
      <c r="L394" s="9">
        <f>1-(1-Mecanismos!B2)*(1-C394)</f>
        <v/>
      </c>
      <c r="M394" s="9">
        <f>Mecanismos!B7*D394</f>
        <v/>
      </c>
      <c r="N394" s="9">
        <f>Mecanismos!B4*(1-E394)</f>
        <v/>
      </c>
      <c r="O394" s="9">
        <f>Mecanismos!B5*(1-F394)</f>
        <v/>
      </c>
      <c r="P394" s="9">
        <f>Mecanismos!B6*(1-I394)</f>
        <v/>
      </c>
      <c r="Q394" s="9">
        <f>Mecanismos!B9*(1-G394)</f>
        <v/>
      </c>
      <c r="R394" s="9">
        <f>Mecanismos!B9*(1-J394)</f>
        <v/>
      </c>
      <c r="S394" s="9">
        <f>Mecanismos!B8*H394</f>
        <v/>
      </c>
      <c r="T394" s="9">
        <f>Mecanismos!B10*H394</f>
        <v/>
      </c>
      <c r="U394" s="9">
        <f>Mecanismos!B8*K394</f>
        <v/>
      </c>
      <c r="V394" s="9">
        <f>Mecanismos!B3*D394</f>
        <v/>
      </c>
      <c r="W394" s="9">
        <f>Parametros!B2+Parametros!B4*(S394+T394+U394+V394)-Parametros!B3*(L394+M394+N394+O394+P394+Q394+R394)</f>
        <v/>
      </c>
      <c r="X394" s="10">
        <f>1/(1+EXP(-W394))</f>
        <v/>
      </c>
      <c r="Y394" s="11">
        <f>IF(Parametros!B6=1,0.15+0.85*(1/(1+EXP(-8*((1-N394)-0.45)))),1)</f>
        <v/>
      </c>
      <c r="Z394" s="11">
        <f>IF(Parametros!B7=1,MAX(0.05,1-L394^1.6),1)</f>
        <v/>
      </c>
      <c r="AA394" s="11">
        <f>IF(Parametros!B8=1,0.2+0.8*(1/(1+EXP(-9*(S394-0.25)))),1)</f>
        <v/>
      </c>
      <c r="AB394" s="10">
        <f>X394*Y394*Z394*AA394</f>
        <v/>
      </c>
    </row>
    <row r="395">
      <c r="A395" t="inlineStr">
        <is>
          <t>6pshms</t>
        </is>
      </c>
      <c r="B395" t="inlineStr">
        <is>
          <t>Natália Cassiano</t>
        </is>
      </c>
      <c r="C395" s="8" t="n">
        <v>0.6304999999999999</v>
      </c>
      <c r="D395" s="8" t="n">
        <v>0.3427</v>
      </c>
      <c r="E395" s="8" t="n">
        <v>0.3778</v>
      </c>
      <c r="F395" s="8" t="n">
        <v>0.6656</v>
      </c>
      <c r="G395" s="8" t="n">
        <v>0.6904</v>
      </c>
      <c r="H395" s="8" t="n">
        <v>0.6492</v>
      </c>
      <c r="I395" s="8" t="n">
        <v>0.5635</v>
      </c>
      <c r="J395" s="8" t="n">
        <v>0.8516</v>
      </c>
      <c r="K395" s="8" t="n">
        <v>0.3039</v>
      </c>
      <c r="L395" s="9">
        <f>1-(1-Mecanismos!B2)*(1-C395)</f>
        <v/>
      </c>
      <c r="M395" s="9">
        <f>Mecanismos!B7*D395</f>
        <v/>
      </c>
      <c r="N395" s="9">
        <f>Mecanismos!B4*(1-E395)</f>
        <v/>
      </c>
      <c r="O395" s="9">
        <f>Mecanismos!B5*(1-F395)</f>
        <v/>
      </c>
      <c r="P395" s="9">
        <f>Mecanismos!B6*(1-I395)</f>
        <v/>
      </c>
      <c r="Q395" s="9">
        <f>Mecanismos!B9*(1-G395)</f>
        <v/>
      </c>
      <c r="R395" s="9">
        <f>Mecanismos!B9*(1-J395)</f>
        <v/>
      </c>
      <c r="S395" s="9">
        <f>Mecanismos!B8*H395</f>
        <v/>
      </c>
      <c r="T395" s="9">
        <f>Mecanismos!B10*H395</f>
        <v/>
      </c>
      <c r="U395" s="9">
        <f>Mecanismos!B8*K395</f>
        <v/>
      </c>
      <c r="V395" s="9">
        <f>Mecanismos!B3*D395</f>
        <v/>
      </c>
      <c r="W395" s="9">
        <f>Parametros!B2+Parametros!B4*(S395+T395+U395+V395)-Parametros!B3*(L395+M395+N395+O395+P395+Q395+R395)</f>
        <v/>
      </c>
      <c r="X395" s="10">
        <f>1/(1+EXP(-W395))</f>
        <v/>
      </c>
      <c r="Y395" s="11">
        <f>IF(Parametros!B6=1,0.15+0.85*(1/(1+EXP(-8*((1-N395)-0.45)))),1)</f>
        <v/>
      </c>
      <c r="Z395" s="11">
        <f>IF(Parametros!B7=1,MAX(0.05,1-L395^1.6),1)</f>
        <v/>
      </c>
      <c r="AA395" s="11">
        <f>IF(Parametros!B8=1,0.2+0.8*(1/(1+EXP(-9*(S395-0.25)))),1)</f>
        <v/>
      </c>
      <c r="AB395" s="10">
        <f>X395*Y395*Z395*AA395</f>
        <v/>
      </c>
    </row>
    <row r="396">
      <c r="A396" t="inlineStr">
        <is>
          <t>k0i6yz</t>
        </is>
      </c>
      <c r="B396" t="inlineStr">
        <is>
          <t>Natália da Cruz</t>
        </is>
      </c>
      <c r="C396" s="8" t="n">
        <v>0.7229</v>
      </c>
      <c r="D396" s="8" t="n">
        <v>0.6276</v>
      </c>
      <c r="E396" s="8" t="n">
        <v>0.5474</v>
      </c>
      <c r="F396" s="8" t="n">
        <v>0.4699</v>
      </c>
      <c r="G396" s="8" t="n">
        <v>0.3399</v>
      </c>
      <c r="H396" s="8" t="n">
        <v>0.6206</v>
      </c>
      <c r="I396" s="8" t="n">
        <v>0.5193</v>
      </c>
      <c r="J396" s="8" t="n">
        <v>0.6979</v>
      </c>
      <c r="K396" s="8" t="n">
        <v>0.6784</v>
      </c>
      <c r="L396" s="9">
        <f>1-(1-Mecanismos!B2)*(1-C396)</f>
        <v/>
      </c>
      <c r="M396" s="9">
        <f>Mecanismos!B7*D396</f>
        <v/>
      </c>
      <c r="N396" s="9">
        <f>Mecanismos!B4*(1-E396)</f>
        <v/>
      </c>
      <c r="O396" s="9">
        <f>Mecanismos!B5*(1-F396)</f>
        <v/>
      </c>
      <c r="P396" s="9">
        <f>Mecanismos!B6*(1-I396)</f>
        <v/>
      </c>
      <c r="Q396" s="9">
        <f>Mecanismos!B9*(1-G396)</f>
        <v/>
      </c>
      <c r="R396" s="9">
        <f>Mecanismos!B9*(1-J396)</f>
        <v/>
      </c>
      <c r="S396" s="9">
        <f>Mecanismos!B8*H396</f>
        <v/>
      </c>
      <c r="T396" s="9">
        <f>Mecanismos!B10*H396</f>
        <v/>
      </c>
      <c r="U396" s="9">
        <f>Mecanismos!B8*K396</f>
        <v/>
      </c>
      <c r="V396" s="9">
        <f>Mecanismos!B3*D396</f>
        <v/>
      </c>
      <c r="W396" s="9">
        <f>Parametros!B2+Parametros!B4*(S396+T396+U396+V396)-Parametros!B3*(L396+M396+N396+O396+P396+Q396+R396)</f>
        <v/>
      </c>
      <c r="X396" s="10">
        <f>1/(1+EXP(-W396))</f>
        <v/>
      </c>
      <c r="Y396" s="11">
        <f>IF(Parametros!B6=1,0.15+0.85*(1/(1+EXP(-8*((1-N396)-0.45)))),1)</f>
        <v/>
      </c>
      <c r="Z396" s="11">
        <f>IF(Parametros!B7=1,MAX(0.05,1-L396^1.6),1)</f>
        <v/>
      </c>
      <c r="AA396" s="11">
        <f>IF(Parametros!B8=1,0.2+0.8*(1/(1+EXP(-9*(S396-0.25)))),1)</f>
        <v/>
      </c>
      <c r="AB396" s="10">
        <f>X396*Y396*Z396*AA396</f>
        <v/>
      </c>
    </row>
    <row r="397">
      <c r="A397" t="inlineStr">
        <is>
          <t>sejtwi</t>
        </is>
      </c>
      <c r="B397" t="inlineStr">
        <is>
          <t>Nicolas Campos</t>
        </is>
      </c>
      <c r="C397" s="8" t="n">
        <v>0.6401</v>
      </c>
      <c r="D397" s="8" t="n">
        <v>0.4029</v>
      </c>
      <c r="E397" s="8" t="n">
        <v>0.4345</v>
      </c>
      <c r="F397" s="8" t="n">
        <v>0.5981</v>
      </c>
      <c r="G397" s="8" t="n">
        <v>0.7556</v>
      </c>
      <c r="H397" s="8" t="n">
        <v>0.5619</v>
      </c>
      <c r="I397" s="8" t="n">
        <v>0.4555</v>
      </c>
      <c r="J397" s="8" t="n">
        <v>0.8326</v>
      </c>
      <c r="K397" s="8" t="n">
        <v>0.8202</v>
      </c>
      <c r="L397" s="9">
        <f>1-(1-Mecanismos!B2)*(1-C397)</f>
        <v/>
      </c>
      <c r="M397" s="9">
        <f>Mecanismos!B7*D397</f>
        <v/>
      </c>
      <c r="N397" s="9">
        <f>Mecanismos!B4*(1-E397)</f>
        <v/>
      </c>
      <c r="O397" s="9">
        <f>Mecanismos!B5*(1-F397)</f>
        <v/>
      </c>
      <c r="P397" s="9">
        <f>Mecanismos!B6*(1-I397)</f>
        <v/>
      </c>
      <c r="Q397" s="9">
        <f>Mecanismos!B9*(1-G397)</f>
        <v/>
      </c>
      <c r="R397" s="9">
        <f>Mecanismos!B9*(1-J397)</f>
        <v/>
      </c>
      <c r="S397" s="9">
        <f>Mecanismos!B8*H397</f>
        <v/>
      </c>
      <c r="T397" s="9">
        <f>Mecanismos!B10*H397</f>
        <v/>
      </c>
      <c r="U397" s="9">
        <f>Mecanismos!B8*K397</f>
        <v/>
      </c>
      <c r="V397" s="9">
        <f>Mecanismos!B3*D397</f>
        <v/>
      </c>
      <c r="W397" s="9">
        <f>Parametros!B2+Parametros!B4*(S397+T397+U397+V397)-Parametros!B3*(L397+M397+N397+O397+P397+Q397+R397)</f>
        <v/>
      </c>
      <c r="X397" s="10">
        <f>1/(1+EXP(-W397))</f>
        <v/>
      </c>
      <c r="Y397" s="11">
        <f>IF(Parametros!B6=1,0.15+0.85*(1/(1+EXP(-8*((1-N397)-0.45)))),1)</f>
        <v/>
      </c>
      <c r="Z397" s="11">
        <f>IF(Parametros!B7=1,MAX(0.05,1-L397^1.6),1)</f>
        <v/>
      </c>
      <c r="AA397" s="11">
        <f>IF(Parametros!B8=1,0.2+0.8*(1/(1+EXP(-9*(S397-0.25)))),1)</f>
        <v/>
      </c>
      <c r="AB397" s="10">
        <f>X397*Y397*Z397*AA397</f>
        <v/>
      </c>
    </row>
    <row r="398">
      <c r="A398" t="inlineStr">
        <is>
          <t>uq4qio</t>
        </is>
      </c>
      <c r="B398" t="inlineStr">
        <is>
          <t>Nicolas Costela</t>
        </is>
      </c>
      <c r="C398" s="8" t="n">
        <v>0.5966</v>
      </c>
      <c r="D398" s="8" t="n">
        <v>0.55</v>
      </c>
      <c r="E398" s="8" t="n">
        <v>0.4347</v>
      </c>
      <c r="F398" s="8" t="n">
        <v>0.7448</v>
      </c>
      <c r="G398" s="8" t="n">
        <v>0.5031</v>
      </c>
      <c r="H398" s="8" t="n">
        <v>0.4646</v>
      </c>
      <c r="I398" s="8" t="n">
        <v>0.8221000000000001</v>
      </c>
      <c r="J398" s="8" t="n">
        <v>0.76</v>
      </c>
      <c r="K398" s="8" t="n">
        <v>0.8195</v>
      </c>
      <c r="L398" s="9">
        <f>1-(1-Mecanismos!B2)*(1-C398)</f>
        <v/>
      </c>
      <c r="M398" s="9">
        <f>Mecanismos!B7*D398</f>
        <v/>
      </c>
      <c r="N398" s="9">
        <f>Mecanismos!B4*(1-E398)</f>
        <v/>
      </c>
      <c r="O398" s="9">
        <f>Mecanismos!B5*(1-F398)</f>
        <v/>
      </c>
      <c r="P398" s="9">
        <f>Mecanismos!B6*(1-I398)</f>
        <v/>
      </c>
      <c r="Q398" s="9">
        <f>Mecanismos!B9*(1-G398)</f>
        <v/>
      </c>
      <c r="R398" s="9">
        <f>Mecanismos!B9*(1-J398)</f>
        <v/>
      </c>
      <c r="S398" s="9">
        <f>Mecanismos!B8*H398</f>
        <v/>
      </c>
      <c r="T398" s="9">
        <f>Mecanismos!B10*H398</f>
        <v/>
      </c>
      <c r="U398" s="9">
        <f>Mecanismos!B8*K398</f>
        <v/>
      </c>
      <c r="V398" s="9">
        <f>Mecanismos!B3*D398</f>
        <v/>
      </c>
      <c r="W398" s="9">
        <f>Parametros!B2+Parametros!B4*(S398+T398+U398+V398)-Parametros!B3*(L398+M398+N398+O398+P398+Q398+R398)</f>
        <v/>
      </c>
      <c r="X398" s="10">
        <f>1/(1+EXP(-W398))</f>
        <v/>
      </c>
      <c r="Y398" s="11">
        <f>IF(Parametros!B6=1,0.15+0.85*(1/(1+EXP(-8*((1-N398)-0.45)))),1)</f>
        <v/>
      </c>
      <c r="Z398" s="11">
        <f>IF(Parametros!B7=1,MAX(0.05,1-L398^1.6),1)</f>
        <v/>
      </c>
      <c r="AA398" s="11">
        <f>IF(Parametros!B8=1,0.2+0.8*(1/(1+EXP(-9*(S398-0.25)))),1)</f>
        <v/>
      </c>
      <c r="AB398" s="10">
        <f>X398*Y398*Z398*AA398</f>
        <v/>
      </c>
    </row>
    <row r="399">
      <c r="A399" t="inlineStr">
        <is>
          <t>xwilp7</t>
        </is>
      </c>
      <c r="B399" t="inlineStr">
        <is>
          <t>Nicolas Pires</t>
        </is>
      </c>
      <c r="C399" s="8" t="n">
        <v>0.4727</v>
      </c>
      <c r="D399" s="8" t="n">
        <v>0.7297</v>
      </c>
      <c r="E399" s="8" t="n">
        <v>0.4347</v>
      </c>
      <c r="F399" s="8" t="n">
        <v>0.3364</v>
      </c>
      <c r="G399" s="8" t="n">
        <v>0.5394</v>
      </c>
      <c r="H399" s="8" t="n">
        <v>0.6918</v>
      </c>
      <c r="I399" s="8" t="n">
        <v>0.7154</v>
      </c>
      <c r="J399" s="8" t="n">
        <v>0.5974</v>
      </c>
      <c r="K399" s="8" t="n">
        <v>0.3864</v>
      </c>
      <c r="L399" s="9">
        <f>1-(1-Mecanismos!B2)*(1-C399)</f>
        <v/>
      </c>
      <c r="M399" s="9">
        <f>Mecanismos!B7*D399</f>
        <v/>
      </c>
      <c r="N399" s="9">
        <f>Mecanismos!B4*(1-E399)</f>
        <v/>
      </c>
      <c r="O399" s="9">
        <f>Mecanismos!B5*(1-F399)</f>
        <v/>
      </c>
      <c r="P399" s="9">
        <f>Mecanismos!B6*(1-I399)</f>
        <v/>
      </c>
      <c r="Q399" s="9">
        <f>Mecanismos!B9*(1-G399)</f>
        <v/>
      </c>
      <c r="R399" s="9">
        <f>Mecanismos!B9*(1-J399)</f>
        <v/>
      </c>
      <c r="S399" s="9">
        <f>Mecanismos!B8*H399</f>
        <v/>
      </c>
      <c r="T399" s="9">
        <f>Mecanismos!B10*H399</f>
        <v/>
      </c>
      <c r="U399" s="9">
        <f>Mecanismos!B8*K399</f>
        <v/>
      </c>
      <c r="V399" s="9">
        <f>Mecanismos!B3*D399</f>
        <v/>
      </c>
      <c r="W399" s="9">
        <f>Parametros!B2+Parametros!B4*(S399+T399+U399+V399)-Parametros!B3*(L399+M399+N399+O399+P399+Q399+R399)</f>
        <v/>
      </c>
      <c r="X399" s="10">
        <f>1/(1+EXP(-W399))</f>
        <v/>
      </c>
      <c r="Y399" s="11">
        <f>IF(Parametros!B6=1,0.15+0.85*(1/(1+EXP(-8*((1-N399)-0.45)))),1)</f>
        <v/>
      </c>
      <c r="Z399" s="11">
        <f>IF(Parametros!B7=1,MAX(0.05,1-L399^1.6),1)</f>
        <v/>
      </c>
      <c r="AA399" s="11">
        <f>IF(Parametros!B8=1,0.2+0.8*(1/(1+EXP(-9*(S399-0.25)))),1)</f>
        <v/>
      </c>
      <c r="AB399" s="10">
        <f>X399*Y399*Z399*AA399</f>
        <v/>
      </c>
    </row>
    <row r="400">
      <c r="A400" t="inlineStr">
        <is>
          <t>89cv6d</t>
        </is>
      </c>
      <c r="B400" t="inlineStr">
        <is>
          <t>Nicole Mendes</t>
        </is>
      </c>
      <c r="C400" s="8" t="n">
        <v>0.6332</v>
      </c>
      <c r="D400" s="8" t="n">
        <v>0.6753</v>
      </c>
      <c r="E400" s="8" t="n">
        <v>0.3537</v>
      </c>
      <c r="F400" s="8" t="n">
        <v>0.39</v>
      </c>
      <c r="G400" s="8" t="n">
        <v>0.5358000000000001</v>
      </c>
      <c r="H400" s="8" t="n">
        <v>0.6072</v>
      </c>
      <c r="I400" s="8" t="n">
        <v>0.4348</v>
      </c>
      <c r="J400" s="8" t="n">
        <v>0.8433</v>
      </c>
      <c r="K400" s="8" t="n">
        <v>0.4975</v>
      </c>
      <c r="L400" s="9">
        <f>1-(1-Mecanismos!B2)*(1-C400)</f>
        <v/>
      </c>
      <c r="M400" s="9">
        <f>Mecanismos!B7*D400</f>
        <v/>
      </c>
      <c r="N400" s="9">
        <f>Mecanismos!B4*(1-E400)</f>
        <v/>
      </c>
      <c r="O400" s="9">
        <f>Mecanismos!B5*(1-F400)</f>
        <v/>
      </c>
      <c r="P400" s="9">
        <f>Mecanismos!B6*(1-I400)</f>
        <v/>
      </c>
      <c r="Q400" s="9">
        <f>Mecanismos!B9*(1-G400)</f>
        <v/>
      </c>
      <c r="R400" s="9">
        <f>Mecanismos!B9*(1-J400)</f>
        <v/>
      </c>
      <c r="S400" s="9">
        <f>Mecanismos!B8*H400</f>
        <v/>
      </c>
      <c r="T400" s="9">
        <f>Mecanismos!B10*H400</f>
        <v/>
      </c>
      <c r="U400" s="9">
        <f>Mecanismos!B8*K400</f>
        <v/>
      </c>
      <c r="V400" s="9">
        <f>Mecanismos!B3*D400</f>
        <v/>
      </c>
      <c r="W400" s="9">
        <f>Parametros!B2+Parametros!B4*(S400+T400+U400+V400)-Parametros!B3*(L400+M400+N400+O400+P400+Q400+R400)</f>
        <v/>
      </c>
      <c r="X400" s="10">
        <f>1/(1+EXP(-W400))</f>
        <v/>
      </c>
      <c r="Y400" s="11">
        <f>IF(Parametros!B6=1,0.15+0.85*(1/(1+EXP(-8*((1-N400)-0.45)))),1)</f>
        <v/>
      </c>
      <c r="Z400" s="11">
        <f>IF(Parametros!B7=1,MAX(0.05,1-L400^1.6),1)</f>
        <v/>
      </c>
      <c r="AA400" s="11">
        <f>IF(Parametros!B8=1,0.2+0.8*(1/(1+EXP(-9*(S400-0.25)))),1)</f>
        <v/>
      </c>
      <c r="AB400" s="10">
        <f>X400*Y400*Z400*AA400</f>
        <v/>
      </c>
    </row>
    <row r="401">
      <c r="A401" t="inlineStr">
        <is>
          <t>geg62w</t>
        </is>
      </c>
      <c r="B401" t="inlineStr">
        <is>
          <t>Oliver Rezende</t>
        </is>
      </c>
      <c r="C401" s="8" t="n">
        <v>0.617</v>
      </c>
      <c r="D401" s="8" t="n">
        <v>0.5274</v>
      </c>
      <c r="E401" s="8" t="n">
        <v>0.7564</v>
      </c>
      <c r="F401" s="8" t="n">
        <v>0.6277</v>
      </c>
      <c r="G401" s="8" t="n">
        <v>0.5441</v>
      </c>
      <c r="H401" s="8" t="n">
        <v>0.7371</v>
      </c>
      <c r="I401" s="8" t="n">
        <v>0.5281</v>
      </c>
      <c r="J401" s="8" t="n">
        <v>0.8238</v>
      </c>
      <c r="K401" s="8" t="n">
        <v>0.2677</v>
      </c>
      <c r="L401" s="9">
        <f>1-(1-Mecanismos!B2)*(1-C401)</f>
        <v/>
      </c>
      <c r="M401" s="9">
        <f>Mecanismos!B7*D401</f>
        <v/>
      </c>
      <c r="N401" s="9">
        <f>Mecanismos!B4*(1-E401)</f>
        <v/>
      </c>
      <c r="O401" s="9">
        <f>Mecanismos!B5*(1-F401)</f>
        <v/>
      </c>
      <c r="P401" s="9">
        <f>Mecanismos!B6*(1-I401)</f>
        <v/>
      </c>
      <c r="Q401" s="9">
        <f>Mecanismos!B9*(1-G401)</f>
        <v/>
      </c>
      <c r="R401" s="9">
        <f>Mecanismos!B9*(1-J401)</f>
        <v/>
      </c>
      <c r="S401" s="9">
        <f>Mecanismos!B8*H401</f>
        <v/>
      </c>
      <c r="T401" s="9">
        <f>Mecanismos!B10*H401</f>
        <v/>
      </c>
      <c r="U401" s="9">
        <f>Mecanismos!B8*K401</f>
        <v/>
      </c>
      <c r="V401" s="9">
        <f>Mecanismos!B3*D401</f>
        <v/>
      </c>
      <c r="W401" s="9">
        <f>Parametros!B2+Parametros!B4*(S401+T401+U401+V401)-Parametros!B3*(L401+M401+N401+O401+P401+Q401+R401)</f>
        <v/>
      </c>
      <c r="X401" s="10">
        <f>1/(1+EXP(-W401))</f>
        <v/>
      </c>
      <c r="Y401" s="11">
        <f>IF(Parametros!B6=1,0.15+0.85*(1/(1+EXP(-8*((1-N401)-0.45)))),1)</f>
        <v/>
      </c>
      <c r="Z401" s="11">
        <f>IF(Parametros!B7=1,MAX(0.05,1-L401^1.6),1)</f>
        <v/>
      </c>
      <c r="AA401" s="11">
        <f>IF(Parametros!B8=1,0.2+0.8*(1/(1+EXP(-9*(S401-0.25)))),1)</f>
        <v/>
      </c>
      <c r="AB401" s="10">
        <f>X401*Y401*Z401*AA401</f>
        <v/>
      </c>
    </row>
    <row r="402">
      <c r="A402" t="inlineStr">
        <is>
          <t>lcdzn4</t>
        </is>
      </c>
      <c r="B402" t="inlineStr">
        <is>
          <t>Olivia Monteiro</t>
        </is>
      </c>
      <c r="C402" s="8" t="n">
        <v>0.5615</v>
      </c>
      <c r="D402" s="8" t="n">
        <v>0.3412</v>
      </c>
      <c r="E402" s="8" t="n">
        <v>0.6546</v>
      </c>
      <c r="F402" s="8" t="n">
        <v>0.4907</v>
      </c>
      <c r="G402" s="8" t="n">
        <v>0.3028</v>
      </c>
      <c r="H402" s="8" t="n">
        <v>0.4563</v>
      </c>
      <c r="I402" s="8" t="n">
        <v>0.4712</v>
      </c>
      <c r="J402" s="8" t="n">
        <v>0.5456</v>
      </c>
      <c r="K402" s="8" t="n">
        <v>0.8915</v>
      </c>
      <c r="L402" s="9">
        <f>1-(1-Mecanismos!B2)*(1-C402)</f>
        <v/>
      </c>
      <c r="M402" s="9">
        <f>Mecanismos!B7*D402</f>
        <v/>
      </c>
      <c r="N402" s="9">
        <f>Mecanismos!B4*(1-E402)</f>
        <v/>
      </c>
      <c r="O402" s="9">
        <f>Mecanismos!B5*(1-F402)</f>
        <v/>
      </c>
      <c r="P402" s="9">
        <f>Mecanismos!B6*(1-I402)</f>
        <v/>
      </c>
      <c r="Q402" s="9">
        <f>Mecanismos!B9*(1-G402)</f>
        <v/>
      </c>
      <c r="R402" s="9">
        <f>Mecanismos!B9*(1-J402)</f>
        <v/>
      </c>
      <c r="S402" s="9">
        <f>Mecanismos!B8*H402</f>
        <v/>
      </c>
      <c r="T402" s="9">
        <f>Mecanismos!B10*H402</f>
        <v/>
      </c>
      <c r="U402" s="9">
        <f>Mecanismos!B8*K402</f>
        <v/>
      </c>
      <c r="V402" s="9">
        <f>Mecanismos!B3*D402</f>
        <v/>
      </c>
      <c r="W402" s="9">
        <f>Parametros!B2+Parametros!B4*(S402+T402+U402+V402)-Parametros!B3*(L402+M402+N402+O402+P402+Q402+R402)</f>
        <v/>
      </c>
      <c r="X402" s="10">
        <f>1/(1+EXP(-W402))</f>
        <v/>
      </c>
      <c r="Y402" s="11">
        <f>IF(Parametros!B6=1,0.15+0.85*(1/(1+EXP(-8*((1-N402)-0.45)))),1)</f>
        <v/>
      </c>
      <c r="Z402" s="11">
        <f>IF(Parametros!B7=1,MAX(0.05,1-L402^1.6),1)</f>
        <v/>
      </c>
      <c r="AA402" s="11">
        <f>IF(Parametros!B8=1,0.2+0.8*(1/(1+EXP(-9*(S402-0.25)))),1)</f>
        <v/>
      </c>
      <c r="AB402" s="10">
        <f>X402*Y402*Z402*AA402</f>
        <v/>
      </c>
    </row>
    <row r="403">
      <c r="A403" t="inlineStr">
        <is>
          <t>ewvapj</t>
        </is>
      </c>
      <c r="B403" t="inlineStr">
        <is>
          <t>Olívia Costa</t>
        </is>
      </c>
      <c r="C403" s="8" t="n">
        <v>0.6104000000000001</v>
      </c>
      <c r="D403" s="8" t="n">
        <v>0.4438</v>
      </c>
      <c r="E403" s="8" t="n">
        <v>0.5837</v>
      </c>
      <c r="F403" s="8" t="n">
        <v>0.7151999999999999</v>
      </c>
      <c r="G403" s="8" t="n">
        <v>0.5282</v>
      </c>
      <c r="H403" s="8" t="n">
        <v>0.3766</v>
      </c>
      <c r="I403" s="8" t="n">
        <v>0.3786</v>
      </c>
      <c r="J403" s="8" t="n">
        <v>0.9377</v>
      </c>
      <c r="K403" s="8" t="n">
        <v>0.5243</v>
      </c>
      <c r="L403" s="9">
        <f>1-(1-Mecanismos!B2)*(1-C403)</f>
        <v/>
      </c>
      <c r="M403" s="9">
        <f>Mecanismos!B7*D403</f>
        <v/>
      </c>
      <c r="N403" s="9">
        <f>Mecanismos!B4*(1-E403)</f>
        <v/>
      </c>
      <c r="O403" s="9">
        <f>Mecanismos!B5*(1-F403)</f>
        <v/>
      </c>
      <c r="P403" s="9">
        <f>Mecanismos!B6*(1-I403)</f>
        <v/>
      </c>
      <c r="Q403" s="9">
        <f>Mecanismos!B9*(1-G403)</f>
        <v/>
      </c>
      <c r="R403" s="9">
        <f>Mecanismos!B9*(1-J403)</f>
        <v/>
      </c>
      <c r="S403" s="9">
        <f>Mecanismos!B8*H403</f>
        <v/>
      </c>
      <c r="T403" s="9">
        <f>Mecanismos!B10*H403</f>
        <v/>
      </c>
      <c r="U403" s="9">
        <f>Mecanismos!B8*K403</f>
        <v/>
      </c>
      <c r="V403" s="9">
        <f>Mecanismos!B3*D403</f>
        <v/>
      </c>
      <c r="W403" s="9">
        <f>Parametros!B2+Parametros!B4*(S403+T403+U403+V403)-Parametros!B3*(L403+M403+N403+O403+P403+Q403+R403)</f>
        <v/>
      </c>
      <c r="X403" s="10">
        <f>1/(1+EXP(-W403))</f>
        <v/>
      </c>
      <c r="Y403" s="11">
        <f>IF(Parametros!B6=1,0.15+0.85*(1/(1+EXP(-8*((1-N403)-0.45)))),1)</f>
        <v/>
      </c>
      <c r="Z403" s="11">
        <f>IF(Parametros!B7=1,MAX(0.05,1-L403^1.6),1)</f>
        <v/>
      </c>
      <c r="AA403" s="11">
        <f>IF(Parametros!B8=1,0.2+0.8*(1/(1+EXP(-9*(S403-0.25)))),1)</f>
        <v/>
      </c>
      <c r="AB403" s="10">
        <f>X403*Y403*Z403*AA403</f>
        <v/>
      </c>
    </row>
    <row r="404">
      <c r="A404" t="inlineStr">
        <is>
          <t>1tymby</t>
        </is>
      </c>
      <c r="B404" t="inlineStr">
        <is>
          <t>Olívia Montenegro</t>
        </is>
      </c>
      <c r="C404" s="8" t="n">
        <v>0.6188</v>
      </c>
      <c r="D404" s="8" t="n">
        <v>0.5883</v>
      </c>
      <c r="E404" s="8" t="n">
        <v>0.7443</v>
      </c>
      <c r="F404" s="8" t="n">
        <v>0.486</v>
      </c>
      <c r="G404" s="8" t="n">
        <v>0.4474</v>
      </c>
      <c r="H404" s="8" t="n">
        <v>0.4904</v>
      </c>
      <c r="I404" s="8" t="n">
        <v>0.5862000000000001</v>
      </c>
      <c r="J404" s="8" t="n">
        <v>0.6153999999999999</v>
      </c>
      <c r="K404" s="8" t="n">
        <v>0.2308</v>
      </c>
      <c r="L404" s="9">
        <f>1-(1-Mecanismos!B2)*(1-C404)</f>
        <v/>
      </c>
      <c r="M404" s="9">
        <f>Mecanismos!B7*D404</f>
        <v/>
      </c>
      <c r="N404" s="9">
        <f>Mecanismos!B4*(1-E404)</f>
        <v/>
      </c>
      <c r="O404" s="9">
        <f>Mecanismos!B5*(1-F404)</f>
        <v/>
      </c>
      <c r="P404" s="9">
        <f>Mecanismos!B6*(1-I404)</f>
        <v/>
      </c>
      <c r="Q404" s="9">
        <f>Mecanismos!B9*(1-G404)</f>
        <v/>
      </c>
      <c r="R404" s="9">
        <f>Mecanismos!B9*(1-J404)</f>
        <v/>
      </c>
      <c r="S404" s="9">
        <f>Mecanismos!B8*H404</f>
        <v/>
      </c>
      <c r="T404" s="9">
        <f>Mecanismos!B10*H404</f>
        <v/>
      </c>
      <c r="U404" s="9">
        <f>Mecanismos!B8*K404</f>
        <v/>
      </c>
      <c r="V404" s="9">
        <f>Mecanismos!B3*D404</f>
        <v/>
      </c>
      <c r="W404" s="9">
        <f>Parametros!B2+Parametros!B4*(S404+T404+U404+V404)-Parametros!B3*(L404+M404+N404+O404+P404+Q404+R404)</f>
        <v/>
      </c>
      <c r="X404" s="10">
        <f>1/(1+EXP(-W404))</f>
        <v/>
      </c>
      <c r="Y404" s="11">
        <f>IF(Parametros!B6=1,0.15+0.85*(1/(1+EXP(-8*((1-N404)-0.45)))),1)</f>
        <v/>
      </c>
      <c r="Z404" s="11">
        <f>IF(Parametros!B7=1,MAX(0.05,1-L404^1.6),1)</f>
        <v/>
      </c>
      <c r="AA404" s="11">
        <f>IF(Parametros!B8=1,0.2+0.8*(1/(1+EXP(-9*(S404-0.25)))),1)</f>
        <v/>
      </c>
      <c r="AB404" s="10">
        <f>X404*Y404*Z404*AA404</f>
        <v/>
      </c>
    </row>
    <row r="405">
      <c r="A405" t="inlineStr">
        <is>
          <t>ow5vzh</t>
        </is>
      </c>
      <c r="B405" t="inlineStr">
        <is>
          <t>Olívia Vargas</t>
        </is>
      </c>
      <c r="C405" s="8" t="n">
        <v>0.8354</v>
      </c>
      <c r="D405" s="8" t="n">
        <v>0.3456</v>
      </c>
      <c r="E405" s="8" t="n">
        <v>0.7858000000000001</v>
      </c>
      <c r="F405" s="8" t="n">
        <v>0.4936</v>
      </c>
      <c r="G405" s="8" t="n">
        <v>0.3452</v>
      </c>
      <c r="H405" s="8" t="n">
        <v>0.5938</v>
      </c>
      <c r="I405" s="8" t="n">
        <v>0.3847</v>
      </c>
      <c r="J405" s="8" t="n">
        <v>0.4695</v>
      </c>
      <c r="K405" s="8" t="n">
        <v>0.7971</v>
      </c>
      <c r="L405" s="9">
        <f>1-(1-Mecanismos!B2)*(1-C405)</f>
        <v/>
      </c>
      <c r="M405" s="9">
        <f>Mecanismos!B7*D405</f>
        <v/>
      </c>
      <c r="N405" s="9">
        <f>Mecanismos!B4*(1-E405)</f>
        <v/>
      </c>
      <c r="O405" s="9">
        <f>Mecanismos!B5*(1-F405)</f>
        <v/>
      </c>
      <c r="P405" s="9">
        <f>Mecanismos!B6*(1-I405)</f>
        <v/>
      </c>
      <c r="Q405" s="9">
        <f>Mecanismos!B9*(1-G405)</f>
        <v/>
      </c>
      <c r="R405" s="9">
        <f>Mecanismos!B9*(1-J405)</f>
        <v/>
      </c>
      <c r="S405" s="9">
        <f>Mecanismos!B8*H405</f>
        <v/>
      </c>
      <c r="T405" s="9">
        <f>Mecanismos!B10*H405</f>
        <v/>
      </c>
      <c r="U405" s="9">
        <f>Mecanismos!B8*K405</f>
        <v/>
      </c>
      <c r="V405" s="9">
        <f>Mecanismos!B3*D405</f>
        <v/>
      </c>
      <c r="W405" s="9">
        <f>Parametros!B2+Parametros!B4*(S405+T405+U405+V405)-Parametros!B3*(L405+M405+N405+O405+P405+Q405+R405)</f>
        <v/>
      </c>
      <c r="X405" s="10">
        <f>1/(1+EXP(-W405))</f>
        <v/>
      </c>
      <c r="Y405" s="11">
        <f>IF(Parametros!B6=1,0.15+0.85*(1/(1+EXP(-8*((1-N405)-0.45)))),1)</f>
        <v/>
      </c>
      <c r="Z405" s="11">
        <f>IF(Parametros!B7=1,MAX(0.05,1-L405^1.6),1)</f>
        <v/>
      </c>
      <c r="AA405" s="11">
        <f>IF(Parametros!B8=1,0.2+0.8*(1/(1+EXP(-9*(S405-0.25)))),1)</f>
        <v/>
      </c>
      <c r="AB405" s="10">
        <f>X405*Y405*Z405*AA405</f>
        <v/>
      </c>
    </row>
    <row r="406">
      <c r="A406" t="inlineStr">
        <is>
          <t>qfu3bw</t>
        </is>
      </c>
      <c r="B406" t="inlineStr">
        <is>
          <t>Otávio Alves</t>
        </is>
      </c>
      <c r="C406" s="8" t="n">
        <v>0.7456</v>
      </c>
      <c r="D406" s="8" t="n">
        <v>0.4612</v>
      </c>
      <c r="E406" s="8" t="n">
        <v>0.5585</v>
      </c>
      <c r="F406" s="8" t="n">
        <v>0.6544</v>
      </c>
      <c r="G406" s="8" t="n">
        <v>0.5386</v>
      </c>
      <c r="H406" s="8" t="n">
        <v>0.5056</v>
      </c>
      <c r="I406" s="8" t="n">
        <v>0.7559</v>
      </c>
      <c r="J406" s="8" t="n">
        <v>0.8529</v>
      </c>
      <c r="K406" s="8" t="n">
        <v>0.2994</v>
      </c>
      <c r="L406" s="9">
        <f>1-(1-Mecanismos!B2)*(1-C406)</f>
        <v/>
      </c>
      <c r="M406" s="9">
        <f>Mecanismos!B7*D406</f>
        <v/>
      </c>
      <c r="N406" s="9">
        <f>Mecanismos!B4*(1-E406)</f>
        <v/>
      </c>
      <c r="O406" s="9">
        <f>Mecanismos!B5*(1-F406)</f>
        <v/>
      </c>
      <c r="P406" s="9">
        <f>Mecanismos!B6*(1-I406)</f>
        <v/>
      </c>
      <c r="Q406" s="9">
        <f>Mecanismos!B9*(1-G406)</f>
        <v/>
      </c>
      <c r="R406" s="9">
        <f>Mecanismos!B9*(1-J406)</f>
        <v/>
      </c>
      <c r="S406" s="9">
        <f>Mecanismos!B8*H406</f>
        <v/>
      </c>
      <c r="T406" s="9">
        <f>Mecanismos!B10*H406</f>
        <v/>
      </c>
      <c r="U406" s="9">
        <f>Mecanismos!B8*K406</f>
        <v/>
      </c>
      <c r="V406" s="9">
        <f>Mecanismos!B3*D406</f>
        <v/>
      </c>
      <c r="W406" s="9">
        <f>Parametros!B2+Parametros!B4*(S406+T406+U406+V406)-Parametros!B3*(L406+M406+N406+O406+P406+Q406+R406)</f>
        <v/>
      </c>
      <c r="X406" s="10">
        <f>1/(1+EXP(-W406))</f>
        <v/>
      </c>
      <c r="Y406" s="11">
        <f>IF(Parametros!B6=1,0.15+0.85*(1/(1+EXP(-8*((1-N406)-0.45)))),1)</f>
        <v/>
      </c>
      <c r="Z406" s="11">
        <f>IF(Parametros!B7=1,MAX(0.05,1-L406^1.6),1)</f>
        <v/>
      </c>
      <c r="AA406" s="11">
        <f>IF(Parametros!B8=1,0.2+0.8*(1/(1+EXP(-9*(S406-0.25)))),1)</f>
        <v/>
      </c>
      <c r="AB406" s="10">
        <f>X406*Y406*Z406*AA406</f>
        <v/>
      </c>
    </row>
    <row r="407">
      <c r="A407" t="inlineStr">
        <is>
          <t>7l6ocv</t>
        </is>
      </c>
      <c r="B407" t="inlineStr">
        <is>
          <t>Otávio Azevedo</t>
        </is>
      </c>
      <c r="C407" s="8" t="n">
        <v>0.6663</v>
      </c>
      <c r="D407" s="8" t="n">
        <v>0.2827</v>
      </c>
      <c r="E407" s="8" t="n">
        <v>0.5452</v>
      </c>
      <c r="F407" s="8" t="n">
        <v>0.2836</v>
      </c>
      <c r="G407" s="8" t="n">
        <v>0.6344</v>
      </c>
      <c r="H407" s="8" t="n">
        <v>0.7399</v>
      </c>
      <c r="I407" s="8" t="n">
        <v>0.503</v>
      </c>
      <c r="J407" s="8" t="n">
        <v>0.7226</v>
      </c>
      <c r="K407" s="8" t="n">
        <v>0.465</v>
      </c>
      <c r="L407" s="9">
        <f>1-(1-Mecanismos!B2)*(1-C407)</f>
        <v/>
      </c>
      <c r="M407" s="9">
        <f>Mecanismos!B7*D407</f>
        <v/>
      </c>
      <c r="N407" s="9">
        <f>Mecanismos!B4*(1-E407)</f>
        <v/>
      </c>
      <c r="O407" s="9">
        <f>Mecanismos!B5*(1-F407)</f>
        <v/>
      </c>
      <c r="P407" s="9">
        <f>Mecanismos!B6*(1-I407)</f>
        <v/>
      </c>
      <c r="Q407" s="9">
        <f>Mecanismos!B9*(1-G407)</f>
        <v/>
      </c>
      <c r="R407" s="9">
        <f>Mecanismos!B9*(1-J407)</f>
        <v/>
      </c>
      <c r="S407" s="9">
        <f>Mecanismos!B8*H407</f>
        <v/>
      </c>
      <c r="T407" s="9">
        <f>Mecanismos!B10*H407</f>
        <v/>
      </c>
      <c r="U407" s="9">
        <f>Mecanismos!B8*K407</f>
        <v/>
      </c>
      <c r="V407" s="9">
        <f>Mecanismos!B3*D407</f>
        <v/>
      </c>
      <c r="W407" s="9">
        <f>Parametros!B2+Parametros!B4*(S407+T407+U407+V407)-Parametros!B3*(L407+M407+N407+O407+P407+Q407+R407)</f>
        <v/>
      </c>
      <c r="X407" s="10">
        <f>1/(1+EXP(-W407))</f>
        <v/>
      </c>
      <c r="Y407" s="11">
        <f>IF(Parametros!B6=1,0.15+0.85*(1/(1+EXP(-8*((1-N407)-0.45)))),1)</f>
        <v/>
      </c>
      <c r="Z407" s="11">
        <f>IF(Parametros!B7=1,MAX(0.05,1-L407^1.6),1)</f>
        <v/>
      </c>
      <c r="AA407" s="11">
        <f>IF(Parametros!B8=1,0.2+0.8*(1/(1+EXP(-9*(S407-0.25)))),1)</f>
        <v/>
      </c>
      <c r="AB407" s="10">
        <f>X407*Y407*Z407*AA407</f>
        <v/>
      </c>
    </row>
    <row r="408">
      <c r="A408" t="inlineStr">
        <is>
          <t>5pgrns</t>
        </is>
      </c>
      <c r="B408" t="inlineStr">
        <is>
          <t>Otávio Freitas</t>
        </is>
      </c>
      <c r="C408" s="8" t="n">
        <v>0.4881</v>
      </c>
      <c r="D408" s="8" t="n">
        <v>0.9185</v>
      </c>
      <c r="E408" s="8" t="n">
        <v>0.5338000000000001</v>
      </c>
      <c r="F408" s="8" t="n">
        <v>0.8187</v>
      </c>
      <c r="G408" s="8" t="n">
        <v>0.534</v>
      </c>
      <c r="H408" s="8" t="n">
        <v>0.5717</v>
      </c>
      <c r="I408" s="8" t="n">
        <v>0.6558</v>
      </c>
      <c r="J408" s="8" t="n">
        <v>0.9611</v>
      </c>
      <c r="K408" s="8" t="n">
        <v>0.3732</v>
      </c>
      <c r="L408" s="9">
        <f>1-(1-Mecanismos!B2)*(1-C408)</f>
        <v/>
      </c>
      <c r="M408" s="9">
        <f>Mecanismos!B7*D408</f>
        <v/>
      </c>
      <c r="N408" s="9">
        <f>Mecanismos!B4*(1-E408)</f>
        <v/>
      </c>
      <c r="O408" s="9">
        <f>Mecanismos!B5*(1-F408)</f>
        <v/>
      </c>
      <c r="P408" s="9">
        <f>Mecanismos!B6*(1-I408)</f>
        <v/>
      </c>
      <c r="Q408" s="9">
        <f>Mecanismos!B9*(1-G408)</f>
        <v/>
      </c>
      <c r="R408" s="9">
        <f>Mecanismos!B9*(1-J408)</f>
        <v/>
      </c>
      <c r="S408" s="9">
        <f>Mecanismos!B8*H408</f>
        <v/>
      </c>
      <c r="T408" s="9">
        <f>Mecanismos!B10*H408</f>
        <v/>
      </c>
      <c r="U408" s="9">
        <f>Mecanismos!B8*K408</f>
        <v/>
      </c>
      <c r="V408" s="9">
        <f>Mecanismos!B3*D408</f>
        <v/>
      </c>
      <c r="W408" s="9">
        <f>Parametros!B2+Parametros!B4*(S408+T408+U408+V408)-Parametros!B3*(L408+M408+N408+O408+P408+Q408+R408)</f>
        <v/>
      </c>
      <c r="X408" s="10">
        <f>1/(1+EXP(-W408))</f>
        <v/>
      </c>
      <c r="Y408" s="11">
        <f>IF(Parametros!B6=1,0.15+0.85*(1/(1+EXP(-8*((1-N408)-0.45)))),1)</f>
        <v/>
      </c>
      <c r="Z408" s="11">
        <f>IF(Parametros!B7=1,MAX(0.05,1-L408^1.6),1)</f>
        <v/>
      </c>
      <c r="AA408" s="11">
        <f>IF(Parametros!B8=1,0.2+0.8*(1/(1+EXP(-9*(S408-0.25)))),1)</f>
        <v/>
      </c>
      <c r="AB408" s="10">
        <f>X408*Y408*Z408*AA408</f>
        <v/>
      </c>
    </row>
    <row r="409">
      <c r="A409" t="inlineStr">
        <is>
          <t>t4lfgb</t>
        </is>
      </c>
      <c r="B409" t="inlineStr">
        <is>
          <t>Paulo Andrade</t>
        </is>
      </c>
      <c r="C409" s="8" t="n">
        <v>0.4166</v>
      </c>
      <c r="D409" s="8" t="n">
        <v>0.5988</v>
      </c>
      <c r="E409" s="8" t="n">
        <v>0.5256</v>
      </c>
      <c r="F409" s="8" t="n">
        <v>0.6896</v>
      </c>
      <c r="G409" s="8" t="n">
        <v>0.6405</v>
      </c>
      <c r="H409" s="8" t="n">
        <v>0.5770999999999999</v>
      </c>
      <c r="I409" s="8" t="n">
        <v>0.6472</v>
      </c>
      <c r="J409" s="8" t="n">
        <v>0.74</v>
      </c>
      <c r="K409" s="8" t="n">
        <v>0.3851</v>
      </c>
      <c r="L409" s="9">
        <f>1-(1-Mecanismos!B2)*(1-C409)</f>
        <v/>
      </c>
      <c r="M409" s="9">
        <f>Mecanismos!B7*D409</f>
        <v/>
      </c>
      <c r="N409" s="9">
        <f>Mecanismos!B4*(1-E409)</f>
        <v/>
      </c>
      <c r="O409" s="9">
        <f>Mecanismos!B5*(1-F409)</f>
        <v/>
      </c>
      <c r="P409" s="9">
        <f>Mecanismos!B6*(1-I409)</f>
        <v/>
      </c>
      <c r="Q409" s="9">
        <f>Mecanismos!B9*(1-G409)</f>
        <v/>
      </c>
      <c r="R409" s="9">
        <f>Mecanismos!B9*(1-J409)</f>
        <v/>
      </c>
      <c r="S409" s="9">
        <f>Mecanismos!B8*H409</f>
        <v/>
      </c>
      <c r="T409" s="9">
        <f>Mecanismos!B10*H409</f>
        <v/>
      </c>
      <c r="U409" s="9">
        <f>Mecanismos!B8*K409</f>
        <v/>
      </c>
      <c r="V409" s="9">
        <f>Mecanismos!B3*D409</f>
        <v/>
      </c>
      <c r="W409" s="9">
        <f>Parametros!B2+Parametros!B4*(S409+T409+U409+V409)-Parametros!B3*(L409+M409+N409+O409+P409+Q409+R409)</f>
        <v/>
      </c>
      <c r="X409" s="10">
        <f>1/(1+EXP(-W409))</f>
        <v/>
      </c>
      <c r="Y409" s="11">
        <f>IF(Parametros!B6=1,0.15+0.85*(1/(1+EXP(-8*((1-N409)-0.45)))),1)</f>
        <v/>
      </c>
      <c r="Z409" s="11">
        <f>IF(Parametros!B7=1,MAX(0.05,1-L409^1.6),1)</f>
        <v/>
      </c>
      <c r="AA409" s="11">
        <f>IF(Parametros!B8=1,0.2+0.8*(1/(1+EXP(-9*(S409-0.25)))),1)</f>
        <v/>
      </c>
      <c r="AB409" s="10">
        <f>X409*Y409*Z409*AA409</f>
        <v/>
      </c>
    </row>
    <row r="410">
      <c r="A410" t="inlineStr">
        <is>
          <t>bsd70a</t>
        </is>
      </c>
      <c r="B410" t="inlineStr">
        <is>
          <t>Paulo Castro</t>
        </is>
      </c>
      <c r="C410" s="8" t="n">
        <v>0.5495</v>
      </c>
      <c r="D410" s="8" t="n">
        <v>0.6314</v>
      </c>
      <c r="E410" s="8" t="n">
        <v>0.4299</v>
      </c>
      <c r="F410" s="8" t="n">
        <v>0.2594</v>
      </c>
      <c r="G410" s="8" t="n">
        <v>0.409</v>
      </c>
      <c r="H410" s="8" t="n">
        <v>0.7398</v>
      </c>
      <c r="I410" s="8" t="n">
        <v>0.325</v>
      </c>
      <c r="J410" s="8" t="n">
        <v>0.7183</v>
      </c>
      <c r="K410" s="8" t="n">
        <v>0.4931</v>
      </c>
      <c r="L410" s="9">
        <f>1-(1-Mecanismos!B2)*(1-C410)</f>
        <v/>
      </c>
      <c r="M410" s="9">
        <f>Mecanismos!B7*D410</f>
        <v/>
      </c>
      <c r="N410" s="9">
        <f>Mecanismos!B4*(1-E410)</f>
        <v/>
      </c>
      <c r="O410" s="9">
        <f>Mecanismos!B5*(1-F410)</f>
        <v/>
      </c>
      <c r="P410" s="9">
        <f>Mecanismos!B6*(1-I410)</f>
        <v/>
      </c>
      <c r="Q410" s="9">
        <f>Mecanismos!B9*(1-G410)</f>
        <v/>
      </c>
      <c r="R410" s="9">
        <f>Mecanismos!B9*(1-J410)</f>
        <v/>
      </c>
      <c r="S410" s="9">
        <f>Mecanismos!B8*H410</f>
        <v/>
      </c>
      <c r="T410" s="9">
        <f>Mecanismos!B10*H410</f>
        <v/>
      </c>
      <c r="U410" s="9">
        <f>Mecanismos!B8*K410</f>
        <v/>
      </c>
      <c r="V410" s="9">
        <f>Mecanismos!B3*D410</f>
        <v/>
      </c>
      <c r="W410" s="9">
        <f>Parametros!B2+Parametros!B4*(S410+T410+U410+V410)-Parametros!B3*(L410+M410+N410+O410+P410+Q410+R410)</f>
        <v/>
      </c>
      <c r="X410" s="10">
        <f>1/(1+EXP(-W410))</f>
        <v/>
      </c>
      <c r="Y410" s="11">
        <f>IF(Parametros!B6=1,0.15+0.85*(1/(1+EXP(-8*((1-N410)-0.45)))),1)</f>
        <v/>
      </c>
      <c r="Z410" s="11">
        <f>IF(Parametros!B7=1,MAX(0.05,1-L410^1.6),1)</f>
        <v/>
      </c>
      <c r="AA410" s="11">
        <f>IF(Parametros!B8=1,0.2+0.8*(1/(1+EXP(-9*(S410-0.25)))),1)</f>
        <v/>
      </c>
      <c r="AB410" s="10">
        <f>X410*Y410*Z410*AA410</f>
        <v/>
      </c>
    </row>
    <row r="411">
      <c r="A411" t="inlineStr">
        <is>
          <t>b04zm1</t>
        </is>
      </c>
      <c r="B411" t="inlineStr">
        <is>
          <t>Pedro Henrique Fonseca</t>
        </is>
      </c>
      <c r="C411" s="8" t="n">
        <v>0.3278</v>
      </c>
      <c r="D411" s="8" t="n">
        <v>0.5667</v>
      </c>
      <c r="E411" s="8" t="n">
        <v>0.7068</v>
      </c>
      <c r="F411" s="8" t="n">
        <v>0.6031</v>
      </c>
      <c r="G411" s="8" t="n">
        <v>0.5366</v>
      </c>
      <c r="H411" s="8" t="n">
        <v>0.8131</v>
      </c>
      <c r="I411" s="8" t="n">
        <v>0.6059</v>
      </c>
      <c r="J411" s="8" t="n">
        <v>0.6004</v>
      </c>
      <c r="K411" s="8" t="n">
        <v>0.4549</v>
      </c>
      <c r="L411" s="9">
        <f>1-(1-Mecanismos!B2)*(1-C411)</f>
        <v/>
      </c>
      <c r="M411" s="9">
        <f>Mecanismos!B7*D411</f>
        <v/>
      </c>
      <c r="N411" s="9">
        <f>Mecanismos!B4*(1-E411)</f>
        <v/>
      </c>
      <c r="O411" s="9">
        <f>Mecanismos!B5*(1-F411)</f>
        <v/>
      </c>
      <c r="P411" s="9">
        <f>Mecanismos!B6*(1-I411)</f>
        <v/>
      </c>
      <c r="Q411" s="9">
        <f>Mecanismos!B9*(1-G411)</f>
        <v/>
      </c>
      <c r="R411" s="9">
        <f>Mecanismos!B9*(1-J411)</f>
        <v/>
      </c>
      <c r="S411" s="9">
        <f>Mecanismos!B8*H411</f>
        <v/>
      </c>
      <c r="T411" s="9">
        <f>Mecanismos!B10*H411</f>
        <v/>
      </c>
      <c r="U411" s="9">
        <f>Mecanismos!B8*K411</f>
        <v/>
      </c>
      <c r="V411" s="9">
        <f>Mecanismos!B3*D411</f>
        <v/>
      </c>
      <c r="W411" s="9">
        <f>Parametros!B2+Parametros!B4*(S411+T411+U411+V411)-Parametros!B3*(L411+M411+N411+O411+P411+Q411+R411)</f>
        <v/>
      </c>
      <c r="X411" s="10">
        <f>1/(1+EXP(-W411))</f>
        <v/>
      </c>
      <c r="Y411" s="11">
        <f>IF(Parametros!B6=1,0.15+0.85*(1/(1+EXP(-8*((1-N411)-0.45)))),1)</f>
        <v/>
      </c>
      <c r="Z411" s="11">
        <f>IF(Parametros!B7=1,MAX(0.05,1-L411^1.6),1)</f>
        <v/>
      </c>
      <c r="AA411" s="11">
        <f>IF(Parametros!B8=1,0.2+0.8*(1/(1+EXP(-9*(S411-0.25)))),1)</f>
        <v/>
      </c>
      <c r="AB411" s="10">
        <f>X411*Y411*Z411*AA411</f>
        <v/>
      </c>
    </row>
    <row r="412">
      <c r="A412" t="inlineStr">
        <is>
          <t>oejkm0</t>
        </is>
      </c>
      <c r="B412" t="inlineStr">
        <is>
          <t>Pedro Lucas Gomes</t>
        </is>
      </c>
      <c r="C412" s="8" t="n">
        <v>0.5228</v>
      </c>
      <c r="D412" s="8" t="n">
        <v>0.5014999999999999</v>
      </c>
      <c r="E412" s="8" t="n">
        <v>0.5821</v>
      </c>
      <c r="F412" s="8" t="n">
        <v>0.6072</v>
      </c>
      <c r="G412" s="8" t="n">
        <v>0.6496</v>
      </c>
      <c r="H412" s="8" t="n">
        <v>0.5123</v>
      </c>
      <c r="I412" s="8" t="n">
        <v>0.8333</v>
      </c>
      <c r="J412" s="8" t="n">
        <v>0.745</v>
      </c>
      <c r="K412" s="8" t="n">
        <v>0.5623</v>
      </c>
      <c r="L412" s="9">
        <f>1-(1-Mecanismos!B2)*(1-C412)</f>
        <v/>
      </c>
      <c r="M412" s="9">
        <f>Mecanismos!B7*D412</f>
        <v/>
      </c>
      <c r="N412" s="9">
        <f>Mecanismos!B4*(1-E412)</f>
        <v/>
      </c>
      <c r="O412" s="9">
        <f>Mecanismos!B5*(1-F412)</f>
        <v/>
      </c>
      <c r="P412" s="9">
        <f>Mecanismos!B6*(1-I412)</f>
        <v/>
      </c>
      <c r="Q412" s="9">
        <f>Mecanismos!B9*(1-G412)</f>
        <v/>
      </c>
      <c r="R412" s="9">
        <f>Mecanismos!B9*(1-J412)</f>
        <v/>
      </c>
      <c r="S412" s="9">
        <f>Mecanismos!B8*H412</f>
        <v/>
      </c>
      <c r="T412" s="9">
        <f>Mecanismos!B10*H412</f>
        <v/>
      </c>
      <c r="U412" s="9">
        <f>Mecanismos!B8*K412</f>
        <v/>
      </c>
      <c r="V412" s="9">
        <f>Mecanismos!B3*D412</f>
        <v/>
      </c>
      <c r="W412" s="9">
        <f>Parametros!B2+Parametros!B4*(S412+T412+U412+V412)-Parametros!B3*(L412+M412+N412+O412+P412+Q412+R412)</f>
        <v/>
      </c>
      <c r="X412" s="10">
        <f>1/(1+EXP(-W412))</f>
        <v/>
      </c>
      <c r="Y412" s="11">
        <f>IF(Parametros!B6=1,0.15+0.85*(1/(1+EXP(-8*((1-N412)-0.45)))),1)</f>
        <v/>
      </c>
      <c r="Z412" s="11">
        <f>IF(Parametros!B7=1,MAX(0.05,1-L412^1.6),1)</f>
        <v/>
      </c>
      <c r="AA412" s="11">
        <f>IF(Parametros!B8=1,0.2+0.8*(1/(1+EXP(-9*(S412-0.25)))),1)</f>
        <v/>
      </c>
      <c r="AB412" s="10">
        <f>X412*Y412*Z412*AA412</f>
        <v/>
      </c>
    </row>
    <row r="413">
      <c r="A413" t="inlineStr">
        <is>
          <t>x3dkea</t>
        </is>
      </c>
      <c r="B413" t="inlineStr">
        <is>
          <t>Pedro Lucas Nascimento</t>
        </is>
      </c>
      <c r="C413" s="8" t="n">
        <v>0.7688</v>
      </c>
      <c r="D413" s="8" t="n">
        <v>0.408</v>
      </c>
      <c r="E413" s="8" t="n">
        <v>0.4578</v>
      </c>
      <c r="F413" s="8" t="n">
        <v>0.4269</v>
      </c>
      <c r="G413" s="8" t="n">
        <v>0.6041</v>
      </c>
      <c r="H413" s="8" t="n">
        <v>0.5241</v>
      </c>
      <c r="I413" s="8" t="n">
        <v>0.2825</v>
      </c>
      <c r="J413" s="8" t="n">
        <v>0.4985</v>
      </c>
      <c r="K413" s="8" t="n">
        <v>0.061</v>
      </c>
      <c r="L413" s="9">
        <f>1-(1-Mecanismos!B2)*(1-C413)</f>
        <v/>
      </c>
      <c r="M413" s="9">
        <f>Mecanismos!B7*D413</f>
        <v/>
      </c>
      <c r="N413" s="9">
        <f>Mecanismos!B4*(1-E413)</f>
        <v/>
      </c>
      <c r="O413" s="9">
        <f>Mecanismos!B5*(1-F413)</f>
        <v/>
      </c>
      <c r="P413" s="9">
        <f>Mecanismos!B6*(1-I413)</f>
        <v/>
      </c>
      <c r="Q413" s="9">
        <f>Mecanismos!B9*(1-G413)</f>
        <v/>
      </c>
      <c r="R413" s="9">
        <f>Mecanismos!B9*(1-J413)</f>
        <v/>
      </c>
      <c r="S413" s="9">
        <f>Mecanismos!B8*H413</f>
        <v/>
      </c>
      <c r="T413" s="9">
        <f>Mecanismos!B10*H413</f>
        <v/>
      </c>
      <c r="U413" s="9">
        <f>Mecanismos!B8*K413</f>
        <v/>
      </c>
      <c r="V413" s="9">
        <f>Mecanismos!B3*D413</f>
        <v/>
      </c>
      <c r="W413" s="9">
        <f>Parametros!B2+Parametros!B4*(S413+T413+U413+V413)-Parametros!B3*(L413+M413+N413+O413+P413+Q413+R413)</f>
        <v/>
      </c>
      <c r="X413" s="10">
        <f>1/(1+EXP(-W413))</f>
        <v/>
      </c>
      <c r="Y413" s="11">
        <f>IF(Parametros!B6=1,0.15+0.85*(1/(1+EXP(-8*((1-N413)-0.45)))),1)</f>
        <v/>
      </c>
      <c r="Z413" s="11">
        <f>IF(Parametros!B7=1,MAX(0.05,1-L413^1.6),1)</f>
        <v/>
      </c>
      <c r="AA413" s="11">
        <f>IF(Parametros!B8=1,0.2+0.8*(1/(1+EXP(-9*(S413-0.25)))),1)</f>
        <v/>
      </c>
      <c r="AB413" s="10">
        <f>X413*Y413*Z413*AA413</f>
        <v/>
      </c>
    </row>
    <row r="414">
      <c r="A414" t="inlineStr">
        <is>
          <t>txf9ne</t>
        </is>
      </c>
      <c r="B414" t="inlineStr">
        <is>
          <t>Pedro Miguel Cardoso</t>
        </is>
      </c>
      <c r="C414" s="8" t="n">
        <v>0.5488</v>
      </c>
      <c r="D414" s="8" t="n">
        <v>0.7239</v>
      </c>
      <c r="E414" s="8" t="n">
        <v>0.2223</v>
      </c>
      <c r="F414" s="8" t="n">
        <v>0.5859</v>
      </c>
      <c r="G414" s="8" t="n">
        <v>0.4117</v>
      </c>
      <c r="H414" s="8" t="n">
        <v>0.6264</v>
      </c>
      <c r="I414" s="8" t="n">
        <v>0.769</v>
      </c>
      <c r="J414" s="8" t="n">
        <v>0.2482</v>
      </c>
      <c r="K414" s="8" t="n">
        <v>0.7558</v>
      </c>
      <c r="L414" s="9">
        <f>1-(1-Mecanismos!B2)*(1-C414)</f>
        <v/>
      </c>
      <c r="M414" s="9">
        <f>Mecanismos!B7*D414</f>
        <v/>
      </c>
      <c r="N414" s="9">
        <f>Mecanismos!B4*(1-E414)</f>
        <v/>
      </c>
      <c r="O414" s="9">
        <f>Mecanismos!B5*(1-F414)</f>
        <v/>
      </c>
      <c r="P414" s="9">
        <f>Mecanismos!B6*(1-I414)</f>
        <v/>
      </c>
      <c r="Q414" s="9">
        <f>Mecanismos!B9*(1-G414)</f>
        <v/>
      </c>
      <c r="R414" s="9">
        <f>Mecanismos!B9*(1-J414)</f>
        <v/>
      </c>
      <c r="S414" s="9">
        <f>Mecanismos!B8*H414</f>
        <v/>
      </c>
      <c r="T414" s="9">
        <f>Mecanismos!B10*H414</f>
        <v/>
      </c>
      <c r="U414" s="9">
        <f>Mecanismos!B8*K414</f>
        <v/>
      </c>
      <c r="V414" s="9">
        <f>Mecanismos!B3*D414</f>
        <v/>
      </c>
      <c r="W414" s="9">
        <f>Parametros!B2+Parametros!B4*(S414+T414+U414+V414)-Parametros!B3*(L414+M414+N414+O414+P414+Q414+R414)</f>
        <v/>
      </c>
      <c r="X414" s="10">
        <f>1/(1+EXP(-W414))</f>
        <v/>
      </c>
      <c r="Y414" s="11">
        <f>IF(Parametros!B6=1,0.15+0.85*(1/(1+EXP(-8*((1-N414)-0.45)))),1)</f>
        <v/>
      </c>
      <c r="Z414" s="11">
        <f>IF(Parametros!B7=1,MAX(0.05,1-L414^1.6),1)</f>
        <v/>
      </c>
      <c r="AA414" s="11">
        <f>IF(Parametros!B8=1,0.2+0.8*(1/(1+EXP(-9*(S414-0.25)))),1)</f>
        <v/>
      </c>
      <c r="AB414" s="10">
        <f>X414*Y414*Z414*AA414</f>
        <v/>
      </c>
    </row>
    <row r="415">
      <c r="A415" t="inlineStr">
        <is>
          <t>vcxf11</t>
        </is>
      </c>
      <c r="B415" t="inlineStr">
        <is>
          <t>Pedro Miguel Montenegro</t>
        </is>
      </c>
      <c r="C415" s="8" t="n">
        <v>0.7917999999999999</v>
      </c>
      <c r="D415" s="8" t="n">
        <v>0.5345</v>
      </c>
      <c r="E415" s="8" t="n">
        <v>0.3085</v>
      </c>
      <c r="F415" s="8" t="n">
        <v>0.3714</v>
      </c>
      <c r="G415" s="8" t="n">
        <v>0.4816</v>
      </c>
      <c r="H415" s="8" t="n">
        <v>0.7312</v>
      </c>
      <c r="I415" s="8" t="n">
        <v>0.5787</v>
      </c>
      <c r="J415" s="8" t="n">
        <v>0.756</v>
      </c>
      <c r="K415" s="8" t="n">
        <v>0.4235</v>
      </c>
      <c r="L415" s="9">
        <f>1-(1-Mecanismos!B2)*(1-C415)</f>
        <v/>
      </c>
      <c r="M415" s="9">
        <f>Mecanismos!B7*D415</f>
        <v/>
      </c>
      <c r="N415" s="9">
        <f>Mecanismos!B4*(1-E415)</f>
        <v/>
      </c>
      <c r="O415" s="9">
        <f>Mecanismos!B5*(1-F415)</f>
        <v/>
      </c>
      <c r="P415" s="9">
        <f>Mecanismos!B6*(1-I415)</f>
        <v/>
      </c>
      <c r="Q415" s="9">
        <f>Mecanismos!B9*(1-G415)</f>
        <v/>
      </c>
      <c r="R415" s="9">
        <f>Mecanismos!B9*(1-J415)</f>
        <v/>
      </c>
      <c r="S415" s="9">
        <f>Mecanismos!B8*H415</f>
        <v/>
      </c>
      <c r="T415" s="9">
        <f>Mecanismos!B10*H415</f>
        <v/>
      </c>
      <c r="U415" s="9">
        <f>Mecanismos!B8*K415</f>
        <v/>
      </c>
      <c r="V415" s="9">
        <f>Mecanismos!B3*D415</f>
        <v/>
      </c>
      <c r="W415" s="9">
        <f>Parametros!B2+Parametros!B4*(S415+T415+U415+V415)-Parametros!B3*(L415+M415+N415+O415+P415+Q415+R415)</f>
        <v/>
      </c>
      <c r="X415" s="10">
        <f>1/(1+EXP(-W415))</f>
        <v/>
      </c>
      <c r="Y415" s="11">
        <f>IF(Parametros!B6=1,0.15+0.85*(1/(1+EXP(-8*((1-N415)-0.45)))),1)</f>
        <v/>
      </c>
      <c r="Z415" s="11">
        <f>IF(Parametros!B7=1,MAX(0.05,1-L415^1.6),1)</f>
        <v/>
      </c>
      <c r="AA415" s="11">
        <f>IF(Parametros!B8=1,0.2+0.8*(1/(1+EXP(-9*(S415-0.25)))),1)</f>
        <v/>
      </c>
      <c r="AB415" s="10">
        <f>X415*Y415*Z415*AA415</f>
        <v/>
      </c>
    </row>
    <row r="416">
      <c r="A416" t="inlineStr">
        <is>
          <t>5zfio3</t>
        </is>
      </c>
      <c r="B416" t="inlineStr">
        <is>
          <t>Pedro Sales</t>
        </is>
      </c>
      <c r="C416" s="8" t="n">
        <v>0.6624</v>
      </c>
      <c r="D416" s="8" t="n">
        <v>0.5288</v>
      </c>
      <c r="E416" s="8" t="n">
        <v>0.6581</v>
      </c>
      <c r="F416" s="8" t="n">
        <v>0.4441</v>
      </c>
      <c r="G416" s="8" t="n">
        <v>0.1802</v>
      </c>
      <c r="H416" s="8" t="n">
        <v>0.4348</v>
      </c>
      <c r="I416" s="8" t="n">
        <v>0.3976</v>
      </c>
      <c r="J416" s="8" t="n">
        <v>0.5224</v>
      </c>
      <c r="K416" s="8" t="n">
        <v>0.3413</v>
      </c>
      <c r="L416" s="9">
        <f>1-(1-Mecanismos!B2)*(1-C416)</f>
        <v/>
      </c>
      <c r="M416" s="9">
        <f>Mecanismos!B7*D416</f>
        <v/>
      </c>
      <c r="N416" s="9">
        <f>Mecanismos!B4*(1-E416)</f>
        <v/>
      </c>
      <c r="O416" s="9">
        <f>Mecanismos!B5*(1-F416)</f>
        <v/>
      </c>
      <c r="P416" s="9">
        <f>Mecanismos!B6*(1-I416)</f>
        <v/>
      </c>
      <c r="Q416" s="9">
        <f>Mecanismos!B9*(1-G416)</f>
        <v/>
      </c>
      <c r="R416" s="9">
        <f>Mecanismos!B9*(1-J416)</f>
        <v/>
      </c>
      <c r="S416" s="9">
        <f>Mecanismos!B8*H416</f>
        <v/>
      </c>
      <c r="T416" s="9">
        <f>Mecanismos!B10*H416</f>
        <v/>
      </c>
      <c r="U416" s="9">
        <f>Mecanismos!B8*K416</f>
        <v/>
      </c>
      <c r="V416" s="9">
        <f>Mecanismos!B3*D416</f>
        <v/>
      </c>
      <c r="W416" s="9">
        <f>Parametros!B2+Parametros!B4*(S416+T416+U416+V416)-Parametros!B3*(L416+M416+N416+O416+P416+Q416+R416)</f>
        <v/>
      </c>
      <c r="X416" s="10">
        <f>1/(1+EXP(-W416))</f>
        <v/>
      </c>
      <c r="Y416" s="11">
        <f>IF(Parametros!B6=1,0.15+0.85*(1/(1+EXP(-8*((1-N416)-0.45)))),1)</f>
        <v/>
      </c>
      <c r="Z416" s="11">
        <f>IF(Parametros!B7=1,MAX(0.05,1-L416^1.6),1)</f>
        <v/>
      </c>
      <c r="AA416" s="11">
        <f>IF(Parametros!B8=1,0.2+0.8*(1/(1+EXP(-9*(S416-0.25)))),1)</f>
        <v/>
      </c>
      <c r="AB416" s="10">
        <f>X416*Y416*Z416*AA416</f>
        <v/>
      </c>
    </row>
    <row r="417">
      <c r="A417" t="inlineStr">
        <is>
          <t>b47ibk</t>
        </is>
      </c>
      <c r="B417" t="inlineStr">
        <is>
          <t>Pietra Oliveira</t>
        </is>
      </c>
      <c r="C417" s="8" t="n">
        <v>0.4342</v>
      </c>
      <c r="D417" s="8" t="n">
        <v>0.7249</v>
      </c>
      <c r="E417" s="8" t="n">
        <v>0.659</v>
      </c>
      <c r="F417" s="8" t="n">
        <v>0.5479000000000001</v>
      </c>
      <c r="G417" s="8" t="n">
        <v>0.4248</v>
      </c>
      <c r="H417" s="8" t="n">
        <v>0.7518</v>
      </c>
      <c r="I417" s="8" t="n">
        <v>0.6461</v>
      </c>
      <c r="J417" s="8" t="n">
        <v>0.7556</v>
      </c>
      <c r="K417" s="8" t="n">
        <v>0.5535</v>
      </c>
      <c r="L417" s="9">
        <f>1-(1-Mecanismos!B2)*(1-C417)</f>
        <v/>
      </c>
      <c r="M417" s="9">
        <f>Mecanismos!B7*D417</f>
        <v/>
      </c>
      <c r="N417" s="9">
        <f>Mecanismos!B4*(1-E417)</f>
        <v/>
      </c>
      <c r="O417" s="9">
        <f>Mecanismos!B5*(1-F417)</f>
        <v/>
      </c>
      <c r="P417" s="9">
        <f>Mecanismos!B6*(1-I417)</f>
        <v/>
      </c>
      <c r="Q417" s="9">
        <f>Mecanismos!B9*(1-G417)</f>
        <v/>
      </c>
      <c r="R417" s="9">
        <f>Mecanismos!B9*(1-J417)</f>
        <v/>
      </c>
      <c r="S417" s="9">
        <f>Mecanismos!B8*H417</f>
        <v/>
      </c>
      <c r="T417" s="9">
        <f>Mecanismos!B10*H417</f>
        <v/>
      </c>
      <c r="U417" s="9">
        <f>Mecanismos!B8*K417</f>
        <v/>
      </c>
      <c r="V417" s="9">
        <f>Mecanismos!B3*D417</f>
        <v/>
      </c>
      <c r="W417" s="9">
        <f>Parametros!B2+Parametros!B4*(S417+T417+U417+V417)-Parametros!B3*(L417+M417+N417+O417+P417+Q417+R417)</f>
        <v/>
      </c>
      <c r="X417" s="10">
        <f>1/(1+EXP(-W417))</f>
        <v/>
      </c>
      <c r="Y417" s="11">
        <f>IF(Parametros!B6=1,0.15+0.85*(1/(1+EXP(-8*((1-N417)-0.45)))),1)</f>
        <v/>
      </c>
      <c r="Z417" s="11">
        <f>IF(Parametros!B7=1,MAX(0.05,1-L417^1.6),1)</f>
        <v/>
      </c>
      <c r="AA417" s="11">
        <f>IF(Parametros!B8=1,0.2+0.8*(1/(1+EXP(-9*(S417-0.25)))),1)</f>
        <v/>
      </c>
      <c r="AB417" s="10">
        <f>X417*Y417*Z417*AA417</f>
        <v/>
      </c>
    </row>
    <row r="418">
      <c r="A418" t="inlineStr">
        <is>
          <t>5bsrbl</t>
        </is>
      </c>
      <c r="B418" t="inlineStr">
        <is>
          <t>Rael Cirino</t>
        </is>
      </c>
      <c r="C418" s="8" t="n">
        <v>0.5785</v>
      </c>
      <c r="D418" s="8" t="n">
        <v>0.5841</v>
      </c>
      <c r="E418" s="8" t="n">
        <v>0.3553</v>
      </c>
      <c r="F418" s="8" t="n">
        <v>0.6601</v>
      </c>
      <c r="G418" s="8" t="n">
        <v>0.5813</v>
      </c>
      <c r="H418" s="8" t="n">
        <v>0.4013</v>
      </c>
      <c r="I418" s="8" t="n">
        <v>0.4195</v>
      </c>
      <c r="J418" s="8" t="n">
        <v>0.6594</v>
      </c>
      <c r="K418" s="8" t="n">
        <v>0.3695</v>
      </c>
      <c r="L418" s="9">
        <f>1-(1-Mecanismos!B2)*(1-C418)</f>
        <v/>
      </c>
      <c r="M418" s="9">
        <f>Mecanismos!B7*D418</f>
        <v/>
      </c>
      <c r="N418" s="9">
        <f>Mecanismos!B4*(1-E418)</f>
        <v/>
      </c>
      <c r="O418" s="9">
        <f>Mecanismos!B5*(1-F418)</f>
        <v/>
      </c>
      <c r="P418" s="9">
        <f>Mecanismos!B6*(1-I418)</f>
        <v/>
      </c>
      <c r="Q418" s="9">
        <f>Mecanismos!B9*(1-G418)</f>
        <v/>
      </c>
      <c r="R418" s="9">
        <f>Mecanismos!B9*(1-J418)</f>
        <v/>
      </c>
      <c r="S418" s="9">
        <f>Mecanismos!B8*H418</f>
        <v/>
      </c>
      <c r="T418" s="9">
        <f>Mecanismos!B10*H418</f>
        <v/>
      </c>
      <c r="U418" s="9">
        <f>Mecanismos!B8*K418</f>
        <v/>
      </c>
      <c r="V418" s="9">
        <f>Mecanismos!B3*D418</f>
        <v/>
      </c>
      <c r="W418" s="9">
        <f>Parametros!B2+Parametros!B4*(S418+T418+U418+V418)-Parametros!B3*(L418+M418+N418+O418+P418+Q418+R418)</f>
        <v/>
      </c>
      <c r="X418" s="10">
        <f>1/(1+EXP(-W418))</f>
        <v/>
      </c>
      <c r="Y418" s="11">
        <f>IF(Parametros!B6=1,0.15+0.85*(1/(1+EXP(-8*((1-N418)-0.45)))),1)</f>
        <v/>
      </c>
      <c r="Z418" s="11">
        <f>IF(Parametros!B7=1,MAX(0.05,1-L418^1.6),1)</f>
        <v/>
      </c>
      <c r="AA418" s="11">
        <f>IF(Parametros!B8=1,0.2+0.8*(1/(1+EXP(-9*(S418-0.25)))),1)</f>
        <v/>
      </c>
      <c r="AB418" s="10">
        <f>X418*Y418*Z418*AA418</f>
        <v/>
      </c>
    </row>
    <row r="419">
      <c r="A419" t="inlineStr">
        <is>
          <t>t93ekr</t>
        </is>
      </c>
      <c r="B419" t="inlineStr">
        <is>
          <t>Rael Gonçalves</t>
        </is>
      </c>
      <c r="C419" s="8" t="n">
        <v>0.6684</v>
      </c>
      <c r="D419" s="8" t="n">
        <v>0.376</v>
      </c>
      <c r="E419" s="8" t="n">
        <v>0.7099</v>
      </c>
      <c r="F419" s="8" t="n">
        <v>0.3564</v>
      </c>
      <c r="G419" s="8" t="n">
        <v>0.4557</v>
      </c>
      <c r="H419" s="8" t="n">
        <v>0.574</v>
      </c>
      <c r="I419" s="8" t="n">
        <v>0.5641</v>
      </c>
      <c r="J419" s="8" t="n">
        <v>0.2628</v>
      </c>
      <c r="K419" s="8" t="n">
        <v>0.7204</v>
      </c>
      <c r="L419" s="9">
        <f>1-(1-Mecanismos!B2)*(1-C419)</f>
        <v/>
      </c>
      <c r="M419" s="9">
        <f>Mecanismos!B7*D419</f>
        <v/>
      </c>
      <c r="N419" s="9">
        <f>Mecanismos!B4*(1-E419)</f>
        <v/>
      </c>
      <c r="O419" s="9">
        <f>Mecanismos!B5*(1-F419)</f>
        <v/>
      </c>
      <c r="P419" s="9">
        <f>Mecanismos!B6*(1-I419)</f>
        <v/>
      </c>
      <c r="Q419" s="9">
        <f>Mecanismos!B9*(1-G419)</f>
        <v/>
      </c>
      <c r="R419" s="9">
        <f>Mecanismos!B9*(1-J419)</f>
        <v/>
      </c>
      <c r="S419" s="9">
        <f>Mecanismos!B8*H419</f>
        <v/>
      </c>
      <c r="T419" s="9">
        <f>Mecanismos!B10*H419</f>
        <v/>
      </c>
      <c r="U419" s="9">
        <f>Mecanismos!B8*K419</f>
        <v/>
      </c>
      <c r="V419" s="9">
        <f>Mecanismos!B3*D419</f>
        <v/>
      </c>
      <c r="W419" s="9">
        <f>Parametros!B2+Parametros!B4*(S419+T419+U419+V419)-Parametros!B3*(L419+M419+N419+O419+P419+Q419+R419)</f>
        <v/>
      </c>
      <c r="X419" s="10">
        <f>1/(1+EXP(-W419))</f>
        <v/>
      </c>
      <c r="Y419" s="11">
        <f>IF(Parametros!B6=1,0.15+0.85*(1/(1+EXP(-8*((1-N419)-0.45)))),1)</f>
        <v/>
      </c>
      <c r="Z419" s="11">
        <f>IF(Parametros!B7=1,MAX(0.05,1-L419^1.6),1)</f>
        <v/>
      </c>
      <c r="AA419" s="11">
        <f>IF(Parametros!B8=1,0.2+0.8*(1/(1+EXP(-9*(S419-0.25)))),1)</f>
        <v/>
      </c>
      <c r="AB419" s="10">
        <f>X419*Y419*Z419*AA419</f>
        <v/>
      </c>
    </row>
    <row r="420">
      <c r="A420" t="inlineStr">
        <is>
          <t>6t4bm5</t>
        </is>
      </c>
      <c r="B420" t="inlineStr">
        <is>
          <t>Rael Leão</t>
        </is>
      </c>
      <c r="C420" s="8" t="n">
        <v>0.572</v>
      </c>
      <c r="D420" s="8" t="n">
        <v>0.6711</v>
      </c>
      <c r="E420" s="8" t="n">
        <v>0.4481</v>
      </c>
      <c r="F420" s="8" t="n">
        <v>0.8359</v>
      </c>
      <c r="G420" s="8" t="n">
        <v>0.5377999999999999</v>
      </c>
      <c r="H420" s="8" t="n">
        <v>0.728</v>
      </c>
      <c r="I420" s="8" t="n">
        <v>0.5441</v>
      </c>
      <c r="J420" s="8" t="n">
        <v>0.8295</v>
      </c>
      <c r="K420" s="8" t="n">
        <v>0.7479</v>
      </c>
      <c r="L420" s="9">
        <f>1-(1-Mecanismos!B2)*(1-C420)</f>
        <v/>
      </c>
      <c r="M420" s="9">
        <f>Mecanismos!B7*D420</f>
        <v/>
      </c>
      <c r="N420" s="9">
        <f>Mecanismos!B4*(1-E420)</f>
        <v/>
      </c>
      <c r="O420" s="9">
        <f>Mecanismos!B5*(1-F420)</f>
        <v/>
      </c>
      <c r="P420" s="9">
        <f>Mecanismos!B6*(1-I420)</f>
        <v/>
      </c>
      <c r="Q420" s="9">
        <f>Mecanismos!B9*(1-G420)</f>
        <v/>
      </c>
      <c r="R420" s="9">
        <f>Mecanismos!B9*(1-J420)</f>
        <v/>
      </c>
      <c r="S420" s="9">
        <f>Mecanismos!B8*H420</f>
        <v/>
      </c>
      <c r="T420" s="9">
        <f>Mecanismos!B10*H420</f>
        <v/>
      </c>
      <c r="U420" s="9">
        <f>Mecanismos!B8*K420</f>
        <v/>
      </c>
      <c r="V420" s="9">
        <f>Mecanismos!B3*D420</f>
        <v/>
      </c>
      <c r="W420" s="9">
        <f>Parametros!B2+Parametros!B4*(S420+T420+U420+V420)-Parametros!B3*(L420+M420+N420+O420+P420+Q420+R420)</f>
        <v/>
      </c>
      <c r="X420" s="10">
        <f>1/(1+EXP(-W420))</f>
        <v/>
      </c>
      <c r="Y420" s="11">
        <f>IF(Parametros!B6=1,0.15+0.85*(1/(1+EXP(-8*((1-N420)-0.45)))),1)</f>
        <v/>
      </c>
      <c r="Z420" s="11">
        <f>IF(Parametros!B7=1,MAX(0.05,1-L420^1.6),1)</f>
        <v/>
      </c>
      <c r="AA420" s="11">
        <f>IF(Parametros!B8=1,0.2+0.8*(1/(1+EXP(-9*(S420-0.25)))),1)</f>
        <v/>
      </c>
      <c r="AB420" s="10">
        <f>X420*Y420*Z420*AA420</f>
        <v/>
      </c>
    </row>
    <row r="421">
      <c r="A421" t="inlineStr">
        <is>
          <t>0h6m9l</t>
        </is>
      </c>
      <c r="B421" t="inlineStr">
        <is>
          <t>Rael Mendonça</t>
        </is>
      </c>
      <c r="C421" s="8" t="n">
        <v>0.6605</v>
      </c>
      <c r="D421" s="8" t="n">
        <v>0.4333</v>
      </c>
      <c r="E421" s="8" t="n">
        <v>0.3097</v>
      </c>
      <c r="F421" s="8" t="n">
        <v>0.5093</v>
      </c>
      <c r="G421" s="8" t="n">
        <v>0.6446</v>
      </c>
      <c r="H421" s="8" t="n">
        <v>0.6926</v>
      </c>
      <c r="I421" s="8" t="n">
        <v>0.3421</v>
      </c>
      <c r="J421" s="8" t="n">
        <v>0.8309</v>
      </c>
      <c r="K421" s="8" t="n">
        <v>0.5179</v>
      </c>
      <c r="L421" s="9">
        <f>1-(1-Mecanismos!B2)*(1-C421)</f>
        <v/>
      </c>
      <c r="M421" s="9">
        <f>Mecanismos!B7*D421</f>
        <v/>
      </c>
      <c r="N421" s="9">
        <f>Mecanismos!B4*(1-E421)</f>
        <v/>
      </c>
      <c r="O421" s="9">
        <f>Mecanismos!B5*(1-F421)</f>
        <v/>
      </c>
      <c r="P421" s="9">
        <f>Mecanismos!B6*(1-I421)</f>
        <v/>
      </c>
      <c r="Q421" s="9">
        <f>Mecanismos!B9*(1-G421)</f>
        <v/>
      </c>
      <c r="R421" s="9">
        <f>Mecanismos!B9*(1-J421)</f>
        <v/>
      </c>
      <c r="S421" s="9">
        <f>Mecanismos!B8*H421</f>
        <v/>
      </c>
      <c r="T421" s="9">
        <f>Mecanismos!B10*H421</f>
        <v/>
      </c>
      <c r="U421" s="9">
        <f>Mecanismos!B8*K421</f>
        <v/>
      </c>
      <c r="V421" s="9">
        <f>Mecanismos!B3*D421</f>
        <v/>
      </c>
      <c r="W421" s="9">
        <f>Parametros!B2+Parametros!B4*(S421+T421+U421+V421)-Parametros!B3*(L421+M421+N421+O421+P421+Q421+R421)</f>
        <v/>
      </c>
      <c r="X421" s="10">
        <f>1/(1+EXP(-W421))</f>
        <v/>
      </c>
      <c r="Y421" s="11">
        <f>IF(Parametros!B6=1,0.15+0.85*(1/(1+EXP(-8*((1-N421)-0.45)))),1)</f>
        <v/>
      </c>
      <c r="Z421" s="11">
        <f>IF(Parametros!B7=1,MAX(0.05,1-L421^1.6),1)</f>
        <v/>
      </c>
      <c r="AA421" s="11">
        <f>IF(Parametros!B8=1,0.2+0.8*(1/(1+EXP(-9*(S421-0.25)))),1)</f>
        <v/>
      </c>
      <c r="AB421" s="10">
        <f>X421*Y421*Z421*AA421</f>
        <v/>
      </c>
    </row>
    <row r="422">
      <c r="A422" t="inlineStr">
        <is>
          <t>0rpel5</t>
        </is>
      </c>
      <c r="B422" t="inlineStr">
        <is>
          <t>Rafael Nascimento</t>
        </is>
      </c>
      <c r="C422" s="8" t="n">
        <v>0.5688</v>
      </c>
      <c r="D422" s="8" t="n">
        <v>0.6391</v>
      </c>
      <c r="E422" s="8" t="n">
        <v>0.5609</v>
      </c>
      <c r="F422" s="8" t="n">
        <v>0.7789</v>
      </c>
      <c r="G422" s="8" t="n">
        <v>0.5061</v>
      </c>
      <c r="H422" s="8" t="n">
        <v>0.4967</v>
      </c>
      <c r="I422" s="8" t="n">
        <v>0.5991</v>
      </c>
      <c r="J422" s="8" t="n">
        <v>0.9506</v>
      </c>
      <c r="K422" s="8" t="n">
        <v>0.4468</v>
      </c>
      <c r="L422" s="9">
        <f>1-(1-Mecanismos!B2)*(1-C422)</f>
        <v/>
      </c>
      <c r="M422" s="9">
        <f>Mecanismos!B7*D422</f>
        <v/>
      </c>
      <c r="N422" s="9">
        <f>Mecanismos!B4*(1-E422)</f>
        <v/>
      </c>
      <c r="O422" s="9">
        <f>Mecanismos!B5*(1-F422)</f>
        <v/>
      </c>
      <c r="P422" s="9">
        <f>Mecanismos!B6*(1-I422)</f>
        <v/>
      </c>
      <c r="Q422" s="9">
        <f>Mecanismos!B9*(1-G422)</f>
        <v/>
      </c>
      <c r="R422" s="9">
        <f>Mecanismos!B9*(1-J422)</f>
        <v/>
      </c>
      <c r="S422" s="9">
        <f>Mecanismos!B8*H422</f>
        <v/>
      </c>
      <c r="T422" s="9">
        <f>Mecanismos!B10*H422</f>
        <v/>
      </c>
      <c r="U422" s="9">
        <f>Mecanismos!B8*K422</f>
        <v/>
      </c>
      <c r="V422" s="9">
        <f>Mecanismos!B3*D422</f>
        <v/>
      </c>
      <c r="W422" s="9">
        <f>Parametros!B2+Parametros!B4*(S422+T422+U422+V422)-Parametros!B3*(L422+M422+N422+O422+P422+Q422+R422)</f>
        <v/>
      </c>
      <c r="X422" s="10">
        <f>1/(1+EXP(-W422))</f>
        <v/>
      </c>
      <c r="Y422" s="11">
        <f>IF(Parametros!B6=1,0.15+0.85*(1/(1+EXP(-8*((1-N422)-0.45)))),1)</f>
        <v/>
      </c>
      <c r="Z422" s="11">
        <f>IF(Parametros!B7=1,MAX(0.05,1-L422^1.6),1)</f>
        <v/>
      </c>
      <c r="AA422" s="11">
        <f>IF(Parametros!B8=1,0.2+0.8*(1/(1+EXP(-9*(S422-0.25)))),1)</f>
        <v/>
      </c>
      <c r="AB422" s="10">
        <f>X422*Y422*Z422*AA422</f>
        <v/>
      </c>
    </row>
    <row r="423">
      <c r="A423" t="inlineStr">
        <is>
          <t>q4iroo</t>
        </is>
      </c>
      <c r="B423" t="inlineStr">
        <is>
          <t>Rafael Sousa</t>
        </is>
      </c>
      <c r="C423" s="8" t="n">
        <v>0.4966</v>
      </c>
      <c r="D423" s="8" t="n">
        <v>0.6446</v>
      </c>
      <c r="E423" s="8" t="n">
        <v>0.5323</v>
      </c>
      <c r="F423" s="8" t="n">
        <v>0.3505</v>
      </c>
      <c r="G423" s="8" t="n">
        <v>0.3414</v>
      </c>
      <c r="H423" s="8" t="n">
        <v>0.8537</v>
      </c>
      <c r="I423" s="8" t="n">
        <v>0.5635</v>
      </c>
      <c r="J423" s="8" t="n">
        <v>0.8069</v>
      </c>
      <c r="K423" s="8" t="n">
        <v>0.5165999999999999</v>
      </c>
      <c r="L423" s="9">
        <f>1-(1-Mecanismos!B2)*(1-C423)</f>
        <v/>
      </c>
      <c r="M423" s="9">
        <f>Mecanismos!B7*D423</f>
        <v/>
      </c>
      <c r="N423" s="9">
        <f>Mecanismos!B4*(1-E423)</f>
        <v/>
      </c>
      <c r="O423" s="9">
        <f>Mecanismos!B5*(1-F423)</f>
        <v/>
      </c>
      <c r="P423" s="9">
        <f>Mecanismos!B6*(1-I423)</f>
        <v/>
      </c>
      <c r="Q423" s="9">
        <f>Mecanismos!B9*(1-G423)</f>
        <v/>
      </c>
      <c r="R423" s="9">
        <f>Mecanismos!B9*(1-J423)</f>
        <v/>
      </c>
      <c r="S423" s="9">
        <f>Mecanismos!B8*H423</f>
        <v/>
      </c>
      <c r="T423" s="9">
        <f>Mecanismos!B10*H423</f>
        <v/>
      </c>
      <c r="U423" s="9">
        <f>Mecanismos!B8*K423</f>
        <v/>
      </c>
      <c r="V423" s="9">
        <f>Mecanismos!B3*D423</f>
        <v/>
      </c>
      <c r="W423" s="9">
        <f>Parametros!B2+Parametros!B4*(S423+T423+U423+V423)-Parametros!B3*(L423+M423+N423+O423+P423+Q423+R423)</f>
        <v/>
      </c>
      <c r="X423" s="10">
        <f>1/(1+EXP(-W423))</f>
        <v/>
      </c>
      <c r="Y423" s="11">
        <f>IF(Parametros!B6=1,0.15+0.85*(1/(1+EXP(-8*((1-N423)-0.45)))),1)</f>
        <v/>
      </c>
      <c r="Z423" s="11">
        <f>IF(Parametros!B7=1,MAX(0.05,1-L423^1.6),1)</f>
        <v/>
      </c>
      <c r="AA423" s="11">
        <f>IF(Parametros!B8=1,0.2+0.8*(1/(1+EXP(-9*(S423-0.25)))),1)</f>
        <v/>
      </c>
      <c r="AB423" s="10">
        <f>X423*Y423*Z423*AA423</f>
        <v/>
      </c>
    </row>
    <row r="424">
      <c r="A424" t="inlineStr">
        <is>
          <t>z9o7l5</t>
        </is>
      </c>
      <c r="B424" t="inlineStr">
        <is>
          <t>Rafael da Rosa</t>
        </is>
      </c>
      <c r="C424" s="8" t="n">
        <v>0.7048</v>
      </c>
      <c r="D424" s="8" t="n">
        <v>0.5587</v>
      </c>
      <c r="E424" s="8" t="n">
        <v>0.5132</v>
      </c>
      <c r="F424" s="8" t="n">
        <v>0.1575</v>
      </c>
      <c r="G424" s="8" t="n">
        <v>0.6828</v>
      </c>
      <c r="H424" s="8" t="n">
        <v>0.6086</v>
      </c>
      <c r="I424" s="8" t="n">
        <v>0.2959</v>
      </c>
      <c r="J424" s="8" t="n">
        <v>0.4156</v>
      </c>
      <c r="K424" s="8" t="n">
        <v>0.6729000000000001</v>
      </c>
      <c r="L424" s="9">
        <f>1-(1-Mecanismos!B2)*(1-C424)</f>
        <v/>
      </c>
      <c r="M424" s="9">
        <f>Mecanismos!B7*D424</f>
        <v/>
      </c>
      <c r="N424" s="9">
        <f>Mecanismos!B4*(1-E424)</f>
        <v/>
      </c>
      <c r="O424" s="9">
        <f>Mecanismos!B5*(1-F424)</f>
        <v/>
      </c>
      <c r="P424" s="9">
        <f>Mecanismos!B6*(1-I424)</f>
        <v/>
      </c>
      <c r="Q424" s="9">
        <f>Mecanismos!B9*(1-G424)</f>
        <v/>
      </c>
      <c r="R424" s="9">
        <f>Mecanismos!B9*(1-J424)</f>
        <v/>
      </c>
      <c r="S424" s="9">
        <f>Mecanismos!B8*H424</f>
        <v/>
      </c>
      <c r="T424" s="9">
        <f>Mecanismos!B10*H424</f>
        <v/>
      </c>
      <c r="U424" s="9">
        <f>Mecanismos!B8*K424</f>
        <v/>
      </c>
      <c r="V424" s="9">
        <f>Mecanismos!B3*D424</f>
        <v/>
      </c>
      <c r="W424" s="9">
        <f>Parametros!B2+Parametros!B4*(S424+T424+U424+V424)-Parametros!B3*(L424+M424+N424+O424+P424+Q424+R424)</f>
        <v/>
      </c>
      <c r="X424" s="10">
        <f>1/(1+EXP(-W424))</f>
        <v/>
      </c>
      <c r="Y424" s="11">
        <f>IF(Parametros!B6=1,0.15+0.85*(1/(1+EXP(-8*((1-N424)-0.45)))),1)</f>
        <v/>
      </c>
      <c r="Z424" s="11">
        <f>IF(Parametros!B7=1,MAX(0.05,1-L424^1.6),1)</f>
        <v/>
      </c>
      <c r="AA424" s="11">
        <f>IF(Parametros!B8=1,0.2+0.8*(1/(1+EXP(-9*(S424-0.25)))),1)</f>
        <v/>
      </c>
      <c r="AB424" s="10">
        <f>X424*Y424*Z424*AA424</f>
        <v/>
      </c>
    </row>
    <row r="425">
      <c r="A425" t="inlineStr">
        <is>
          <t>c7t699</t>
        </is>
      </c>
      <c r="B425" t="inlineStr">
        <is>
          <t>Rafaela Gomes</t>
        </is>
      </c>
      <c r="C425" s="8" t="n">
        <v>0.6297</v>
      </c>
      <c r="D425" s="8" t="n">
        <v>0.5236</v>
      </c>
      <c r="E425" s="8" t="n">
        <v>0.3898</v>
      </c>
      <c r="F425" s="8" t="n">
        <v>0.6015</v>
      </c>
      <c r="G425" s="8" t="n">
        <v>0.4031</v>
      </c>
      <c r="H425" s="8" t="n">
        <v>0.5033</v>
      </c>
      <c r="I425" s="8" t="n">
        <v>0.3978</v>
      </c>
      <c r="J425" s="8" t="n">
        <v>0.8532</v>
      </c>
      <c r="K425" s="8" t="n">
        <v>0.2756</v>
      </c>
      <c r="L425" s="9">
        <f>1-(1-Mecanismos!B2)*(1-C425)</f>
        <v/>
      </c>
      <c r="M425" s="9">
        <f>Mecanismos!B7*D425</f>
        <v/>
      </c>
      <c r="N425" s="9">
        <f>Mecanismos!B4*(1-E425)</f>
        <v/>
      </c>
      <c r="O425" s="9">
        <f>Mecanismos!B5*(1-F425)</f>
        <v/>
      </c>
      <c r="P425" s="9">
        <f>Mecanismos!B6*(1-I425)</f>
        <v/>
      </c>
      <c r="Q425" s="9">
        <f>Mecanismos!B9*(1-G425)</f>
        <v/>
      </c>
      <c r="R425" s="9">
        <f>Mecanismos!B9*(1-J425)</f>
        <v/>
      </c>
      <c r="S425" s="9">
        <f>Mecanismos!B8*H425</f>
        <v/>
      </c>
      <c r="T425" s="9">
        <f>Mecanismos!B10*H425</f>
        <v/>
      </c>
      <c r="U425" s="9">
        <f>Mecanismos!B8*K425</f>
        <v/>
      </c>
      <c r="V425" s="9">
        <f>Mecanismos!B3*D425</f>
        <v/>
      </c>
      <c r="W425" s="9">
        <f>Parametros!B2+Parametros!B4*(S425+T425+U425+V425)-Parametros!B3*(L425+M425+N425+O425+P425+Q425+R425)</f>
        <v/>
      </c>
      <c r="X425" s="10">
        <f>1/(1+EXP(-W425))</f>
        <v/>
      </c>
      <c r="Y425" s="11">
        <f>IF(Parametros!B6=1,0.15+0.85*(1/(1+EXP(-8*((1-N425)-0.45)))),1)</f>
        <v/>
      </c>
      <c r="Z425" s="11">
        <f>IF(Parametros!B7=1,MAX(0.05,1-L425^1.6),1)</f>
        <v/>
      </c>
      <c r="AA425" s="11">
        <f>IF(Parametros!B8=1,0.2+0.8*(1/(1+EXP(-9*(S425-0.25)))),1)</f>
        <v/>
      </c>
      <c r="AB425" s="10">
        <f>X425*Y425*Z425*AA425</f>
        <v/>
      </c>
    </row>
    <row r="426">
      <c r="A426" t="inlineStr">
        <is>
          <t>z636bs</t>
        </is>
      </c>
      <c r="B426" t="inlineStr">
        <is>
          <t>Rafaela Viana</t>
        </is>
      </c>
      <c r="C426" s="8" t="n">
        <v>0.5554</v>
      </c>
      <c r="D426" s="8" t="n">
        <v>0.3798</v>
      </c>
      <c r="E426" s="8" t="n">
        <v>0.6732</v>
      </c>
      <c r="F426" s="8" t="n">
        <v>0.3897</v>
      </c>
      <c r="G426" s="8" t="n">
        <v>0.5151</v>
      </c>
      <c r="H426" s="8" t="n">
        <v>0.6303</v>
      </c>
      <c r="I426" s="8" t="n">
        <v>0.5427999999999999</v>
      </c>
      <c r="J426" s="8" t="n">
        <v>0.7625999999999999</v>
      </c>
      <c r="K426" s="8" t="n">
        <v>0.6352</v>
      </c>
      <c r="L426" s="9">
        <f>1-(1-Mecanismos!B2)*(1-C426)</f>
        <v/>
      </c>
      <c r="M426" s="9">
        <f>Mecanismos!B7*D426</f>
        <v/>
      </c>
      <c r="N426" s="9">
        <f>Mecanismos!B4*(1-E426)</f>
        <v/>
      </c>
      <c r="O426" s="9">
        <f>Mecanismos!B5*(1-F426)</f>
        <v/>
      </c>
      <c r="P426" s="9">
        <f>Mecanismos!B6*(1-I426)</f>
        <v/>
      </c>
      <c r="Q426" s="9">
        <f>Mecanismos!B9*(1-G426)</f>
        <v/>
      </c>
      <c r="R426" s="9">
        <f>Mecanismos!B9*(1-J426)</f>
        <v/>
      </c>
      <c r="S426" s="9">
        <f>Mecanismos!B8*H426</f>
        <v/>
      </c>
      <c r="T426" s="9">
        <f>Mecanismos!B10*H426</f>
        <v/>
      </c>
      <c r="U426" s="9">
        <f>Mecanismos!B8*K426</f>
        <v/>
      </c>
      <c r="V426" s="9">
        <f>Mecanismos!B3*D426</f>
        <v/>
      </c>
      <c r="W426" s="9">
        <f>Parametros!B2+Parametros!B4*(S426+T426+U426+V426)-Parametros!B3*(L426+M426+N426+O426+P426+Q426+R426)</f>
        <v/>
      </c>
      <c r="X426" s="10">
        <f>1/(1+EXP(-W426))</f>
        <v/>
      </c>
      <c r="Y426" s="11">
        <f>IF(Parametros!B6=1,0.15+0.85*(1/(1+EXP(-8*((1-N426)-0.45)))),1)</f>
        <v/>
      </c>
      <c r="Z426" s="11">
        <f>IF(Parametros!B7=1,MAX(0.05,1-L426^1.6),1)</f>
        <v/>
      </c>
      <c r="AA426" s="11">
        <f>IF(Parametros!B8=1,0.2+0.8*(1/(1+EXP(-9*(S426-0.25)))),1)</f>
        <v/>
      </c>
      <c r="AB426" s="10">
        <f>X426*Y426*Z426*AA426</f>
        <v/>
      </c>
    </row>
    <row r="427">
      <c r="A427" t="inlineStr">
        <is>
          <t>h87cwb</t>
        </is>
      </c>
      <c r="B427" t="inlineStr">
        <is>
          <t>Raul Duarte</t>
        </is>
      </c>
      <c r="C427" s="8" t="n">
        <v>0.7584</v>
      </c>
      <c r="D427" s="8" t="n">
        <v>0.4278</v>
      </c>
      <c r="E427" s="8" t="n">
        <v>0.5717</v>
      </c>
      <c r="F427" s="8" t="n">
        <v>0.6953</v>
      </c>
      <c r="G427" s="8" t="n">
        <v>0.605</v>
      </c>
      <c r="H427" s="8" t="n">
        <v>0.7094</v>
      </c>
      <c r="I427" s="8" t="n">
        <v>0.7387</v>
      </c>
      <c r="J427" s="8" t="n">
        <v>0.6964</v>
      </c>
      <c r="K427" s="8" t="n">
        <v>0.7929</v>
      </c>
      <c r="L427" s="9">
        <f>1-(1-Mecanismos!B2)*(1-C427)</f>
        <v/>
      </c>
      <c r="M427" s="9">
        <f>Mecanismos!B7*D427</f>
        <v/>
      </c>
      <c r="N427" s="9">
        <f>Mecanismos!B4*(1-E427)</f>
        <v/>
      </c>
      <c r="O427" s="9">
        <f>Mecanismos!B5*(1-F427)</f>
        <v/>
      </c>
      <c r="P427" s="9">
        <f>Mecanismos!B6*(1-I427)</f>
        <v/>
      </c>
      <c r="Q427" s="9">
        <f>Mecanismos!B9*(1-G427)</f>
        <v/>
      </c>
      <c r="R427" s="9">
        <f>Mecanismos!B9*(1-J427)</f>
        <v/>
      </c>
      <c r="S427" s="9">
        <f>Mecanismos!B8*H427</f>
        <v/>
      </c>
      <c r="T427" s="9">
        <f>Mecanismos!B10*H427</f>
        <v/>
      </c>
      <c r="U427" s="9">
        <f>Mecanismos!B8*K427</f>
        <v/>
      </c>
      <c r="V427" s="9">
        <f>Mecanismos!B3*D427</f>
        <v/>
      </c>
      <c r="W427" s="9">
        <f>Parametros!B2+Parametros!B4*(S427+T427+U427+V427)-Parametros!B3*(L427+M427+N427+O427+P427+Q427+R427)</f>
        <v/>
      </c>
      <c r="X427" s="10">
        <f>1/(1+EXP(-W427))</f>
        <v/>
      </c>
      <c r="Y427" s="11">
        <f>IF(Parametros!B6=1,0.15+0.85*(1/(1+EXP(-8*((1-N427)-0.45)))),1)</f>
        <v/>
      </c>
      <c r="Z427" s="11">
        <f>IF(Parametros!B7=1,MAX(0.05,1-L427^1.6),1)</f>
        <v/>
      </c>
      <c r="AA427" s="11">
        <f>IF(Parametros!B8=1,0.2+0.8*(1/(1+EXP(-9*(S427-0.25)))),1)</f>
        <v/>
      </c>
      <c r="AB427" s="10">
        <f>X427*Y427*Z427*AA427</f>
        <v/>
      </c>
    </row>
    <row r="428">
      <c r="A428" t="inlineStr">
        <is>
          <t>enu4n0</t>
        </is>
      </c>
      <c r="B428" t="inlineStr">
        <is>
          <t>Raul Ferreira</t>
        </is>
      </c>
      <c r="C428" s="8" t="n">
        <v>0.3379</v>
      </c>
      <c r="D428" s="8" t="n">
        <v>0.3988</v>
      </c>
      <c r="E428" s="8" t="n">
        <v>0.5581</v>
      </c>
      <c r="F428" s="8" t="n">
        <v>0.4785</v>
      </c>
      <c r="G428" s="8" t="n">
        <v>0.3379</v>
      </c>
      <c r="H428" s="8" t="n">
        <v>0.4941</v>
      </c>
      <c r="I428" s="8" t="n">
        <v>0.5695</v>
      </c>
      <c r="J428" s="8" t="n">
        <v>0.7972</v>
      </c>
      <c r="K428" s="8" t="n">
        <v>0.2825</v>
      </c>
      <c r="L428" s="9">
        <f>1-(1-Mecanismos!B2)*(1-C428)</f>
        <v/>
      </c>
      <c r="M428" s="9">
        <f>Mecanismos!B7*D428</f>
        <v/>
      </c>
      <c r="N428" s="9">
        <f>Mecanismos!B4*(1-E428)</f>
        <v/>
      </c>
      <c r="O428" s="9">
        <f>Mecanismos!B5*(1-F428)</f>
        <v/>
      </c>
      <c r="P428" s="9">
        <f>Mecanismos!B6*(1-I428)</f>
        <v/>
      </c>
      <c r="Q428" s="9">
        <f>Mecanismos!B9*(1-G428)</f>
        <v/>
      </c>
      <c r="R428" s="9">
        <f>Mecanismos!B9*(1-J428)</f>
        <v/>
      </c>
      <c r="S428" s="9">
        <f>Mecanismos!B8*H428</f>
        <v/>
      </c>
      <c r="T428" s="9">
        <f>Mecanismos!B10*H428</f>
        <v/>
      </c>
      <c r="U428" s="9">
        <f>Mecanismos!B8*K428</f>
        <v/>
      </c>
      <c r="V428" s="9">
        <f>Mecanismos!B3*D428</f>
        <v/>
      </c>
      <c r="W428" s="9">
        <f>Parametros!B2+Parametros!B4*(S428+T428+U428+V428)-Parametros!B3*(L428+M428+N428+O428+P428+Q428+R428)</f>
        <v/>
      </c>
      <c r="X428" s="10">
        <f>1/(1+EXP(-W428))</f>
        <v/>
      </c>
      <c r="Y428" s="11">
        <f>IF(Parametros!B6=1,0.15+0.85*(1/(1+EXP(-8*((1-N428)-0.45)))),1)</f>
        <v/>
      </c>
      <c r="Z428" s="11">
        <f>IF(Parametros!B7=1,MAX(0.05,1-L428^1.6),1)</f>
        <v/>
      </c>
      <c r="AA428" s="11">
        <f>IF(Parametros!B8=1,0.2+0.8*(1/(1+EXP(-9*(S428-0.25)))),1)</f>
        <v/>
      </c>
      <c r="AB428" s="10">
        <f>X428*Y428*Z428*AA428</f>
        <v/>
      </c>
    </row>
    <row r="429">
      <c r="A429" t="inlineStr">
        <is>
          <t>3f1087</t>
        </is>
      </c>
      <c r="B429" t="inlineStr">
        <is>
          <t>Raul da Paz</t>
        </is>
      </c>
      <c r="C429" s="8" t="n">
        <v>0.6814</v>
      </c>
      <c r="D429" s="8" t="n">
        <v>0.7089</v>
      </c>
      <c r="E429" s="8" t="n">
        <v>0.5562</v>
      </c>
      <c r="F429" s="8" t="n">
        <v>0.7996</v>
      </c>
      <c r="G429" s="8" t="n">
        <v>0.6496</v>
      </c>
      <c r="H429" s="8" t="n">
        <v>0.4189</v>
      </c>
      <c r="I429" s="8" t="n">
        <v>0.6387</v>
      </c>
      <c r="J429" s="8" t="n">
        <v>0.8807</v>
      </c>
      <c r="K429" s="8" t="n">
        <v>0.4204</v>
      </c>
      <c r="L429" s="9">
        <f>1-(1-Mecanismos!B2)*(1-C429)</f>
        <v/>
      </c>
      <c r="M429" s="9">
        <f>Mecanismos!B7*D429</f>
        <v/>
      </c>
      <c r="N429" s="9">
        <f>Mecanismos!B4*(1-E429)</f>
        <v/>
      </c>
      <c r="O429" s="9">
        <f>Mecanismos!B5*(1-F429)</f>
        <v/>
      </c>
      <c r="P429" s="9">
        <f>Mecanismos!B6*(1-I429)</f>
        <v/>
      </c>
      <c r="Q429" s="9">
        <f>Mecanismos!B9*(1-G429)</f>
        <v/>
      </c>
      <c r="R429" s="9">
        <f>Mecanismos!B9*(1-J429)</f>
        <v/>
      </c>
      <c r="S429" s="9">
        <f>Mecanismos!B8*H429</f>
        <v/>
      </c>
      <c r="T429" s="9">
        <f>Mecanismos!B10*H429</f>
        <v/>
      </c>
      <c r="U429" s="9">
        <f>Mecanismos!B8*K429</f>
        <v/>
      </c>
      <c r="V429" s="9">
        <f>Mecanismos!B3*D429</f>
        <v/>
      </c>
      <c r="W429" s="9">
        <f>Parametros!B2+Parametros!B4*(S429+T429+U429+V429)-Parametros!B3*(L429+M429+N429+O429+P429+Q429+R429)</f>
        <v/>
      </c>
      <c r="X429" s="10">
        <f>1/(1+EXP(-W429))</f>
        <v/>
      </c>
      <c r="Y429" s="11">
        <f>IF(Parametros!B6=1,0.15+0.85*(1/(1+EXP(-8*((1-N429)-0.45)))),1)</f>
        <v/>
      </c>
      <c r="Z429" s="11">
        <f>IF(Parametros!B7=1,MAX(0.05,1-L429^1.6),1)</f>
        <v/>
      </c>
      <c r="AA429" s="11">
        <f>IF(Parametros!B8=1,0.2+0.8*(1/(1+EXP(-9*(S429-0.25)))),1)</f>
        <v/>
      </c>
      <c r="AB429" s="10">
        <f>X429*Y429*Z429*AA429</f>
        <v/>
      </c>
    </row>
    <row r="430">
      <c r="A430" t="inlineStr">
        <is>
          <t>eiqs7q</t>
        </is>
      </c>
      <c r="B430" t="inlineStr">
        <is>
          <t>Ravi Camargo</t>
        </is>
      </c>
      <c r="C430" s="8" t="n">
        <v>0.3771</v>
      </c>
      <c r="D430" s="8" t="n">
        <v>0.6207</v>
      </c>
      <c r="E430" s="8" t="n">
        <v>0.5165999999999999</v>
      </c>
      <c r="F430" s="8" t="n">
        <v>0.489</v>
      </c>
      <c r="G430" s="8" t="n">
        <v>0.5591</v>
      </c>
      <c r="H430" s="8" t="n">
        <v>0.5756</v>
      </c>
      <c r="I430" s="8" t="n">
        <v>0.8976</v>
      </c>
      <c r="J430" s="8" t="n">
        <v>0.5233</v>
      </c>
      <c r="K430" s="8" t="n">
        <v>0.4675</v>
      </c>
      <c r="L430" s="9">
        <f>1-(1-Mecanismos!B2)*(1-C430)</f>
        <v/>
      </c>
      <c r="M430" s="9">
        <f>Mecanismos!B7*D430</f>
        <v/>
      </c>
      <c r="N430" s="9">
        <f>Mecanismos!B4*(1-E430)</f>
        <v/>
      </c>
      <c r="O430" s="9">
        <f>Mecanismos!B5*(1-F430)</f>
        <v/>
      </c>
      <c r="P430" s="9">
        <f>Mecanismos!B6*(1-I430)</f>
        <v/>
      </c>
      <c r="Q430" s="9">
        <f>Mecanismos!B9*(1-G430)</f>
        <v/>
      </c>
      <c r="R430" s="9">
        <f>Mecanismos!B9*(1-J430)</f>
        <v/>
      </c>
      <c r="S430" s="9">
        <f>Mecanismos!B8*H430</f>
        <v/>
      </c>
      <c r="T430" s="9">
        <f>Mecanismos!B10*H430</f>
        <v/>
      </c>
      <c r="U430" s="9">
        <f>Mecanismos!B8*K430</f>
        <v/>
      </c>
      <c r="V430" s="9">
        <f>Mecanismos!B3*D430</f>
        <v/>
      </c>
      <c r="W430" s="9">
        <f>Parametros!B2+Parametros!B4*(S430+T430+U430+V430)-Parametros!B3*(L430+M430+N430+O430+P430+Q430+R430)</f>
        <v/>
      </c>
      <c r="X430" s="10">
        <f>1/(1+EXP(-W430))</f>
        <v/>
      </c>
      <c r="Y430" s="11">
        <f>IF(Parametros!B6=1,0.15+0.85*(1/(1+EXP(-8*((1-N430)-0.45)))),1)</f>
        <v/>
      </c>
      <c r="Z430" s="11">
        <f>IF(Parametros!B7=1,MAX(0.05,1-L430^1.6),1)</f>
        <v/>
      </c>
      <c r="AA430" s="11">
        <f>IF(Parametros!B8=1,0.2+0.8*(1/(1+EXP(-9*(S430-0.25)))),1)</f>
        <v/>
      </c>
      <c r="AB430" s="10">
        <f>X430*Y430*Z430*AA430</f>
        <v/>
      </c>
    </row>
    <row r="431">
      <c r="A431" t="inlineStr">
        <is>
          <t>fxr1t3</t>
        </is>
      </c>
      <c r="B431" t="inlineStr">
        <is>
          <t>Ravi Correia</t>
        </is>
      </c>
      <c r="C431" s="8" t="n">
        <v>0.6531</v>
      </c>
      <c r="D431" s="8" t="n">
        <v>0.4178</v>
      </c>
      <c r="E431" s="8" t="n">
        <v>0.4101</v>
      </c>
      <c r="F431" s="8" t="n">
        <v>0.6669</v>
      </c>
      <c r="G431" s="8" t="n">
        <v>0.6398</v>
      </c>
      <c r="H431" s="8" t="n">
        <v>0.7935</v>
      </c>
      <c r="I431" s="8" t="n">
        <v>0.5003</v>
      </c>
      <c r="J431" s="8" t="n">
        <v>0.6798999999999999</v>
      </c>
      <c r="K431" s="8" t="n">
        <v>0.4802</v>
      </c>
      <c r="L431" s="9">
        <f>1-(1-Mecanismos!B2)*(1-C431)</f>
        <v/>
      </c>
      <c r="M431" s="9">
        <f>Mecanismos!B7*D431</f>
        <v/>
      </c>
      <c r="N431" s="9">
        <f>Mecanismos!B4*(1-E431)</f>
        <v/>
      </c>
      <c r="O431" s="9">
        <f>Mecanismos!B5*(1-F431)</f>
        <v/>
      </c>
      <c r="P431" s="9">
        <f>Mecanismos!B6*(1-I431)</f>
        <v/>
      </c>
      <c r="Q431" s="9">
        <f>Mecanismos!B9*(1-G431)</f>
        <v/>
      </c>
      <c r="R431" s="9">
        <f>Mecanismos!B9*(1-J431)</f>
        <v/>
      </c>
      <c r="S431" s="9">
        <f>Mecanismos!B8*H431</f>
        <v/>
      </c>
      <c r="T431" s="9">
        <f>Mecanismos!B10*H431</f>
        <v/>
      </c>
      <c r="U431" s="9">
        <f>Mecanismos!B8*K431</f>
        <v/>
      </c>
      <c r="V431" s="9">
        <f>Mecanismos!B3*D431</f>
        <v/>
      </c>
      <c r="W431" s="9">
        <f>Parametros!B2+Parametros!B4*(S431+T431+U431+V431)-Parametros!B3*(L431+M431+N431+O431+P431+Q431+R431)</f>
        <v/>
      </c>
      <c r="X431" s="10">
        <f>1/(1+EXP(-W431))</f>
        <v/>
      </c>
      <c r="Y431" s="11">
        <f>IF(Parametros!B6=1,0.15+0.85*(1/(1+EXP(-8*((1-N431)-0.45)))),1)</f>
        <v/>
      </c>
      <c r="Z431" s="11">
        <f>IF(Parametros!B7=1,MAX(0.05,1-L431^1.6),1)</f>
        <v/>
      </c>
      <c r="AA431" s="11">
        <f>IF(Parametros!B8=1,0.2+0.8*(1/(1+EXP(-9*(S431-0.25)))),1)</f>
        <v/>
      </c>
      <c r="AB431" s="10">
        <f>X431*Y431*Z431*AA431</f>
        <v/>
      </c>
    </row>
    <row r="432">
      <c r="A432" t="inlineStr">
        <is>
          <t>6gz2lr</t>
        </is>
      </c>
      <c r="B432" t="inlineStr">
        <is>
          <t>Ravi Lucca Correia</t>
        </is>
      </c>
      <c r="C432" s="8" t="n">
        <v>0.5593</v>
      </c>
      <c r="D432" s="8" t="n">
        <v>0.7125</v>
      </c>
      <c r="E432" s="8" t="n">
        <v>0.5585</v>
      </c>
      <c r="F432" s="8" t="n">
        <v>0.5548</v>
      </c>
      <c r="G432" s="8" t="n">
        <v>0.3141</v>
      </c>
      <c r="H432" s="8" t="n">
        <v>0.6506</v>
      </c>
      <c r="I432" s="8" t="n">
        <v>0.6526</v>
      </c>
      <c r="J432" s="8" t="n">
        <v>0.7965</v>
      </c>
      <c r="K432" s="8" t="n">
        <v>0.5557</v>
      </c>
      <c r="L432" s="9">
        <f>1-(1-Mecanismos!B2)*(1-C432)</f>
        <v/>
      </c>
      <c r="M432" s="9">
        <f>Mecanismos!B7*D432</f>
        <v/>
      </c>
      <c r="N432" s="9">
        <f>Mecanismos!B4*(1-E432)</f>
        <v/>
      </c>
      <c r="O432" s="9">
        <f>Mecanismos!B5*(1-F432)</f>
        <v/>
      </c>
      <c r="P432" s="9">
        <f>Mecanismos!B6*(1-I432)</f>
        <v/>
      </c>
      <c r="Q432" s="9">
        <f>Mecanismos!B9*(1-G432)</f>
        <v/>
      </c>
      <c r="R432" s="9">
        <f>Mecanismos!B9*(1-J432)</f>
        <v/>
      </c>
      <c r="S432" s="9">
        <f>Mecanismos!B8*H432</f>
        <v/>
      </c>
      <c r="T432" s="9">
        <f>Mecanismos!B10*H432</f>
        <v/>
      </c>
      <c r="U432" s="9">
        <f>Mecanismos!B8*K432</f>
        <v/>
      </c>
      <c r="V432" s="9">
        <f>Mecanismos!B3*D432</f>
        <v/>
      </c>
      <c r="W432" s="9">
        <f>Parametros!B2+Parametros!B4*(S432+T432+U432+V432)-Parametros!B3*(L432+M432+N432+O432+P432+Q432+R432)</f>
        <v/>
      </c>
      <c r="X432" s="10">
        <f>1/(1+EXP(-W432))</f>
        <v/>
      </c>
      <c r="Y432" s="11">
        <f>IF(Parametros!B6=1,0.15+0.85*(1/(1+EXP(-8*((1-N432)-0.45)))),1)</f>
        <v/>
      </c>
      <c r="Z432" s="11">
        <f>IF(Parametros!B7=1,MAX(0.05,1-L432^1.6),1)</f>
        <v/>
      </c>
      <c r="AA432" s="11">
        <f>IF(Parametros!B8=1,0.2+0.8*(1/(1+EXP(-9*(S432-0.25)))),1)</f>
        <v/>
      </c>
      <c r="AB432" s="10">
        <f>X432*Y432*Z432*AA432</f>
        <v/>
      </c>
    </row>
    <row r="433">
      <c r="A433" t="inlineStr">
        <is>
          <t>jw0oer</t>
        </is>
      </c>
      <c r="B433" t="inlineStr">
        <is>
          <t>Ravi da Paz</t>
        </is>
      </c>
      <c r="C433" s="8" t="n">
        <v>0.7617</v>
      </c>
      <c r="D433" s="8" t="n">
        <v>0.6192</v>
      </c>
      <c r="E433" s="8" t="n">
        <v>0.5086000000000001</v>
      </c>
      <c r="F433" s="8" t="n">
        <v>0.3861</v>
      </c>
      <c r="G433" s="8" t="n">
        <v>0.7835</v>
      </c>
      <c r="H433" s="8" t="n">
        <v>0.5652</v>
      </c>
      <c r="I433" s="8" t="n">
        <v>0.7124</v>
      </c>
      <c r="J433" s="8" t="n">
        <v>0.6701</v>
      </c>
      <c r="K433" s="8" t="n">
        <v>0.2538</v>
      </c>
      <c r="L433" s="9">
        <f>1-(1-Mecanismos!B2)*(1-C433)</f>
        <v/>
      </c>
      <c r="M433" s="9">
        <f>Mecanismos!B7*D433</f>
        <v/>
      </c>
      <c r="N433" s="9">
        <f>Mecanismos!B4*(1-E433)</f>
        <v/>
      </c>
      <c r="O433" s="9">
        <f>Mecanismos!B5*(1-F433)</f>
        <v/>
      </c>
      <c r="P433" s="9">
        <f>Mecanismos!B6*(1-I433)</f>
        <v/>
      </c>
      <c r="Q433" s="9">
        <f>Mecanismos!B9*(1-G433)</f>
        <v/>
      </c>
      <c r="R433" s="9">
        <f>Mecanismos!B9*(1-J433)</f>
        <v/>
      </c>
      <c r="S433" s="9">
        <f>Mecanismos!B8*H433</f>
        <v/>
      </c>
      <c r="T433" s="9">
        <f>Mecanismos!B10*H433</f>
        <v/>
      </c>
      <c r="U433" s="9">
        <f>Mecanismos!B8*K433</f>
        <v/>
      </c>
      <c r="V433" s="9">
        <f>Mecanismos!B3*D433</f>
        <v/>
      </c>
      <c r="W433" s="9">
        <f>Parametros!B2+Parametros!B4*(S433+T433+U433+V433)-Parametros!B3*(L433+M433+N433+O433+P433+Q433+R433)</f>
        <v/>
      </c>
      <c r="X433" s="10">
        <f>1/(1+EXP(-W433))</f>
        <v/>
      </c>
      <c r="Y433" s="11">
        <f>IF(Parametros!B6=1,0.15+0.85*(1/(1+EXP(-8*((1-N433)-0.45)))),1)</f>
        <v/>
      </c>
      <c r="Z433" s="11">
        <f>IF(Parametros!B7=1,MAX(0.05,1-L433^1.6),1)</f>
        <v/>
      </c>
      <c r="AA433" s="11">
        <f>IF(Parametros!B8=1,0.2+0.8*(1/(1+EXP(-9*(S433-0.25)))),1)</f>
        <v/>
      </c>
      <c r="AB433" s="10">
        <f>X433*Y433*Z433*AA433</f>
        <v/>
      </c>
    </row>
    <row r="434">
      <c r="A434" t="inlineStr">
        <is>
          <t>ug1dgl</t>
        </is>
      </c>
      <c r="B434" t="inlineStr">
        <is>
          <t>Ravy Fernandes</t>
        </is>
      </c>
      <c r="C434" s="8" t="n">
        <v>0.5921999999999999</v>
      </c>
      <c r="D434" s="8" t="n">
        <v>0.2125</v>
      </c>
      <c r="E434" s="8" t="n">
        <v>0.4016</v>
      </c>
      <c r="F434" s="8" t="n">
        <v>0.2578</v>
      </c>
      <c r="G434" s="8" t="n">
        <v>0.4787</v>
      </c>
      <c r="H434" s="8" t="n">
        <v>0.5317</v>
      </c>
      <c r="I434" s="8" t="n">
        <v>0.2963</v>
      </c>
      <c r="J434" s="8" t="n">
        <v>0.6823</v>
      </c>
      <c r="K434" s="8" t="n">
        <v>0.2792</v>
      </c>
      <c r="L434" s="9">
        <f>1-(1-Mecanismos!B2)*(1-C434)</f>
        <v/>
      </c>
      <c r="M434" s="9">
        <f>Mecanismos!B7*D434</f>
        <v/>
      </c>
      <c r="N434" s="9">
        <f>Mecanismos!B4*(1-E434)</f>
        <v/>
      </c>
      <c r="O434" s="9">
        <f>Mecanismos!B5*(1-F434)</f>
        <v/>
      </c>
      <c r="P434" s="9">
        <f>Mecanismos!B6*(1-I434)</f>
        <v/>
      </c>
      <c r="Q434" s="9">
        <f>Mecanismos!B9*(1-G434)</f>
        <v/>
      </c>
      <c r="R434" s="9">
        <f>Mecanismos!B9*(1-J434)</f>
        <v/>
      </c>
      <c r="S434" s="9">
        <f>Mecanismos!B8*H434</f>
        <v/>
      </c>
      <c r="T434" s="9">
        <f>Mecanismos!B10*H434</f>
        <v/>
      </c>
      <c r="U434" s="9">
        <f>Mecanismos!B8*K434</f>
        <v/>
      </c>
      <c r="V434" s="9">
        <f>Mecanismos!B3*D434</f>
        <v/>
      </c>
      <c r="W434" s="9">
        <f>Parametros!B2+Parametros!B4*(S434+T434+U434+V434)-Parametros!B3*(L434+M434+N434+O434+P434+Q434+R434)</f>
        <v/>
      </c>
      <c r="X434" s="10">
        <f>1/(1+EXP(-W434))</f>
        <v/>
      </c>
      <c r="Y434" s="11">
        <f>IF(Parametros!B6=1,0.15+0.85*(1/(1+EXP(-8*((1-N434)-0.45)))),1)</f>
        <v/>
      </c>
      <c r="Z434" s="11">
        <f>IF(Parametros!B7=1,MAX(0.05,1-L434^1.6),1)</f>
        <v/>
      </c>
      <c r="AA434" s="11">
        <f>IF(Parametros!B8=1,0.2+0.8*(1/(1+EXP(-9*(S434-0.25)))),1)</f>
        <v/>
      </c>
      <c r="AB434" s="10">
        <f>X434*Y434*Z434*AA434</f>
        <v/>
      </c>
    </row>
    <row r="435">
      <c r="A435" t="inlineStr">
        <is>
          <t>7xx5sa</t>
        </is>
      </c>
      <c r="B435" t="inlineStr">
        <is>
          <t>Rebeca Correia</t>
        </is>
      </c>
      <c r="C435" s="8" t="n">
        <v>0.8117</v>
      </c>
      <c r="D435" s="8" t="n">
        <v>0.3918</v>
      </c>
      <c r="E435" s="8" t="n">
        <v>0.5619</v>
      </c>
      <c r="F435" s="8" t="n">
        <v>0.6074000000000001</v>
      </c>
      <c r="G435" s="8" t="n">
        <v>0.3085</v>
      </c>
      <c r="H435" s="8" t="n">
        <v>0.8184</v>
      </c>
      <c r="I435" s="8" t="n">
        <v>0.2876</v>
      </c>
      <c r="J435" s="8" t="n">
        <v>0.4922</v>
      </c>
      <c r="K435" s="8" t="n">
        <v>0.3536</v>
      </c>
      <c r="L435" s="9">
        <f>1-(1-Mecanismos!B2)*(1-C435)</f>
        <v/>
      </c>
      <c r="M435" s="9">
        <f>Mecanismos!B7*D435</f>
        <v/>
      </c>
      <c r="N435" s="9">
        <f>Mecanismos!B4*(1-E435)</f>
        <v/>
      </c>
      <c r="O435" s="9">
        <f>Mecanismos!B5*(1-F435)</f>
        <v/>
      </c>
      <c r="P435" s="9">
        <f>Mecanismos!B6*(1-I435)</f>
        <v/>
      </c>
      <c r="Q435" s="9">
        <f>Mecanismos!B9*(1-G435)</f>
        <v/>
      </c>
      <c r="R435" s="9">
        <f>Mecanismos!B9*(1-J435)</f>
        <v/>
      </c>
      <c r="S435" s="9">
        <f>Mecanismos!B8*H435</f>
        <v/>
      </c>
      <c r="T435" s="9">
        <f>Mecanismos!B10*H435</f>
        <v/>
      </c>
      <c r="U435" s="9">
        <f>Mecanismos!B8*K435</f>
        <v/>
      </c>
      <c r="V435" s="9">
        <f>Mecanismos!B3*D435</f>
        <v/>
      </c>
      <c r="W435" s="9">
        <f>Parametros!B2+Parametros!B4*(S435+T435+U435+V435)-Parametros!B3*(L435+M435+N435+O435+P435+Q435+R435)</f>
        <v/>
      </c>
      <c r="X435" s="10">
        <f>1/(1+EXP(-W435))</f>
        <v/>
      </c>
      <c r="Y435" s="11">
        <f>IF(Parametros!B6=1,0.15+0.85*(1/(1+EXP(-8*((1-N435)-0.45)))),1)</f>
        <v/>
      </c>
      <c r="Z435" s="11">
        <f>IF(Parametros!B7=1,MAX(0.05,1-L435^1.6),1)</f>
        <v/>
      </c>
      <c r="AA435" s="11">
        <f>IF(Parametros!B8=1,0.2+0.8*(1/(1+EXP(-9*(S435-0.25)))),1)</f>
        <v/>
      </c>
      <c r="AB435" s="10">
        <f>X435*Y435*Z435*AA435</f>
        <v/>
      </c>
    </row>
    <row r="436">
      <c r="A436" t="inlineStr">
        <is>
          <t>263agp</t>
        </is>
      </c>
      <c r="B436" t="inlineStr">
        <is>
          <t>Rebeca Garcia</t>
        </is>
      </c>
      <c r="C436" s="8" t="n">
        <v>0.5677</v>
      </c>
      <c r="D436" s="8" t="n">
        <v>0.6415999999999999</v>
      </c>
      <c r="E436" s="8" t="n">
        <v>0.7901</v>
      </c>
      <c r="F436" s="8" t="n">
        <v>0.5548999999999999</v>
      </c>
      <c r="G436" s="8" t="n">
        <v>0.345</v>
      </c>
      <c r="H436" s="8" t="n">
        <v>0.4003</v>
      </c>
      <c r="I436" s="8" t="n">
        <v>0.5979</v>
      </c>
      <c r="J436" s="8" t="n">
        <v>0.622</v>
      </c>
      <c r="K436" s="8" t="n">
        <v>0.4911</v>
      </c>
      <c r="L436" s="9">
        <f>1-(1-Mecanismos!B2)*(1-C436)</f>
        <v/>
      </c>
      <c r="M436" s="9">
        <f>Mecanismos!B7*D436</f>
        <v/>
      </c>
      <c r="N436" s="9">
        <f>Mecanismos!B4*(1-E436)</f>
        <v/>
      </c>
      <c r="O436" s="9">
        <f>Mecanismos!B5*(1-F436)</f>
        <v/>
      </c>
      <c r="P436" s="9">
        <f>Mecanismos!B6*(1-I436)</f>
        <v/>
      </c>
      <c r="Q436" s="9">
        <f>Mecanismos!B9*(1-G436)</f>
        <v/>
      </c>
      <c r="R436" s="9">
        <f>Mecanismos!B9*(1-J436)</f>
        <v/>
      </c>
      <c r="S436" s="9">
        <f>Mecanismos!B8*H436</f>
        <v/>
      </c>
      <c r="T436" s="9">
        <f>Mecanismos!B10*H436</f>
        <v/>
      </c>
      <c r="U436" s="9">
        <f>Mecanismos!B8*K436</f>
        <v/>
      </c>
      <c r="V436" s="9">
        <f>Mecanismos!B3*D436</f>
        <v/>
      </c>
      <c r="W436" s="9">
        <f>Parametros!B2+Parametros!B4*(S436+T436+U436+V436)-Parametros!B3*(L436+M436+N436+O436+P436+Q436+R436)</f>
        <v/>
      </c>
      <c r="X436" s="10">
        <f>1/(1+EXP(-W436))</f>
        <v/>
      </c>
      <c r="Y436" s="11">
        <f>IF(Parametros!B6=1,0.15+0.85*(1/(1+EXP(-8*((1-N436)-0.45)))),1)</f>
        <v/>
      </c>
      <c r="Z436" s="11">
        <f>IF(Parametros!B7=1,MAX(0.05,1-L436^1.6),1)</f>
        <v/>
      </c>
      <c r="AA436" s="11">
        <f>IF(Parametros!B8=1,0.2+0.8*(1/(1+EXP(-9*(S436-0.25)))),1)</f>
        <v/>
      </c>
      <c r="AB436" s="10">
        <f>X436*Y436*Z436*AA436</f>
        <v/>
      </c>
    </row>
    <row r="437">
      <c r="A437" t="inlineStr">
        <is>
          <t>mwi58v</t>
        </is>
      </c>
      <c r="B437" t="inlineStr">
        <is>
          <t>Rebeca Moreira</t>
        </is>
      </c>
      <c r="C437" s="8" t="n">
        <v>0.5944</v>
      </c>
      <c r="D437" s="8" t="n">
        <v>0.6482</v>
      </c>
      <c r="E437" s="8" t="n">
        <v>0.4384</v>
      </c>
      <c r="F437" s="8" t="n">
        <v>0.6778</v>
      </c>
      <c r="G437" s="8" t="n">
        <v>0.714</v>
      </c>
      <c r="H437" s="8" t="n">
        <v>0.8007</v>
      </c>
      <c r="I437" s="8" t="n">
        <v>0.2394</v>
      </c>
      <c r="J437" s="8" t="n">
        <v>0.8843</v>
      </c>
      <c r="K437" s="8" t="n">
        <v>0.2135</v>
      </c>
      <c r="L437" s="9">
        <f>1-(1-Mecanismos!B2)*(1-C437)</f>
        <v/>
      </c>
      <c r="M437" s="9">
        <f>Mecanismos!B7*D437</f>
        <v/>
      </c>
      <c r="N437" s="9">
        <f>Mecanismos!B4*(1-E437)</f>
        <v/>
      </c>
      <c r="O437" s="9">
        <f>Mecanismos!B5*(1-F437)</f>
        <v/>
      </c>
      <c r="P437" s="9">
        <f>Mecanismos!B6*(1-I437)</f>
        <v/>
      </c>
      <c r="Q437" s="9">
        <f>Mecanismos!B9*(1-G437)</f>
        <v/>
      </c>
      <c r="R437" s="9">
        <f>Mecanismos!B9*(1-J437)</f>
        <v/>
      </c>
      <c r="S437" s="9">
        <f>Mecanismos!B8*H437</f>
        <v/>
      </c>
      <c r="T437" s="9">
        <f>Mecanismos!B10*H437</f>
        <v/>
      </c>
      <c r="U437" s="9">
        <f>Mecanismos!B8*K437</f>
        <v/>
      </c>
      <c r="V437" s="9">
        <f>Mecanismos!B3*D437</f>
        <v/>
      </c>
      <c r="W437" s="9">
        <f>Parametros!B2+Parametros!B4*(S437+T437+U437+V437)-Parametros!B3*(L437+M437+N437+O437+P437+Q437+R437)</f>
        <v/>
      </c>
      <c r="X437" s="10">
        <f>1/(1+EXP(-W437))</f>
        <v/>
      </c>
      <c r="Y437" s="11">
        <f>IF(Parametros!B6=1,0.15+0.85*(1/(1+EXP(-8*((1-N437)-0.45)))),1)</f>
        <v/>
      </c>
      <c r="Z437" s="11">
        <f>IF(Parametros!B7=1,MAX(0.05,1-L437^1.6),1)</f>
        <v/>
      </c>
      <c r="AA437" s="11">
        <f>IF(Parametros!B8=1,0.2+0.8*(1/(1+EXP(-9*(S437-0.25)))),1)</f>
        <v/>
      </c>
      <c r="AB437" s="10">
        <f>X437*Y437*Z437*AA437</f>
        <v/>
      </c>
    </row>
    <row r="438">
      <c r="A438" t="inlineStr">
        <is>
          <t>mmoqsp</t>
        </is>
      </c>
      <c r="B438" t="inlineStr">
        <is>
          <t>Renan Casa Grande</t>
        </is>
      </c>
      <c r="C438" s="8" t="n">
        <v>0.5531</v>
      </c>
      <c r="D438" s="8" t="n">
        <v>0.5132</v>
      </c>
      <c r="E438" s="8" t="n">
        <v>0.5588</v>
      </c>
      <c r="F438" s="8" t="n">
        <v>0.6608000000000001</v>
      </c>
      <c r="G438" s="8" t="n">
        <v>0.7426</v>
      </c>
      <c r="H438" s="8" t="n">
        <v>0.2846</v>
      </c>
      <c r="I438" s="8" t="n">
        <v>0.7408</v>
      </c>
      <c r="J438" s="8" t="n">
        <v>0.8995</v>
      </c>
      <c r="K438" s="8" t="n">
        <v>0.6337</v>
      </c>
      <c r="L438" s="9">
        <f>1-(1-Mecanismos!B2)*(1-C438)</f>
        <v/>
      </c>
      <c r="M438" s="9">
        <f>Mecanismos!B7*D438</f>
        <v/>
      </c>
      <c r="N438" s="9">
        <f>Mecanismos!B4*(1-E438)</f>
        <v/>
      </c>
      <c r="O438" s="9">
        <f>Mecanismos!B5*(1-F438)</f>
        <v/>
      </c>
      <c r="P438" s="9">
        <f>Mecanismos!B6*(1-I438)</f>
        <v/>
      </c>
      <c r="Q438" s="9">
        <f>Mecanismos!B9*(1-G438)</f>
        <v/>
      </c>
      <c r="R438" s="9">
        <f>Mecanismos!B9*(1-J438)</f>
        <v/>
      </c>
      <c r="S438" s="9">
        <f>Mecanismos!B8*H438</f>
        <v/>
      </c>
      <c r="T438" s="9">
        <f>Mecanismos!B10*H438</f>
        <v/>
      </c>
      <c r="U438" s="9">
        <f>Mecanismos!B8*K438</f>
        <v/>
      </c>
      <c r="V438" s="9">
        <f>Mecanismos!B3*D438</f>
        <v/>
      </c>
      <c r="W438" s="9">
        <f>Parametros!B2+Parametros!B4*(S438+T438+U438+V438)-Parametros!B3*(L438+M438+N438+O438+P438+Q438+R438)</f>
        <v/>
      </c>
      <c r="X438" s="10">
        <f>1/(1+EXP(-W438))</f>
        <v/>
      </c>
      <c r="Y438" s="11">
        <f>IF(Parametros!B6=1,0.15+0.85*(1/(1+EXP(-8*((1-N438)-0.45)))),1)</f>
        <v/>
      </c>
      <c r="Z438" s="11">
        <f>IF(Parametros!B7=1,MAX(0.05,1-L438^1.6),1)</f>
        <v/>
      </c>
      <c r="AA438" s="11">
        <f>IF(Parametros!B8=1,0.2+0.8*(1/(1+EXP(-9*(S438-0.25)))),1)</f>
        <v/>
      </c>
      <c r="AB438" s="10">
        <f>X438*Y438*Z438*AA438</f>
        <v/>
      </c>
    </row>
    <row r="439">
      <c r="A439" t="inlineStr">
        <is>
          <t>lhyjnp</t>
        </is>
      </c>
      <c r="B439" t="inlineStr">
        <is>
          <t>Renan Leão</t>
        </is>
      </c>
      <c r="C439" s="8" t="n">
        <v>0.8245</v>
      </c>
      <c r="D439" s="8" t="n">
        <v>0.4277</v>
      </c>
      <c r="E439" s="8" t="n">
        <v>0.7047</v>
      </c>
      <c r="F439" s="8" t="n">
        <v>0.4074</v>
      </c>
      <c r="G439" s="8" t="n">
        <v>0.345</v>
      </c>
      <c r="H439" s="8" t="n">
        <v>0.5750999999999999</v>
      </c>
      <c r="I439" s="8" t="n">
        <v>0.1784</v>
      </c>
      <c r="J439" s="8" t="n">
        <v>0.8517</v>
      </c>
      <c r="K439" s="8" t="n">
        <v>0.2685</v>
      </c>
      <c r="L439" s="9">
        <f>1-(1-Mecanismos!B2)*(1-C439)</f>
        <v/>
      </c>
      <c r="M439" s="9">
        <f>Mecanismos!B7*D439</f>
        <v/>
      </c>
      <c r="N439" s="9">
        <f>Mecanismos!B4*(1-E439)</f>
        <v/>
      </c>
      <c r="O439" s="9">
        <f>Mecanismos!B5*(1-F439)</f>
        <v/>
      </c>
      <c r="P439" s="9">
        <f>Mecanismos!B6*(1-I439)</f>
        <v/>
      </c>
      <c r="Q439" s="9">
        <f>Mecanismos!B9*(1-G439)</f>
        <v/>
      </c>
      <c r="R439" s="9">
        <f>Mecanismos!B9*(1-J439)</f>
        <v/>
      </c>
      <c r="S439" s="9">
        <f>Mecanismos!B8*H439</f>
        <v/>
      </c>
      <c r="T439" s="9">
        <f>Mecanismos!B10*H439</f>
        <v/>
      </c>
      <c r="U439" s="9">
        <f>Mecanismos!B8*K439</f>
        <v/>
      </c>
      <c r="V439" s="9">
        <f>Mecanismos!B3*D439</f>
        <v/>
      </c>
      <c r="W439" s="9">
        <f>Parametros!B2+Parametros!B4*(S439+T439+U439+V439)-Parametros!B3*(L439+M439+N439+O439+P439+Q439+R439)</f>
        <v/>
      </c>
      <c r="X439" s="10">
        <f>1/(1+EXP(-W439))</f>
        <v/>
      </c>
      <c r="Y439" s="11">
        <f>IF(Parametros!B6=1,0.15+0.85*(1/(1+EXP(-8*((1-N439)-0.45)))),1)</f>
        <v/>
      </c>
      <c r="Z439" s="11">
        <f>IF(Parametros!B7=1,MAX(0.05,1-L439^1.6),1)</f>
        <v/>
      </c>
      <c r="AA439" s="11">
        <f>IF(Parametros!B8=1,0.2+0.8*(1/(1+EXP(-9*(S439-0.25)))),1)</f>
        <v/>
      </c>
      <c r="AB439" s="10">
        <f>X439*Y439*Z439*AA439</f>
        <v/>
      </c>
    </row>
    <row r="440">
      <c r="A440" t="inlineStr">
        <is>
          <t>r6e4rz</t>
        </is>
      </c>
      <c r="B440" t="inlineStr">
        <is>
          <t>Renan Leão</t>
        </is>
      </c>
      <c r="C440" s="8" t="n">
        <v>0.4639</v>
      </c>
      <c r="D440" s="8" t="n">
        <v>0.4154</v>
      </c>
      <c r="E440" s="8" t="n">
        <v>0.4005</v>
      </c>
      <c r="F440" s="8" t="n">
        <v>0.6515</v>
      </c>
      <c r="G440" s="8" t="n">
        <v>0.7532</v>
      </c>
      <c r="H440" s="8" t="n">
        <v>0.5779</v>
      </c>
      <c r="I440" s="8" t="n">
        <v>0.8423</v>
      </c>
      <c r="J440" s="8" t="n">
        <v>0.7915</v>
      </c>
      <c r="K440" s="8" t="n">
        <v>0.5338000000000001</v>
      </c>
      <c r="L440" s="9">
        <f>1-(1-Mecanismos!B2)*(1-C440)</f>
        <v/>
      </c>
      <c r="M440" s="9">
        <f>Mecanismos!B7*D440</f>
        <v/>
      </c>
      <c r="N440" s="9">
        <f>Mecanismos!B4*(1-E440)</f>
        <v/>
      </c>
      <c r="O440" s="9">
        <f>Mecanismos!B5*(1-F440)</f>
        <v/>
      </c>
      <c r="P440" s="9">
        <f>Mecanismos!B6*(1-I440)</f>
        <v/>
      </c>
      <c r="Q440" s="9">
        <f>Mecanismos!B9*(1-G440)</f>
        <v/>
      </c>
      <c r="R440" s="9">
        <f>Mecanismos!B9*(1-J440)</f>
        <v/>
      </c>
      <c r="S440" s="9">
        <f>Mecanismos!B8*H440</f>
        <v/>
      </c>
      <c r="T440" s="9">
        <f>Mecanismos!B10*H440</f>
        <v/>
      </c>
      <c r="U440" s="9">
        <f>Mecanismos!B8*K440</f>
        <v/>
      </c>
      <c r="V440" s="9">
        <f>Mecanismos!B3*D440</f>
        <v/>
      </c>
      <c r="W440" s="9">
        <f>Parametros!B2+Parametros!B4*(S440+T440+U440+V440)-Parametros!B3*(L440+M440+N440+O440+P440+Q440+R440)</f>
        <v/>
      </c>
      <c r="X440" s="10">
        <f>1/(1+EXP(-W440))</f>
        <v/>
      </c>
      <c r="Y440" s="11">
        <f>IF(Parametros!B6=1,0.15+0.85*(1/(1+EXP(-8*((1-N440)-0.45)))),1)</f>
        <v/>
      </c>
      <c r="Z440" s="11">
        <f>IF(Parametros!B7=1,MAX(0.05,1-L440^1.6),1)</f>
        <v/>
      </c>
      <c r="AA440" s="11">
        <f>IF(Parametros!B8=1,0.2+0.8*(1/(1+EXP(-9*(S440-0.25)))),1)</f>
        <v/>
      </c>
      <c r="AB440" s="10">
        <f>X440*Y440*Z440*AA440</f>
        <v/>
      </c>
    </row>
    <row r="441">
      <c r="A441" t="inlineStr">
        <is>
          <t>wvm2fr</t>
        </is>
      </c>
      <c r="B441" t="inlineStr">
        <is>
          <t>Rhavi Aparecida</t>
        </is>
      </c>
      <c r="C441" s="8" t="n">
        <v>0.6302</v>
      </c>
      <c r="D441" s="8" t="n">
        <v>0.5528</v>
      </c>
      <c r="E441" s="8" t="n">
        <v>0.6606</v>
      </c>
      <c r="F441" s="8" t="n">
        <v>0.6617</v>
      </c>
      <c r="G441" s="8" t="n">
        <v>0.6124000000000001</v>
      </c>
      <c r="H441" s="8" t="n">
        <v>0.6111</v>
      </c>
      <c r="I441" s="8" t="n">
        <v>0.5427999999999999</v>
      </c>
      <c r="J441" s="8" t="n">
        <v>0.6447000000000001</v>
      </c>
      <c r="K441" s="8" t="n">
        <v>0.4298</v>
      </c>
      <c r="L441" s="9">
        <f>1-(1-Mecanismos!B2)*(1-C441)</f>
        <v/>
      </c>
      <c r="M441" s="9">
        <f>Mecanismos!B7*D441</f>
        <v/>
      </c>
      <c r="N441" s="9">
        <f>Mecanismos!B4*(1-E441)</f>
        <v/>
      </c>
      <c r="O441" s="9">
        <f>Mecanismos!B5*(1-F441)</f>
        <v/>
      </c>
      <c r="P441" s="9">
        <f>Mecanismos!B6*(1-I441)</f>
        <v/>
      </c>
      <c r="Q441" s="9">
        <f>Mecanismos!B9*(1-G441)</f>
        <v/>
      </c>
      <c r="R441" s="9">
        <f>Mecanismos!B9*(1-J441)</f>
        <v/>
      </c>
      <c r="S441" s="9">
        <f>Mecanismos!B8*H441</f>
        <v/>
      </c>
      <c r="T441" s="9">
        <f>Mecanismos!B10*H441</f>
        <v/>
      </c>
      <c r="U441" s="9">
        <f>Mecanismos!B8*K441</f>
        <v/>
      </c>
      <c r="V441" s="9">
        <f>Mecanismos!B3*D441</f>
        <v/>
      </c>
      <c r="W441" s="9">
        <f>Parametros!B2+Parametros!B4*(S441+T441+U441+V441)-Parametros!B3*(L441+M441+N441+O441+P441+Q441+R441)</f>
        <v/>
      </c>
      <c r="X441" s="10">
        <f>1/(1+EXP(-W441))</f>
        <v/>
      </c>
      <c r="Y441" s="11">
        <f>IF(Parametros!B6=1,0.15+0.85*(1/(1+EXP(-8*((1-N441)-0.45)))),1)</f>
        <v/>
      </c>
      <c r="Z441" s="11">
        <f>IF(Parametros!B7=1,MAX(0.05,1-L441^1.6),1)</f>
        <v/>
      </c>
      <c r="AA441" s="11">
        <f>IF(Parametros!B8=1,0.2+0.8*(1/(1+EXP(-9*(S441-0.25)))),1)</f>
        <v/>
      </c>
      <c r="AB441" s="10">
        <f>X441*Y441*Z441*AA441</f>
        <v/>
      </c>
    </row>
    <row r="442">
      <c r="A442" t="inlineStr">
        <is>
          <t>blgwtd</t>
        </is>
      </c>
      <c r="B442" t="inlineStr">
        <is>
          <t>Rhavi Macedo</t>
        </is>
      </c>
      <c r="C442" s="8" t="n">
        <v>0.6355</v>
      </c>
      <c r="D442" s="8" t="n">
        <v>0.6119</v>
      </c>
      <c r="E442" s="8" t="n">
        <v>0.4546</v>
      </c>
      <c r="F442" s="8" t="n">
        <v>0.6173999999999999</v>
      </c>
      <c r="G442" s="8" t="n">
        <v>0.5294</v>
      </c>
      <c r="H442" s="8" t="n">
        <v>0.4236</v>
      </c>
      <c r="I442" s="8" t="n">
        <v>0.4285</v>
      </c>
      <c r="J442" s="8" t="n">
        <v>0.648</v>
      </c>
      <c r="K442" s="8" t="n">
        <v>0.5286999999999999</v>
      </c>
      <c r="L442" s="9">
        <f>1-(1-Mecanismos!B2)*(1-C442)</f>
        <v/>
      </c>
      <c r="M442" s="9">
        <f>Mecanismos!B7*D442</f>
        <v/>
      </c>
      <c r="N442" s="9">
        <f>Mecanismos!B4*(1-E442)</f>
        <v/>
      </c>
      <c r="O442" s="9">
        <f>Mecanismos!B5*(1-F442)</f>
        <v/>
      </c>
      <c r="P442" s="9">
        <f>Mecanismos!B6*(1-I442)</f>
        <v/>
      </c>
      <c r="Q442" s="9">
        <f>Mecanismos!B9*(1-G442)</f>
        <v/>
      </c>
      <c r="R442" s="9">
        <f>Mecanismos!B9*(1-J442)</f>
        <v/>
      </c>
      <c r="S442" s="9">
        <f>Mecanismos!B8*H442</f>
        <v/>
      </c>
      <c r="T442" s="9">
        <f>Mecanismos!B10*H442</f>
        <v/>
      </c>
      <c r="U442" s="9">
        <f>Mecanismos!B8*K442</f>
        <v/>
      </c>
      <c r="V442" s="9">
        <f>Mecanismos!B3*D442</f>
        <v/>
      </c>
      <c r="W442" s="9">
        <f>Parametros!B2+Parametros!B4*(S442+T442+U442+V442)-Parametros!B3*(L442+M442+N442+O442+P442+Q442+R442)</f>
        <v/>
      </c>
      <c r="X442" s="10">
        <f>1/(1+EXP(-W442))</f>
        <v/>
      </c>
      <c r="Y442" s="11">
        <f>IF(Parametros!B6=1,0.15+0.85*(1/(1+EXP(-8*((1-N442)-0.45)))),1)</f>
        <v/>
      </c>
      <c r="Z442" s="11">
        <f>IF(Parametros!B7=1,MAX(0.05,1-L442^1.6),1)</f>
        <v/>
      </c>
      <c r="AA442" s="11">
        <f>IF(Parametros!B8=1,0.2+0.8*(1/(1+EXP(-9*(S442-0.25)))),1)</f>
        <v/>
      </c>
      <c r="AB442" s="10">
        <f>X442*Y442*Z442*AA442</f>
        <v/>
      </c>
    </row>
    <row r="443">
      <c r="A443" t="inlineStr">
        <is>
          <t>rvi1ei</t>
        </is>
      </c>
      <c r="B443" t="inlineStr">
        <is>
          <t>Rhavi Novaes</t>
        </is>
      </c>
      <c r="C443" s="8" t="n">
        <v>0.6452</v>
      </c>
      <c r="D443" s="8" t="n">
        <v>0.6883</v>
      </c>
      <c r="E443" s="8" t="n">
        <v>0.7422</v>
      </c>
      <c r="F443" s="8" t="n">
        <v>0.5969</v>
      </c>
      <c r="G443" s="8" t="n">
        <v>0.6797</v>
      </c>
      <c r="H443" s="8" t="n">
        <v>0.6864</v>
      </c>
      <c r="I443" s="8" t="n">
        <v>0.6086</v>
      </c>
      <c r="J443" s="8" t="n">
        <v>0.9132</v>
      </c>
      <c r="K443" s="8" t="n">
        <v>0.2881</v>
      </c>
      <c r="L443" s="9">
        <f>1-(1-Mecanismos!B2)*(1-C443)</f>
        <v/>
      </c>
      <c r="M443" s="9">
        <f>Mecanismos!B7*D443</f>
        <v/>
      </c>
      <c r="N443" s="9">
        <f>Mecanismos!B4*(1-E443)</f>
        <v/>
      </c>
      <c r="O443" s="9">
        <f>Mecanismos!B5*(1-F443)</f>
        <v/>
      </c>
      <c r="P443" s="9">
        <f>Mecanismos!B6*(1-I443)</f>
        <v/>
      </c>
      <c r="Q443" s="9">
        <f>Mecanismos!B9*(1-G443)</f>
        <v/>
      </c>
      <c r="R443" s="9">
        <f>Mecanismos!B9*(1-J443)</f>
        <v/>
      </c>
      <c r="S443" s="9">
        <f>Mecanismos!B8*H443</f>
        <v/>
      </c>
      <c r="T443" s="9">
        <f>Mecanismos!B10*H443</f>
        <v/>
      </c>
      <c r="U443" s="9">
        <f>Mecanismos!B8*K443</f>
        <v/>
      </c>
      <c r="V443" s="9">
        <f>Mecanismos!B3*D443</f>
        <v/>
      </c>
      <c r="W443" s="9">
        <f>Parametros!B2+Parametros!B4*(S443+T443+U443+V443)-Parametros!B3*(L443+M443+N443+O443+P443+Q443+R443)</f>
        <v/>
      </c>
      <c r="X443" s="10">
        <f>1/(1+EXP(-W443))</f>
        <v/>
      </c>
      <c r="Y443" s="11">
        <f>IF(Parametros!B6=1,0.15+0.85*(1/(1+EXP(-8*((1-N443)-0.45)))),1)</f>
        <v/>
      </c>
      <c r="Z443" s="11">
        <f>IF(Parametros!B7=1,MAX(0.05,1-L443^1.6),1)</f>
        <v/>
      </c>
      <c r="AA443" s="11">
        <f>IF(Parametros!B8=1,0.2+0.8*(1/(1+EXP(-9*(S443-0.25)))),1)</f>
        <v/>
      </c>
      <c r="AB443" s="10">
        <f>X443*Y443*Z443*AA443</f>
        <v/>
      </c>
    </row>
    <row r="444">
      <c r="A444" t="inlineStr">
        <is>
          <t>frn338</t>
        </is>
      </c>
      <c r="B444" t="inlineStr">
        <is>
          <t>Rhavi Rios</t>
        </is>
      </c>
      <c r="C444" s="8" t="n">
        <v>0.5589</v>
      </c>
      <c r="D444" s="8" t="n">
        <v>0.5336</v>
      </c>
      <c r="E444" s="8" t="n">
        <v>0.5782</v>
      </c>
      <c r="F444" s="8" t="n">
        <v>0.5963000000000001</v>
      </c>
      <c r="G444" s="8" t="n">
        <v>0.6042999999999999</v>
      </c>
      <c r="H444" s="8" t="n">
        <v>0.6523</v>
      </c>
      <c r="I444" s="8" t="n">
        <v>0.5548</v>
      </c>
      <c r="J444" s="8" t="n">
        <v>0.7708</v>
      </c>
      <c r="K444" s="8" t="n">
        <v>0.436</v>
      </c>
      <c r="L444" s="9">
        <f>1-(1-Mecanismos!B2)*(1-C444)</f>
        <v/>
      </c>
      <c r="M444" s="9">
        <f>Mecanismos!B7*D444</f>
        <v/>
      </c>
      <c r="N444" s="9">
        <f>Mecanismos!B4*(1-E444)</f>
        <v/>
      </c>
      <c r="O444" s="9">
        <f>Mecanismos!B5*(1-F444)</f>
        <v/>
      </c>
      <c r="P444" s="9">
        <f>Mecanismos!B6*(1-I444)</f>
        <v/>
      </c>
      <c r="Q444" s="9">
        <f>Mecanismos!B9*(1-G444)</f>
        <v/>
      </c>
      <c r="R444" s="9">
        <f>Mecanismos!B9*(1-J444)</f>
        <v/>
      </c>
      <c r="S444" s="9">
        <f>Mecanismos!B8*H444</f>
        <v/>
      </c>
      <c r="T444" s="9">
        <f>Mecanismos!B10*H444</f>
        <v/>
      </c>
      <c r="U444" s="9">
        <f>Mecanismos!B8*K444</f>
        <v/>
      </c>
      <c r="V444" s="9">
        <f>Mecanismos!B3*D444</f>
        <v/>
      </c>
      <c r="W444" s="9">
        <f>Parametros!B2+Parametros!B4*(S444+T444+U444+V444)-Parametros!B3*(L444+M444+N444+O444+P444+Q444+R444)</f>
        <v/>
      </c>
      <c r="X444" s="10">
        <f>1/(1+EXP(-W444))</f>
        <v/>
      </c>
      <c r="Y444" s="11">
        <f>IF(Parametros!B6=1,0.15+0.85*(1/(1+EXP(-8*((1-N444)-0.45)))),1)</f>
        <v/>
      </c>
      <c r="Z444" s="11">
        <f>IF(Parametros!B7=1,MAX(0.05,1-L444^1.6),1)</f>
        <v/>
      </c>
      <c r="AA444" s="11">
        <f>IF(Parametros!B8=1,0.2+0.8*(1/(1+EXP(-9*(S444-0.25)))),1)</f>
        <v/>
      </c>
      <c r="AB444" s="10">
        <f>X444*Y444*Z444*AA444</f>
        <v/>
      </c>
    </row>
    <row r="445">
      <c r="A445" t="inlineStr">
        <is>
          <t>4eg3ly</t>
        </is>
      </c>
      <c r="B445" t="inlineStr">
        <is>
          <t>Rodrigo Cavalcante</t>
        </is>
      </c>
      <c r="C445" s="8" t="n">
        <v>0.3902</v>
      </c>
      <c r="D445" s="8" t="n">
        <v>0.5485</v>
      </c>
      <c r="E445" s="8" t="n">
        <v>0.6534</v>
      </c>
      <c r="F445" s="8" t="n">
        <v>0.8032</v>
      </c>
      <c r="G445" s="8" t="n">
        <v>0.4653</v>
      </c>
      <c r="H445" s="8" t="n">
        <v>0.6751</v>
      </c>
      <c r="I445" s="8" t="n">
        <v>0.4396</v>
      </c>
      <c r="J445" s="8" t="n">
        <v>0.8923</v>
      </c>
      <c r="K445" s="8" t="n">
        <v>0.5082</v>
      </c>
      <c r="L445" s="9">
        <f>1-(1-Mecanismos!B2)*(1-C445)</f>
        <v/>
      </c>
      <c r="M445" s="9">
        <f>Mecanismos!B7*D445</f>
        <v/>
      </c>
      <c r="N445" s="9">
        <f>Mecanismos!B4*(1-E445)</f>
        <v/>
      </c>
      <c r="O445" s="9">
        <f>Mecanismos!B5*(1-F445)</f>
        <v/>
      </c>
      <c r="P445" s="9">
        <f>Mecanismos!B6*(1-I445)</f>
        <v/>
      </c>
      <c r="Q445" s="9">
        <f>Mecanismos!B9*(1-G445)</f>
        <v/>
      </c>
      <c r="R445" s="9">
        <f>Mecanismos!B9*(1-J445)</f>
        <v/>
      </c>
      <c r="S445" s="9">
        <f>Mecanismos!B8*H445</f>
        <v/>
      </c>
      <c r="T445" s="9">
        <f>Mecanismos!B10*H445</f>
        <v/>
      </c>
      <c r="U445" s="9">
        <f>Mecanismos!B8*K445</f>
        <v/>
      </c>
      <c r="V445" s="9">
        <f>Mecanismos!B3*D445</f>
        <v/>
      </c>
      <c r="W445" s="9">
        <f>Parametros!B2+Parametros!B4*(S445+T445+U445+V445)-Parametros!B3*(L445+M445+N445+O445+P445+Q445+R445)</f>
        <v/>
      </c>
      <c r="X445" s="10">
        <f>1/(1+EXP(-W445))</f>
        <v/>
      </c>
      <c r="Y445" s="11">
        <f>IF(Parametros!B6=1,0.15+0.85*(1/(1+EXP(-8*((1-N445)-0.45)))),1)</f>
        <v/>
      </c>
      <c r="Z445" s="11">
        <f>IF(Parametros!B7=1,MAX(0.05,1-L445^1.6),1)</f>
        <v/>
      </c>
      <c r="AA445" s="11">
        <f>IF(Parametros!B8=1,0.2+0.8*(1/(1+EXP(-9*(S445-0.25)))),1)</f>
        <v/>
      </c>
      <c r="AB445" s="10">
        <f>X445*Y445*Z445*AA445</f>
        <v/>
      </c>
    </row>
    <row r="446">
      <c r="A446" t="inlineStr">
        <is>
          <t>0dcyss</t>
        </is>
      </c>
      <c r="B446" t="inlineStr">
        <is>
          <t>Rodrigo Silva</t>
        </is>
      </c>
      <c r="C446" s="8" t="n">
        <v>0.6886</v>
      </c>
      <c r="D446" s="8" t="n">
        <v>0.6617</v>
      </c>
      <c r="E446" s="8" t="n">
        <v>0.6411</v>
      </c>
      <c r="F446" s="8" t="n">
        <v>0.5965</v>
      </c>
      <c r="G446" s="8" t="n">
        <v>0.5376</v>
      </c>
      <c r="H446" s="8" t="n">
        <v>0.587</v>
      </c>
      <c r="I446" s="8" t="n">
        <v>0.7279</v>
      </c>
      <c r="J446" s="8" t="n">
        <v>0.8344</v>
      </c>
      <c r="K446" s="8" t="n">
        <v>0.8008999999999999</v>
      </c>
      <c r="L446" s="9">
        <f>1-(1-Mecanismos!B2)*(1-C446)</f>
        <v/>
      </c>
      <c r="M446" s="9">
        <f>Mecanismos!B7*D446</f>
        <v/>
      </c>
      <c r="N446" s="9">
        <f>Mecanismos!B4*(1-E446)</f>
        <v/>
      </c>
      <c r="O446" s="9">
        <f>Mecanismos!B5*(1-F446)</f>
        <v/>
      </c>
      <c r="P446" s="9">
        <f>Mecanismos!B6*(1-I446)</f>
        <v/>
      </c>
      <c r="Q446" s="9">
        <f>Mecanismos!B9*(1-G446)</f>
        <v/>
      </c>
      <c r="R446" s="9">
        <f>Mecanismos!B9*(1-J446)</f>
        <v/>
      </c>
      <c r="S446" s="9">
        <f>Mecanismos!B8*H446</f>
        <v/>
      </c>
      <c r="T446" s="9">
        <f>Mecanismos!B10*H446</f>
        <v/>
      </c>
      <c r="U446" s="9">
        <f>Mecanismos!B8*K446</f>
        <v/>
      </c>
      <c r="V446" s="9">
        <f>Mecanismos!B3*D446</f>
        <v/>
      </c>
      <c r="W446" s="9">
        <f>Parametros!B2+Parametros!B4*(S446+T446+U446+V446)-Parametros!B3*(L446+M446+N446+O446+P446+Q446+R446)</f>
        <v/>
      </c>
      <c r="X446" s="10">
        <f>1/(1+EXP(-W446))</f>
        <v/>
      </c>
      <c r="Y446" s="11">
        <f>IF(Parametros!B6=1,0.15+0.85*(1/(1+EXP(-8*((1-N446)-0.45)))),1)</f>
        <v/>
      </c>
      <c r="Z446" s="11">
        <f>IF(Parametros!B7=1,MAX(0.05,1-L446^1.6),1)</f>
        <v/>
      </c>
      <c r="AA446" s="11">
        <f>IF(Parametros!B8=1,0.2+0.8*(1/(1+EXP(-9*(S446-0.25)))),1)</f>
        <v/>
      </c>
      <c r="AB446" s="10">
        <f>X446*Y446*Z446*AA446</f>
        <v/>
      </c>
    </row>
    <row r="447">
      <c r="A447" t="inlineStr">
        <is>
          <t>0j9cjh</t>
        </is>
      </c>
      <c r="B447" t="inlineStr">
        <is>
          <t>Rodrigo Siqueira</t>
        </is>
      </c>
      <c r="C447" s="8" t="n">
        <v>0.7214</v>
      </c>
      <c r="D447" s="8" t="n">
        <v>0.6108</v>
      </c>
      <c r="E447" s="8" t="n">
        <v>0.5164</v>
      </c>
      <c r="F447" s="8" t="n">
        <v>0.6797</v>
      </c>
      <c r="G447" s="8" t="n">
        <v>0.3666</v>
      </c>
      <c r="H447" s="8" t="n">
        <v>0.7663</v>
      </c>
      <c r="I447" s="8" t="n">
        <v>0.5325</v>
      </c>
      <c r="J447" s="8" t="n">
        <v>0.7381</v>
      </c>
      <c r="K447" s="8" t="n">
        <v>0.2124</v>
      </c>
      <c r="L447" s="9">
        <f>1-(1-Mecanismos!B2)*(1-C447)</f>
        <v/>
      </c>
      <c r="M447" s="9">
        <f>Mecanismos!B7*D447</f>
        <v/>
      </c>
      <c r="N447" s="9">
        <f>Mecanismos!B4*(1-E447)</f>
        <v/>
      </c>
      <c r="O447" s="9">
        <f>Mecanismos!B5*(1-F447)</f>
        <v/>
      </c>
      <c r="P447" s="9">
        <f>Mecanismos!B6*(1-I447)</f>
        <v/>
      </c>
      <c r="Q447" s="9">
        <f>Mecanismos!B9*(1-G447)</f>
        <v/>
      </c>
      <c r="R447" s="9">
        <f>Mecanismos!B9*(1-J447)</f>
        <v/>
      </c>
      <c r="S447" s="9">
        <f>Mecanismos!B8*H447</f>
        <v/>
      </c>
      <c r="T447" s="9">
        <f>Mecanismos!B10*H447</f>
        <v/>
      </c>
      <c r="U447" s="9">
        <f>Mecanismos!B8*K447</f>
        <v/>
      </c>
      <c r="V447" s="9">
        <f>Mecanismos!B3*D447</f>
        <v/>
      </c>
      <c r="W447" s="9">
        <f>Parametros!B2+Parametros!B4*(S447+T447+U447+V447)-Parametros!B3*(L447+M447+N447+O447+P447+Q447+R447)</f>
        <v/>
      </c>
      <c r="X447" s="10">
        <f>1/(1+EXP(-W447))</f>
        <v/>
      </c>
      <c r="Y447" s="11">
        <f>IF(Parametros!B6=1,0.15+0.85*(1/(1+EXP(-8*((1-N447)-0.45)))),1)</f>
        <v/>
      </c>
      <c r="Z447" s="11">
        <f>IF(Parametros!B7=1,MAX(0.05,1-L447^1.6),1)</f>
        <v/>
      </c>
      <c r="AA447" s="11">
        <f>IF(Parametros!B8=1,0.2+0.8*(1/(1+EXP(-9*(S447-0.25)))),1)</f>
        <v/>
      </c>
      <c r="AB447" s="10">
        <f>X447*Y447*Z447*AA447</f>
        <v/>
      </c>
    </row>
    <row r="448">
      <c r="A448" t="inlineStr">
        <is>
          <t>1ovrq8</t>
        </is>
      </c>
      <c r="B448" t="inlineStr">
        <is>
          <t>Ryan Albuquerque</t>
        </is>
      </c>
      <c r="C448" s="8" t="n">
        <v>0.7661</v>
      </c>
      <c r="D448" s="8" t="n">
        <v>0.2326</v>
      </c>
      <c r="E448" s="8" t="n">
        <v>0.5033</v>
      </c>
      <c r="F448" s="8" t="n">
        <v>0.445</v>
      </c>
      <c r="G448" s="8" t="n">
        <v>0.3804</v>
      </c>
      <c r="H448" s="8" t="n">
        <v>0.6758</v>
      </c>
      <c r="I448" s="8" t="n">
        <v>0.1531</v>
      </c>
      <c r="J448" s="8" t="n">
        <v>0.8411</v>
      </c>
      <c r="K448" s="8" t="n">
        <v>0.6345</v>
      </c>
      <c r="L448" s="9">
        <f>1-(1-Mecanismos!B2)*(1-C448)</f>
        <v/>
      </c>
      <c r="M448" s="9">
        <f>Mecanismos!B7*D448</f>
        <v/>
      </c>
      <c r="N448" s="9">
        <f>Mecanismos!B4*(1-E448)</f>
        <v/>
      </c>
      <c r="O448" s="9">
        <f>Mecanismos!B5*(1-F448)</f>
        <v/>
      </c>
      <c r="P448" s="9">
        <f>Mecanismos!B6*(1-I448)</f>
        <v/>
      </c>
      <c r="Q448" s="9">
        <f>Mecanismos!B9*(1-G448)</f>
        <v/>
      </c>
      <c r="R448" s="9">
        <f>Mecanismos!B9*(1-J448)</f>
        <v/>
      </c>
      <c r="S448" s="9">
        <f>Mecanismos!B8*H448</f>
        <v/>
      </c>
      <c r="T448" s="9">
        <f>Mecanismos!B10*H448</f>
        <v/>
      </c>
      <c r="U448" s="9">
        <f>Mecanismos!B8*K448</f>
        <v/>
      </c>
      <c r="V448" s="9">
        <f>Mecanismos!B3*D448</f>
        <v/>
      </c>
      <c r="W448" s="9">
        <f>Parametros!B2+Parametros!B4*(S448+T448+U448+V448)-Parametros!B3*(L448+M448+N448+O448+P448+Q448+R448)</f>
        <v/>
      </c>
      <c r="X448" s="10">
        <f>1/(1+EXP(-W448))</f>
        <v/>
      </c>
      <c r="Y448" s="11">
        <f>IF(Parametros!B6=1,0.15+0.85*(1/(1+EXP(-8*((1-N448)-0.45)))),1)</f>
        <v/>
      </c>
      <c r="Z448" s="11">
        <f>IF(Parametros!B7=1,MAX(0.05,1-L448^1.6),1)</f>
        <v/>
      </c>
      <c r="AA448" s="11">
        <f>IF(Parametros!B8=1,0.2+0.8*(1/(1+EXP(-9*(S448-0.25)))),1)</f>
        <v/>
      </c>
      <c r="AB448" s="10">
        <f>X448*Y448*Z448*AA448</f>
        <v/>
      </c>
    </row>
    <row r="449">
      <c r="A449" t="inlineStr">
        <is>
          <t>ncfhlc</t>
        </is>
      </c>
      <c r="B449" t="inlineStr">
        <is>
          <t>Ryan Cunha</t>
        </is>
      </c>
      <c r="C449" s="8" t="n">
        <v>0.7177</v>
      </c>
      <c r="D449" s="8" t="n">
        <v>0.5770999999999999</v>
      </c>
      <c r="E449" s="8" t="n">
        <v>0.3977</v>
      </c>
      <c r="F449" s="8" t="n">
        <v>0.5204</v>
      </c>
      <c r="G449" s="8" t="n">
        <v>0.712</v>
      </c>
      <c r="H449" s="8" t="n">
        <v>0.5345</v>
      </c>
      <c r="I449" s="8" t="n">
        <v>0.6762</v>
      </c>
      <c r="J449" s="8" t="n">
        <v>0.9082</v>
      </c>
      <c r="K449" s="8" t="n">
        <v>0.314</v>
      </c>
      <c r="L449" s="9">
        <f>1-(1-Mecanismos!B2)*(1-C449)</f>
        <v/>
      </c>
      <c r="M449" s="9">
        <f>Mecanismos!B7*D449</f>
        <v/>
      </c>
      <c r="N449" s="9">
        <f>Mecanismos!B4*(1-E449)</f>
        <v/>
      </c>
      <c r="O449" s="9">
        <f>Mecanismos!B5*(1-F449)</f>
        <v/>
      </c>
      <c r="P449" s="9">
        <f>Mecanismos!B6*(1-I449)</f>
        <v/>
      </c>
      <c r="Q449" s="9">
        <f>Mecanismos!B9*(1-G449)</f>
        <v/>
      </c>
      <c r="R449" s="9">
        <f>Mecanismos!B9*(1-J449)</f>
        <v/>
      </c>
      <c r="S449" s="9">
        <f>Mecanismos!B8*H449</f>
        <v/>
      </c>
      <c r="T449" s="9">
        <f>Mecanismos!B10*H449</f>
        <v/>
      </c>
      <c r="U449" s="9">
        <f>Mecanismos!B8*K449</f>
        <v/>
      </c>
      <c r="V449" s="9">
        <f>Mecanismos!B3*D449</f>
        <v/>
      </c>
      <c r="W449" s="9">
        <f>Parametros!B2+Parametros!B4*(S449+T449+U449+V449)-Parametros!B3*(L449+M449+N449+O449+P449+Q449+R449)</f>
        <v/>
      </c>
      <c r="X449" s="10">
        <f>1/(1+EXP(-W449))</f>
        <v/>
      </c>
      <c r="Y449" s="11">
        <f>IF(Parametros!B6=1,0.15+0.85*(1/(1+EXP(-8*((1-N449)-0.45)))),1)</f>
        <v/>
      </c>
      <c r="Z449" s="11">
        <f>IF(Parametros!B7=1,MAX(0.05,1-L449^1.6),1)</f>
        <v/>
      </c>
      <c r="AA449" s="11">
        <f>IF(Parametros!B8=1,0.2+0.8*(1/(1+EXP(-9*(S449-0.25)))),1)</f>
        <v/>
      </c>
      <c r="AB449" s="10">
        <f>X449*Y449*Z449*AA449</f>
        <v/>
      </c>
    </row>
    <row r="450">
      <c r="A450" t="inlineStr">
        <is>
          <t>gke6ez</t>
        </is>
      </c>
      <c r="B450" t="inlineStr">
        <is>
          <t>Ryan Jesus</t>
        </is>
      </c>
      <c r="C450" s="8" t="n">
        <v>0.7833</v>
      </c>
      <c r="D450" s="8" t="n">
        <v>0.4895</v>
      </c>
      <c r="E450" s="8" t="n">
        <v>0.5783</v>
      </c>
      <c r="F450" s="8" t="n">
        <v>0.5238</v>
      </c>
      <c r="G450" s="8" t="n">
        <v>0.411</v>
      </c>
      <c r="H450" s="8" t="n">
        <v>0.5258</v>
      </c>
      <c r="I450" s="8" t="n">
        <v>0.5612</v>
      </c>
      <c r="J450" s="8" t="n">
        <v>0.8562</v>
      </c>
      <c r="K450" s="8" t="n">
        <v>0.5338000000000001</v>
      </c>
      <c r="L450" s="9">
        <f>1-(1-Mecanismos!B2)*(1-C450)</f>
        <v/>
      </c>
      <c r="M450" s="9">
        <f>Mecanismos!B7*D450</f>
        <v/>
      </c>
      <c r="N450" s="9">
        <f>Mecanismos!B4*(1-E450)</f>
        <v/>
      </c>
      <c r="O450" s="9">
        <f>Mecanismos!B5*(1-F450)</f>
        <v/>
      </c>
      <c r="P450" s="9">
        <f>Mecanismos!B6*(1-I450)</f>
        <v/>
      </c>
      <c r="Q450" s="9">
        <f>Mecanismos!B9*(1-G450)</f>
        <v/>
      </c>
      <c r="R450" s="9">
        <f>Mecanismos!B9*(1-J450)</f>
        <v/>
      </c>
      <c r="S450" s="9">
        <f>Mecanismos!B8*H450</f>
        <v/>
      </c>
      <c r="T450" s="9">
        <f>Mecanismos!B10*H450</f>
        <v/>
      </c>
      <c r="U450" s="9">
        <f>Mecanismos!B8*K450</f>
        <v/>
      </c>
      <c r="V450" s="9">
        <f>Mecanismos!B3*D450</f>
        <v/>
      </c>
      <c r="W450" s="9">
        <f>Parametros!B2+Parametros!B4*(S450+T450+U450+V450)-Parametros!B3*(L450+M450+N450+O450+P450+Q450+R450)</f>
        <v/>
      </c>
      <c r="X450" s="10">
        <f>1/(1+EXP(-W450))</f>
        <v/>
      </c>
      <c r="Y450" s="11">
        <f>IF(Parametros!B6=1,0.15+0.85*(1/(1+EXP(-8*((1-N450)-0.45)))),1)</f>
        <v/>
      </c>
      <c r="Z450" s="11">
        <f>IF(Parametros!B7=1,MAX(0.05,1-L450^1.6),1)</f>
        <v/>
      </c>
      <c r="AA450" s="11">
        <f>IF(Parametros!B8=1,0.2+0.8*(1/(1+EXP(-9*(S450-0.25)))),1)</f>
        <v/>
      </c>
      <c r="AB450" s="10">
        <f>X450*Y450*Z450*AA450</f>
        <v/>
      </c>
    </row>
    <row r="451">
      <c r="A451" t="inlineStr">
        <is>
          <t>6f6sy5</t>
        </is>
      </c>
      <c r="B451" t="inlineStr">
        <is>
          <t>Sabrina Campos</t>
        </is>
      </c>
      <c r="C451" s="8" t="n">
        <v>0.5627</v>
      </c>
      <c r="D451" s="8" t="n">
        <v>0.5818</v>
      </c>
      <c r="E451" s="8" t="n">
        <v>0.4561</v>
      </c>
      <c r="F451" s="8" t="n">
        <v>0.7062</v>
      </c>
      <c r="G451" s="8" t="n">
        <v>0.5675</v>
      </c>
      <c r="H451" s="8" t="n">
        <v>0.4907</v>
      </c>
      <c r="I451" s="8" t="n">
        <v>0.8156</v>
      </c>
      <c r="J451" s="8" t="n">
        <v>0.7452</v>
      </c>
      <c r="K451" s="8" t="n">
        <v>0.6237</v>
      </c>
      <c r="L451" s="9">
        <f>1-(1-Mecanismos!B2)*(1-C451)</f>
        <v/>
      </c>
      <c r="M451" s="9">
        <f>Mecanismos!B7*D451</f>
        <v/>
      </c>
      <c r="N451" s="9">
        <f>Mecanismos!B4*(1-E451)</f>
        <v/>
      </c>
      <c r="O451" s="9">
        <f>Mecanismos!B5*(1-F451)</f>
        <v/>
      </c>
      <c r="P451" s="9">
        <f>Mecanismos!B6*(1-I451)</f>
        <v/>
      </c>
      <c r="Q451" s="9">
        <f>Mecanismos!B9*(1-G451)</f>
        <v/>
      </c>
      <c r="R451" s="9">
        <f>Mecanismos!B9*(1-J451)</f>
        <v/>
      </c>
      <c r="S451" s="9">
        <f>Mecanismos!B8*H451</f>
        <v/>
      </c>
      <c r="T451" s="9">
        <f>Mecanismos!B10*H451</f>
        <v/>
      </c>
      <c r="U451" s="9">
        <f>Mecanismos!B8*K451</f>
        <v/>
      </c>
      <c r="V451" s="9">
        <f>Mecanismos!B3*D451</f>
        <v/>
      </c>
      <c r="W451" s="9">
        <f>Parametros!B2+Parametros!B4*(S451+T451+U451+V451)-Parametros!B3*(L451+M451+N451+O451+P451+Q451+R451)</f>
        <v/>
      </c>
      <c r="X451" s="10">
        <f>1/(1+EXP(-W451))</f>
        <v/>
      </c>
      <c r="Y451" s="11">
        <f>IF(Parametros!B6=1,0.15+0.85*(1/(1+EXP(-8*((1-N451)-0.45)))),1)</f>
        <v/>
      </c>
      <c r="Z451" s="11">
        <f>IF(Parametros!B7=1,MAX(0.05,1-L451^1.6),1)</f>
        <v/>
      </c>
      <c r="AA451" s="11">
        <f>IF(Parametros!B8=1,0.2+0.8*(1/(1+EXP(-9*(S451-0.25)))),1)</f>
        <v/>
      </c>
      <c r="AB451" s="10">
        <f>X451*Y451*Z451*AA451</f>
        <v/>
      </c>
    </row>
    <row r="452">
      <c r="A452" t="inlineStr">
        <is>
          <t>rnu4az</t>
        </is>
      </c>
      <c r="B452" t="inlineStr">
        <is>
          <t>Sabrina Pimenta</t>
        </is>
      </c>
      <c r="C452" s="8" t="n">
        <v>0.6099</v>
      </c>
      <c r="D452" s="8" t="n">
        <v>0.5112</v>
      </c>
      <c r="E452" s="8" t="n">
        <v>0.6237</v>
      </c>
      <c r="F452" s="8" t="n">
        <v>0.647</v>
      </c>
      <c r="G452" s="8" t="n">
        <v>0.4371</v>
      </c>
      <c r="H452" s="8" t="n">
        <v>0.4918</v>
      </c>
      <c r="I452" s="8" t="n">
        <v>0.5648</v>
      </c>
      <c r="J452" s="8" t="n">
        <v>0.6664</v>
      </c>
      <c r="K452" s="8" t="n">
        <v>0.5054999999999999</v>
      </c>
      <c r="L452" s="9">
        <f>1-(1-Mecanismos!B2)*(1-C452)</f>
        <v/>
      </c>
      <c r="M452" s="9">
        <f>Mecanismos!B7*D452</f>
        <v/>
      </c>
      <c r="N452" s="9">
        <f>Mecanismos!B4*(1-E452)</f>
        <v/>
      </c>
      <c r="O452" s="9">
        <f>Mecanismos!B5*(1-F452)</f>
        <v/>
      </c>
      <c r="P452" s="9">
        <f>Mecanismos!B6*(1-I452)</f>
        <v/>
      </c>
      <c r="Q452" s="9">
        <f>Mecanismos!B9*(1-G452)</f>
        <v/>
      </c>
      <c r="R452" s="9">
        <f>Mecanismos!B9*(1-J452)</f>
        <v/>
      </c>
      <c r="S452" s="9">
        <f>Mecanismos!B8*H452</f>
        <v/>
      </c>
      <c r="T452" s="9">
        <f>Mecanismos!B10*H452</f>
        <v/>
      </c>
      <c r="U452" s="9">
        <f>Mecanismos!B8*K452</f>
        <v/>
      </c>
      <c r="V452" s="9">
        <f>Mecanismos!B3*D452</f>
        <v/>
      </c>
      <c r="W452" s="9">
        <f>Parametros!B2+Parametros!B4*(S452+T452+U452+V452)-Parametros!B3*(L452+M452+N452+O452+P452+Q452+R452)</f>
        <v/>
      </c>
      <c r="X452" s="10">
        <f>1/(1+EXP(-W452))</f>
        <v/>
      </c>
      <c r="Y452" s="11">
        <f>IF(Parametros!B6=1,0.15+0.85*(1/(1+EXP(-8*((1-N452)-0.45)))),1)</f>
        <v/>
      </c>
      <c r="Z452" s="11">
        <f>IF(Parametros!B7=1,MAX(0.05,1-L452^1.6),1)</f>
        <v/>
      </c>
      <c r="AA452" s="11">
        <f>IF(Parametros!B8=1,0.2+0.8*(1/(1+EXP(-9*(S452-0.25)))),1)</f>
        <v/>
      </c>
      <c r="AB452" s="10">
        <f>X452*Y452*Z452*AA452</f>
        <v/>
      </c>
    </row>
    <row r="453">
      <c r="A453" t="inlineStr">
        <is>
          <t>fjv1j1</t>
        </is>
      </c>
      <c r="B453" t="inlineStr">
        <is>
          <t>Samuel Cassiano</t>
        </is>
      </c>
      <c r="C453" s="8" t="n">
        <v>0.5665</v>
      </c>
      <c r="D453" s="8" t="n">
        <v>0.4189</v>
      </c>
      <c r="E453" s="8" t="n">
        <v>0.3343</v>
      </c>
      <c r="F453" s="8" t="n">
        <v>0.4975</v>
      </c>
      <c r="G453" s="8" t="n">
        <v>0.4951</v>
      </c>
      <c r="H453" s="8" t="n">
        <v>0.7317</v>
      </c>
      <c r="I453" s="8" t="n">
        <v>0.6277</v>
      </c>
      <c r="J453" s="8" t="n">
        <v>0.8011</v>
      </c>
      <c r="K453" s="8" t="n">
        <v>0.5215</v>
      </c>
      <c r="L453" s="9">
        <f>1-(1-Mecanismos!B2)*(1-C453)</f>
        <v/>
      </c>
      <c r="M453" s="9">
        <f>Mecanismos!B7*D453</f>
        <v/>
      </c>
      <c r="N453" s="9">
        <f>Mecanismos!B4*(1-E453)</f>
        <v/>
      </c>
      <c r="O453" s="9">
        <f>Mecanismos!B5*(1-F453)</f>
        <v/>
      </c>
      <c r="P453" s="9">
        <f>Mecanismos!B6*(1-I453)</f>
        <v/>
      </c>
      <c r="Q453" s="9">
        <f>Mecanismos!B9*(1-G453)</f>
        <v/>
      </c>
      <c r="R453" s="9">
        <f>Mecanismos!B9*(1-J453)</f>
        <v/>
      </c>
      <c r="S453" s="9">
        <f>Mecanismos!B8*H453</f>
        <v/>
      </c>
      <c r="T453" s="9">
        <f>Mecanismos!B10*H453</f>
        <v/>
      </c>
      <c r="U453" s="9">
        <f>Mecanismos!B8*K453</f>
        <v/>
      </c>
      <c r="V453" s="9">
        <f>Mecanismos!B3*D453</f>
        <v/>
      </c>
      <c r="W453" s="9">
        <f>Parametros!B2+Parametros!B4*(S453+T453+U453+V453)-Parametros!B3*(L453+M453+N453+O453+P453+Q453+R453)</f>
        <v/>
      </c>
      <c r="X453" s="10">
        <f>1/(1+EXP(-W453))</f>
        <v/>
      </c>
      <c r="Y453" s="11">
        <f>IF(Parametros!B6=1,0.15+0.85*(1/(1+EXP(-8*((1-N453)-0.45)))),1)</f>
        <v/>
      </c>
      <c r="Z453" s="11">
        <f>IF(Parametros!B7=1,MAX(0.05,1-L453^1.6),1)</f>
        <v/>
      </c>
      <c r="AA453" s="11">
        <f>IF(Parametros!B8=1,0.2+0.8*(1/(1+EXP(-9*(S453-0.25)))),1)</f>
        <v/>
      </c>
      <c r="AB453" s="10">
        <f>X453*Y453*Z453*AA453</f>
        <v/>
      </c>
    </row>
    <row r="454">
      <c r="A454" t="inlineStr">
        <is>
          <t>wlxj7f</t>
        </is>
      </c>
      <c r="B454" t="inlineStr">
        <is>
          <t>Samuel Macedo</t>
        </is>
      </c>
      <c r="C454" s="8" t="n">
        <v>0.6455</v>
      </c>
      <c r="D454" s="8" t="n">
        <v>0.5076000000000001</v>
      </c>
      <c r="E454" s="8" t="n">
        <v>0.4143</v>
      </c>
      <c r="F454" s="8" t="n">
        <v>0.6631</v>
      </c>
      <c r="G454" s="8" t="n">
        <v>0.8017</v>
      </c>
      <c r="H454" s="8" t="n">
        <v>0.4155</v>
      </c>
      <c r="I454" s="8" t="n">
        <v>0.4632</v>
      </c>
      <c r="J454" s="8" t="n">
        <v>0.7012</v>
      </c>
      <c r="K454" s="8" t="n">
        <v>0.6642</v>
      </c>
      <c r="L454" s="9">
        <f>1-(1-Mecanismos!B2)*(1-C454)</f>
        <v/>
      </c>
      <c r="M454" s="9">
        <f>Mecanismos!B7*D454</f>
        <v/>
      </c>
      <c r="N454" s="9">
        <f>Mecanismos!B4*(1-E454)</f>
        <v/>
      </c>
      <c r="O454" s="9">
        <f>Mecanismos!B5*(1-F454)</f>
        <v/>
      </c>
      <c r="P454" s="9">
        <f>Mecanismos!B6*(1-I454)</f>
        <v/>
      </c>
      <c r="Q454" s="9">
        <f>Mecanismos!B9*(1-G454)</f>
        <v/>
      </c>
      <c r="R454" s="9">
        <f>Mecanismos!B9*(1-J454)</f>
        <v/>
      </c>
      <c r="S454" s="9">
        <f>Mecanismos!B8*H454</f>
        <v/>
      </c>
      <c r="T454" s="9">
        <f>Mecanismos!B10*H454</f>
        <v/>
      </c>
      <c r="U454" s="9">
        <f>Mecanismos!B8*K454</f>
        <v/>
      </c>
      <c r="V454" s="9">
        <f>Mecanismos!B3*D454</f>
        <v/>
      </c>
      <c r="W454" s="9">
        <f>Parametros!B2+Parametros!B4*(S454+T454+U454+V454)-Parametros!B3*(L454+M454+N454+O454+P454+Q454+R454)</f>
        <v/>
      </c>
      <c r="X454" s="10">
        <f>1/(1+EXP(-W454))</f>
        <v/>
      </c>
      <c r="Y454" s="11">
        <f>IF(Parametros!B6=1,0.15+0.85*(1/(1+EXP(-8*((1-N454)-0.45)))),1)</f>
        <v/>
      </c>
      <c r="Z454" s="11">
        <f>IF(Parametros!B7=1,MAX(0.05,1-L454^1.6),1)</f>
        <v/>
      </c>
      <c r="AA454" s="11">
        <f>IF(Parametros!B8=1,0.2+0.8*(1/(1+EXP(-9*(S454-0.25)))),1)</f>
        <v/>
      </c>
      <c r="AB454" s="10">
        <f>X454*Y454*Z454*AA454</f>
        <v/>
      </c>
    </row>
    <row r="455">
      <c r="A455" t="inlineStr">
        <is>
          <t>g0f62b</t>
        </is>
      </c>
      <c r="B455" t="inlineStr">
        <is>
          <t>Samuel Nunes</t>
        </is>
      </c>
      <c r="C455" s="8" t="n">
        <v>0.7179</v>
      </c>
      <c r="D455" s="8" t="n">
        <v>0.3956</v>
      </c>
      <c r="E455" s="8" t="n">
        <v>0.6697</v>
      </c>
      <c r="F455" s="8" t="n">
        <v>0.6979</v>
      </c>
      <c r="G455" s="8" t="n">
        <v>0.5342</v>
      </c>
      <c r="H455" s="8" t="n">
        <v>0.6923</v>
      </c>
      <c r="I455" s="8" t="n">
        <v>0.4101</v>
      </c>
      <c r="J455" s="8" t="n">
        <v>0.6185</v>
      </c>
      <c r="K455" s="8" t="n">
        <v>0.3451</v>
      </c>
      <c r="L455" s="9">
        <f>1-(1-Mecanismos!B2)*(1-C455)</f>
        <v/>
      </c>
      <c r="M455" s="9">
        <f>Mecanismos!B7*D455</f>
        <v/>
      </c>
      <c r="N455" s="9">
        <f>Mecanismos!B4*(1-E455)</f>
        <v/>
      </c>
      <c r="O455" s="9">
        <f>Mecanismos!B5*(1-F455)</f>
        <v/>
      </c>
      <c r="P455" s="9">
        <f>Mecanismos!B6*(1-I455)</f>
        <v/>
      </c>
      <c r="Q455" s="9">
        <f>Mecanismos!B9*(1-G455)</f>
        <v/>
      </c>
      <c r="R455" s="9">
        <f>Mecanismos!B9*(1-J455)</f>
        <v/>
      </c>
      <c r="S455" s="9">
        <f>Mecanismos!B8*H455</f>
        <v/>
      </c>
      <c r="T455" s="9">
        <f>Mecanismos!B10*H455</f>
        <v/>
      </c>
      <c r="U455" s="9">
        <f>Mecanismos!B8*K455</f>
        <v/>
      </c>
      <c r="V455" s="9">
        <f>Mecanismos!B3*D455</f>
        <v/>
      </c>
      <c r="W455" s="9">
        <f>Parametros!B2+Parametros!B4*(S455+T455+U455+V455)-Parametros!B3*(L455+M455+N455+O455+P455+Q455+R455)</f>
        <v/>
      </c>
      <c r="X455" s="10">
        <f>1/(1+EXP(-W455))</f>
        <v/>
      </c>
      <c r="Y455" s="11">
        <f>IF(Parametros!B6=1,0.15+0.85*(1/(1+EXP(-8*((1-N455)-0.45)))),1)</f>
        <v/>
      </c>
      <c r="Z455" s="11">
        <f>IF(Parametros!B7=1,MAX(0.05,1-L455^1.6),1)</f>
        <v/>
      </c>
      <c r="AA455" s="11">
        <f>IF(Parametros!B8=1,0.2+0.8*(1/(1+EXP(-9*(S455-0.25)))),1)</f>
        <v/>
      </c>
      <c r="AB455" s="10">
        <f>X455*Y455*Z455*AA455</f>
        <v/>
      </c>
    </row>
    <row r="456">
      <c r="A456" t="inlineStr">
        <is>
          <t>6eat3t</t>
        </is>
      </c>
      <c r="B456" t="inlineStr">
        <is>
          <t>Sara Pacheco</t>
        </is>
      </c>
      <c r="C456" s="8" t="n">
        <v>0.625</v>
      </c>
      <c r="D456" s="8" t="n">
        <v>0.4017</v>
      </c>
      <c r="E456" s="8" t="n">
        <v>0.5406</v>
      </c>
      <c r="F456" s="8" t="n">
        <v>0.5321</v>
      </c>
      <c r="G456" s="8" t="n">
        <v>0.5195</v>
      </c>
      <c r="H456" s="8" t="n">
        <v>0.4615</v>
      </c>
      <c r="I456" s="8" t="n">
        <v>0.5262</v>
      </c>
      <c r="J456" s="8" t="n">
        <v>0.9852</v>
      </c>
      <c r="K456" s="8" t="n">
        <v>0.5353</v>
      </c>
      <c r="L456" s="9">
        <f>1-(1-Mecanismos!B2)*(1-C456)</f>
        <v/>
      </c>
      <c r="M456" s="9">
        <f>Mecanismos!B7*D456</f>
        <v/>
      </c>
      <c r="N456" s="9">
        <f>Mecanismos!B4*(1-E456)</f>
        <v/>
      </c>
      <c r="O456" s="9">
        <f>Mecanismos!B5*(1-F456)</f>
        <v/>
      </c>
      <c r="P456" s="9">
        <f>Mecanismos!B6*(1-I456)</f>
        <v/>
      </c>
      <c r="Q456" s="9">
        <f>Mecanismos!B9*(1-G456)</f>
        <v/>
      </c>
      <c r="R456" s="9">
        <f>Mecanismos!B9*(1-J456)</f>
        <v/>
      </c>
      <c r="S456" s="9">
        <f>Mecanismos!B8*H456</f>
        <v/>
      </c>
      <c r="T456" s="9">
        <f>Mecanismos!B10*H456</f>
        <v/>
      </c>
      <c r="U456" s="9">
        <f>Mecanismos!B8*K456</f>
        <v/>
      </c>
      <c r="V456" s="9">
        <f>Mecanismos!B3*D456</f>
        <v/>
      </c>
      <c r="W456" s="9">
        <f>Parametros!B2+Parametros!B4*(S456+T456+U456+V456)-Parametros!B3*(L456+M456+N456+O456+P456+Q456+R456)</f>
        <v/>
      </c>
      <c r="X456" s="10">
        <f>1/(1+EXP(-W456))</f>
        <v/>
      </c>
      <c r="Y456" s="11">
        <f>IF(Parametros!B6=1,0.15+0.85*(1/(1+EXP(-8*((1-N456)-0.45)))),1)</f>
        <v/>
      </c>
      <c r="Z456" s="11">
        <f>IF(Parametros!B7=1,MAX(0.05,1-L456^1.6),1)</f>
        <v/>
      </c>
      <c r="AA456" s="11">
        <f>IF(Parametros!B8=1,0.2+0.8*(1/(1+EXP(-9*(S456-0.25)))),1)</f>
        <v/>
      </c>
      <c r="AB456" s="10">
        <f>X456*Y456*Z456*AA456</f>
        <v/>
      </c>
    </row>
    <row r="457">
      <c r="A457" t="inlineStr">
        <is>
          <t>j5l2hs</t>
        </is>
      </c>
      <c r="B457" t="inlineStr">
        <is>
          <t>Sara Silveira</t>
        </is>
      </c>
      <c r="C457" s="8" t="n">
        <v>0.5692</v>
      </c>
      <c r="D457" s="8" t="n">
        <v>0.4513</v>
      </c>
      <c r="E457" s="8" t="n">
        <v>0.3824</v>
      </c>
      <c r="F457" s="8" t="n">
        <v>0.4553</v>
      </c>
      <c r="G457" s="8" t="n">
        <v>0.5898</v>
      </c>
      <c r="H457" s="8" t="n">
        <v>0.695</v>
      </c>
      <c r="I457" s="8" t="n">
        <v>0.472</v>
      </c>
      <c r="J457" s="8" t="n">
        <v>0.8689</v>
      </c>
      <c r="K457" s="8" t="n">
        <v>0.2729</v>
      </c>
      <c r="L457" s="9">
        <f>1-(1-Mecanismos!B2)*(1-C457)</f>
        <v/>
      </c>
      <c r="M457" s="9">
        <f>Mecanismos!B7*D457</f>
        <v/>
      </c>
      <c r="N457" s="9">
        <f>Mecanismos!B4*(1-E457)</f>
        <v/>
      </c>
      <c r="O457" s="9">
        <f>Mecanismos!B5*(1-F457)</f>
        <v/>
      </c>
      <c r="P457" s="9">
        <f>Mecanismos!B6*(1-I457)</f>
        <v/>
      </c>
      <c r="Q457" s="9">
        <f>Mecanismos!B9*(1-G457)</f>
        <v/>
      </c>
      <c r="R457" s="9">
        <f>Mecanismos!B9*(1-J457)</f>
        <v/>
      </c>
      <c r="S457" s="9">
        <f>Mecanismos!B8*H457</f>
        <v/>
      </c>
      <c r="T457" s="9">
        <f>Mecanismos!B10*H457</f>
        <v/>
      </c>
      <c r="U457" s="9">
        <f>Mecanismos!B8*K457</f>
        <v/>
      </c>
      <c r="V457" s="9">
        <f>Mecanismos!B3*D457</f>
        <v/>
      </c>
      <c r="W457" s="9">
        <f>Parametros!B2+Parametros!B4*(S457+T457+U457+V457)-Parametros!B3*(L457+M457+N457+O457+P457+Q457+R457)</f>
        <v/>
      </c>
      <c r="X457" s="10">
        <f>1/(1+EXP(-W457))</f>
        <v/>
      </c>
      <c r="Y457" s="11">
        <f>IF(Parametros!B6=1,0.15+0.85*(1/(1+EXP(-8*((1-N457)-0.45)))),1)</f>
        <v/>
      </c>
      <c r="Z457" s="11">
        <f>IF(Parametros!B7=1,MAX(0.05,1-L457^1.6),1)</f>
        <v/>
      </c>
      <c r="AA457" s="11">
        <f>IF(Parametros!B8=1,0.2+0.8*(1/(1+EXP(-9*(S457-0.25)))),1)</f>
        <v/>
      </c>
      <c r="AB457" s="10">
        <f>X457*Y457*Z457*AA457</f>
        <v/>
      </c>
    </row>
    <row r="458">
      <c r="A458" t="inlineStr">
        <is>
          <t>rnn3uz</t>
        </is>
      </c>
      <c r="B458" t="inlineStr">
        <is>
          <t>Sarah Aragão</t>
        </is>
      </c>
      <c r="C458" s="8" t="n">
        <v>0.7446</v>
      </c>
      <c r="D458" s="8" t="n">
        <v>0.4374</v>
      </c>
      <c r="E458" s="8" t="n">
        <v>0.6221</v>
      </c>
      <c r="F458" s="8" t="n">
        <v>0.8869</v>
      </c>
      <c r="G458" s="8" t="n">
        <v>0.5662</v>
      </c>
      <c r="H458" s="8" t="n">
        <v>0.4438</v>
      </c>
      <c r="I458" s="8" t="n">
        <v>0.3921</v>
      </c>
      <c r="J458" s="8" t="n">
        <v>0.7712</v>
      </c>
      <c r="K458" s="8" t="n">
        <v>0.3823</v>
      </c>
      <c r="L458" s="9">
        <f>1-(1-Mecanismos!B2)*(1-C458)</f>
        <v/>
      </c>
      <c r="M458" s="9">
        <f>Mecanismos!B7*D458</f>
        <v/>
      </c>
      <c r="N458" s="9">
        <f>Mecanismos!B4*(1-E458)</f>
        <v/>
      </c>
      <c r="O458" s="9">
        <f>Mecanismos!B5*(1-F458)</f>
        <v/>
      </c>
      <c r="P458" s="9">
        <f>Mecanismos!B6*(1-I458)</f>
        <v/>
      </c>
      <c r="Q458" s="9">
        <f>Mecanismos!B9*(1-G458)</f>
        <v/>
      </c>
      <c r="R458" s="9">
        <f>Mecanismos!B9*(1-J458)</f>
        <v/>
      </c>
      <c r="S458" s="9">
        <f>Mecanismos!B8*H458</f>
        <v/>
      </c>
      <c r="T458" s="9">
        <f>Mecanismos!B10*H458</f>
        <v/>
      </c>
      <c r="U458" s="9">
        <f>Mecanismos!B8*K458</f>
        <v/>
      </c>
      <c r="V458" s="9">
        <f>Mecanismos!B3*D458</f>
        <v/>
      </c>
      <c r="W458" s="9">
        <f>Parametros!B2+Parametros!B4*(S458+T458+U458+V458)-Parametros!B3*(L458+M458+N458+O458+P458+Q458+R458)</f>
        <v/>
      </c>
      <c r="X458" s="10">
        <f>1/(1+EXP(-W458))</f>
        <v/>
      </c>
      <c r="Y458" s="11">
        <f>IF(Parametros!B6=1,0.15+0.85*(1/(1+EXP(-8*((1-N458)-0.45)))),1)</f>
        <v/>
      </c>
      <c r="Z458" s="11">
        <f>IF(Parametros!B7=1,MAX(0.05,1-L458^1.6),1)</f>
        <v/>
      </c>
      <c r="AA458" s="11">
        <f>IF(Parametros!B8=1,0.2+0.8*(1/(1+EXP(-9*(S458-0.25)))),1)</f>
        <v/>
      </c>
      <c r="AB458" s="10">
        <f>X458*Y458*Z458*AA458</f>
        <v/>
      </c>
    </row>
    <row r="459">
      <c r="A459" t="inlineStr">
        <is>
          <t>3z5e5w</t>
        </is>
      </c>
      <c r="B459" t="inlineStr">
        <is>
          <t>Sarah Novaes</t>
        </is>
      </c>
      <c r="C459" s="8" t="n">
        <v>0.5976</v>
      </c>
      <c r="D459" s="8" t="n">
        <v>0.5689</v>
      </c>
      <c r="E459" s="8" t="n">
        <v>0.4021</v>
      </c>
      <c r="F459" s="8" t="n">
        <v>0.5817</v>
      </c>
      <c r="G459" s="8" t="n">
        <v>0.6452</v>
      </c>
      <c r="H459" s="8" t="n">
        <v>0.6797</v>
      </c>
      <c r="I459" s="8" t="n">
        <v>0.6195000000000001</v>
      </c>
      <c r="J459" s="8" t="n">
        <v>0.7644</v>
      </c>
      <c r="K459" s="8" t="n">
        <v>0.6755</v>
      </c>
      <c r="L459" s="9">
        <f>1-(1-Mecanismos!B2)*(1-C459)</f>
        <v/>
      </c>
      <c r="M459" s="9">
        <f>Mecanismos!B7*D459</f>
        <v/>
      </c>
      <c r="N459" s="9">
        <f>Mecanismos!B4*(1-E459)</f>
        <v/>
      </c>
      <c r="O459" s="9">
        <f>Mecanismos!B5*(1-F459)</f>
        <v/>
      </c>
      <c r="P459" s="9">
        <f>Mecanismos!B6*(1-I459)</f>
        <v/>
      </c>
      <c r="Q459" s="9">
        <f>Mecanismos!B9*(1-G459)</f>
        <v/>
      </c>
      <c r="R459" s="9">
        <f>Mecanismos!B9*(1-J459)</f>
        <v/>
      </c>
      <c r="S459" s="9">
        <f>Mecanismos!B8*H459</f>
        <v/>
      </c>
      <c r="T459" s="9">
        <f>Mecanismos!B10*H459</f>
        <v/>
      </c>
      <c r="U459" s="9">
        <f>Mecanismos!B8*K459</f>
        <v/>
      </c>
      <c r="V459" s="9">
        <f>Mecanismos!B3*D459</f>
        <v/>
      </c>
      <c r="W459" s="9">
        <f>Parametros!B2+Parametros!B4*(S459+T459+U459+V459)-Parametros!B3*(L459+M459+N459+O459+P459+Q459+R459)</f>
        <v/>
      </c>
      <c r="X459" s="10">
        <f>1/(1+EXP(-W459))</f>
        <v/>
      </c>
      <c r="Y459" s="11">
        <f>IF(Parametros!B6=1,0.15+0.85*(1/(1+EXP(-8*((1-N459)-0.45)))),1)</f>
        <v/>
      </c>
      <c r="Z459" s="11">
        <f>IF(Parametros!B7=1,MAX(0.05,1-L459^1.6),1)</f>
        <v/>
      </c>
      <c r="AA459" s="11">
        <f>IF(Parametros!B8=1,0.2+0.8*(1/(1+EXP(-9*(S459-0.25)))),1)</f>
        <v/>
      </c>
      <c r="AB459" s="10">
        <f>X459*Y459*Z459*AA459</f>
        <v/>
      </c>
    </row>
    <row r="460">
      <c r="A460" t="inlineStr">
        <is>
          <t>wgoosa</t>
        </is>
      </c>
      <c r="B460" t="inlineStr">
        <is>
          <t>Sarah Ramos</t>
        </is>
      </c>
      <c r="C460" s="8" t="n">
        <v>0.6777</v>
      </c>
      <c r="D460" s="8" t="n">
        <v>0.4144</v>
      </c>
      <c r="E460" s="8" t="n">
        <v>0.838</v>
      </c>
      <c r="F460" s="8" t="n">
        <v>0.3836</v>
      </c>
      <c r="G460" s="8" t="n">
        <v>0.5497</v>
      </c>
      <c r="H460" s="8" t="n">
        <v>0.3793</v>
      </c>
      <c r="I460" s="8" t="n">
        <v>0.3951</v>
      </c>
      <c r="J460" s="8" t="n">
        <v>0.8374</v>
      </c>
      <c r="K460" s="8" t="n">
        <v>0.3575</v>
      </c>
      <c r="L460" s="9">
        <f>1-(1-Mecanismos!B2)*(1-C460)</f>
        <v/>
      </c>
      <c r="M460" s="9">
        <f>Mecanismos!B7*D460</f>
        <v/>
      </c>
      <c r="N460" s="9">
        <f>Mecanismos!B4*(1-E460)</f>
        <v/>
      </c>
      <c r="O460" s="9">
        <f>Mecanismos!B5*(1-F460)</f>
        <v/>
      </c>
      <c r="P460" s="9">
        <f>Mecanismos!B6*(1-I460)</f>
        <v/>
      </c>
      <c r="Q460" s="9">
        <f>Mecanismos!B9*(1-G460)</f>
        <v/>
      </c>
      <c r="R460" s="9">
        <f>Mecanismos!B9*(1-J460)</f>
        <v/>
      </c>
      <c r="S460" s="9">
        <f>Mecanismos!B8*H460</f>
        <v/>
      </c>
      <c r="T460" s="9">
        <f>Mecanismos!B10*H460</f>
        <v/>
      </c>
      <c r="U460" s="9">
        <f>Mecanismos!B8*K460</f>
        <v/>
      </c>
      <c r="V460" s="9">
        <f>Mecanismos!B3*D460</f>
        <v/>
      </c>
      <c r="W460" s="9">
        <f>Parametros!B2+Parametros!B4*(S460+T460+U460+V460)-Parametros!B3*(L460+M460+N460+O460+P460+Q460+R460)</f>
        <v/>
      </c>
      <c r="X460" s="10">
        <f>1/(1+EXP(-W460))</f>
        <v/>
      </c>
      <c r="Y460" s="11">
        <f>IF(Parametros!B6=1,0.15+0.85*(1/(1+EXP(-8*((1-N460)-0.45)))),1)</f>
        <v/>
      </c>
      <c r="Z460" s="11">
        <f>IF(Parametros!B7=1,MAX(0.05,1-L460^1.6),1)</f>
        <v/>
      </c>
      <c r="AA460" s="11">
        <f>IF(Parametros!B8=1,0.2+0.8*(1/(1+EXP(-9*(S460-0.25)))),1)</f>
        <v/>
      </c>
      <c r="AB460" s="10">
        <f>X460*Y460*Z460*AA460</f>
        <v/>
      </c>
    </row>
    <row r="461">
      <c r="A461" t="inlineStr">
        <is>
          <t>i0dcnm</t>
        </is>
      </c>
      <c r="B461" t="inlineStr">
        <is>
          <t>Sarah Teixeira</t>
        </is>
      </c>
      <c r="C461" s="8" t="n">
        <v>0.6377</v>
      </c>
      <c r="D461" s="8" t="n">
        <v>0.6187</v>
      </c>
      <c r="E461" s="8" t="n">
        <v>0.6007</v>
      </c>
      <c r="F461" s="8" t="n">
        <v>0.6037</v>
      </c>
      <c r="G461" s="8" t="n">
        <v>0.7857</v>
      </c>
      <c r="H461" s="8" t="n">
        <v>0.5135</v>
      </c>
      <c r="I461" s="8" t="n">
        <v>0.7976</v>
      </c>
      <c r="J461" s="8" t="n">
        <v>0.8715000000000001</v>
      </c>
      <c r="K461" s="8" t="n">
        <v>0.5642</v>
      </c>
      <c r="L461" s="9">
        <f>1-(1-Mecanismos!B2)*(1-C461)</f>
        <v/>
      </c>
      <c r="M461" s="9">
        <f>Mecanismos!B7*D461</f>
        <v/>
      </c>
      <c r="N461" s="9">
        <f>Mecanismos!B4*(1-E461)</f>
        <v/>
      </c>
      <c r="O461" s="9">
        <f>Mecanismos!B5*(1-F461)</f>
        <v/>
      </c>
      <c r="P461" s="9">
        <f>Mecanismos!B6*(1-I461)</f>
        <v/>
      </c>
      <c r="Q461" s="9">
        <f>Mecanismos!B9*(1-G461)</f>
        <v/>
      </c>
      <c r="R461" s="9">
        <f>Mecanismos!B9*(1-J461)</f>
        <v/>
      </c>
      <c r="S461" s="9">
        <f>Mecanismos!B8*H461</f>
        <v/>
      </c>
      <c r="T461" s="9">
        <f>Mecanismos!B10*H461</f>
        <v/>
      </c>
      <c r="U461" s="9">
        <f>Mecanismos!B8*K461</f>
        <v/>
      </c>
      <c r="V461" s="9">
        <f>Mecanismos!B3*D461</f>
        <v/>
      </c>
      <c r="W461" s="9">
        <f>Parametros!B2+Parametros!B4*(S461+T461+U461+V461)-Parametros!B3*(L461+M461+N461+O461+P461+Q461+R461)</f>
        <v/>
      </c>
      <c r="X461" s="10">
        <f>1/(1+EXP(-W461))</f>
        <v/>
      </c>
      <c r="Y461" s="11">
        <f>IF(Parametros!B6=1,0.15+0.85*(1/(1+EXP(-8*((1-N461)-0.45)))),1)</f>
        <v/>
      </c>
      <c r="Z461" s="11">
        <f>IF(Parametros!B7=1,MAX(0.05,1-L461^1.6),1)</f>
        <v/>
      </c>
      <c r="AA461" s="11">
        <f>IF(Parametros!B8=1,0.2+0.8*(1/(1+EXP(-9*(S461-0.25)))),1)</f>
        <v/>
      </c>
      <c r="AB461" s="10">
        <f>X461*Y461*Z461*AA461</f>
        <v/>
      </c>
    </row>
    <row r="462">
      <c r="A462" t="inlineStr">
        <is>
          <t>5e7gzi</t>
        </is>
      </c>
      <c r="B462" t="inlineStr">
        <is>
          <t>Sofia Guerra</t>
        </is>
      </c>
      <c r="C462" s="8" t="n">
        <v>0.6718</v>
      </c>
      <c r="D462" s="8" t="n">
        <v>0.5976</v>
      </c>
      <c r="E462" s="8" t="n">
        <v>0.2148</v>
      </c>
      <c r="F462" s="8" t="n">
        <v>0.6203</v>
      </c>
      <c r="G462" s="8" t="n">
        <v>0.3965</v>
      </c>
      <c r="H462" s="8" t="n">
        <v>0.472</v>
      </c>
      <c r="I462" s="8" t="n">
        <v>0.5874</v>
      </c>
      <c r="J462" s="8" t="n">
        <v>0.7282999999999999</v>
      </c>
      <c r="K462" s="8" t="n">
        <v>0.3301</v>
      </c>
      <c r="L462" s="9">
        <f>1-(1-Mecanismos!B2)*(1-C462)</f>
        <v/>
      </c>
      <c r="M462" s="9">
        <f>Mecanismos!B7*D462</f>
        <v/>
      </c>
      <c r="N462" s="9">
        <f>Mecanismos!B4*(1-E462)</f>
        <v/>
      </c>
      <c r="O462" s="9">
        <f>Mecanismos!B5*(1-F462)</f>
        <v/>
      </c>
      <c r="P462" s="9">
        <f>Mecanismos!B6*(1-I462)</f>
        <v/>
      </c>
      <c r="Q462" s="9">
        <f>Mecanismos!B9*(1-G462)</f>
        <v/>
      </c>
      <c r="R462" s="9">
        <f>Mecanismos!B9*(1-J462)</f>
        <v/>
      </c>
      <c r="S462" s="9">
        <f>Mecanismos!B8*H462</f>
        <v/>
      </c>
      <c r="T462" s="9">
        <f>Mecanismos!B10*H462</f>
        <v/>
      </c>
      <c r="U462" s="9">
        <f>Mecanismos!B8*K462</f>
        <v/>
      </c>
      <c r="V462" s="9">
        <f>Mecanismos!B3*D462</f>
        <v/>
      </c>
      <c r="W462" s="9">
        <f>Parametros!B2+Parametros!B4*(S462+T462+U462+V462)-Parametros!B3*(L462+M462+N462+O462+P462+Q462+R462)</f>
        <v/>
      </c>
      <c r="X462" s="10">
        <f>1/(1+EXP(-W462))</f>
        <v/>
      </c>
      <c r="Y462" s="11">
        <f>IF(Parametros!B6=1,0.15+0.85*(1/(1+EXP(-8*((1-N462)-0.45)))),1)</f>
        <v/>
      </c>
      <c r="Z462" s="11">
        <f>IF(Parametros!B7=1,MAX(0.05,1-L462^1.6),1)</f>
        <v/>
      </c>
      <c r="AA462" s="11">
        <f>IF(Parametros!B8=1,0.2+0.8*(1/(1+EXP(-9*(S462-0.25)))),1)</f>
        <v/>
      </c>
      <c r="AB462" s="10">
        <f>X462*Y462*Z462*AA462</f>
        <v/>
      </c>
    </row>
    <row r="463">
      <c r="A463" t="inlineStr">
        <is>
          <t>1xjfcm</t>
        </is>
      </c>
      <c r="B463" t="inlineStr">
        <is>
          <t>Sophia Cavalcante</t>
        </is>
      </c>
      <c r="C463" s="8" t="n">
        <v>0.7989000000000001</v>
      </c>
      <c r="D463" s="8" t="n">
        <v>0.582</v>
      </c>
      <c r="E463" s="8" t="n">
        <v>0.5679</v>
      </c>
      <c r="F463" s="8" t="n">
        <v>0.2437</v>
      </c>
      <c r="G463" s="8" t="n">
        <v>0.5381</v>
      </c>
      <c r="H463" s="8" t="n">
        <v>0.6911</v>
      </c>
      <c r="I463" s="8" t="n">
        <v>0.3538</v>
      </c>
      <c r="J463" s="8" t="n">
        <v>0.3789</v>
      </c>
      <c r="K463" s="8" t="n">
        <v>0.1436</v>
      </c>
      <c r="L463" s="9">
        <f>1-(1-Mecanismos!B2)*(1-C463)</f>
        <v/>
      </c>
      <c r="M463" s="9">
        <f>Mecanismos!B7*D463</f>
        <v/>
      </c>
      <c r="N463" s="9">
        <f>Mecanismos!B4*(1-E463)</f>
        <v/>
      </c>
      <c r="O463" s="9">
        <f>Mecanismos!B5*(1-F463)</f>
        <v/>
      </c>
      <c r="P463" s="9">
        <f>Mecanismos!B6*(1-I463)</f>
        <v/>
      </c>
      <c r="Q463" s="9">
        <f>Mecanismos!B9*(1-G463)</f>
        <v/>
      </c>
      <c r="R463" s="9">
        <f>Mecanismos!B9*(1-J463)</f>
        <v/>
      </c>
      <c r="S463" s="9">
        <f>Mecanismos!B8*H463</f>
        <v/>
      </c>
      <c r="T463" s="9">
        <f>Mecanismos!B10*H463</f>
        <v/>
      </c>
      <c r="U463" s="9">
        <f>Mecanismos!B8*K463</f>
        <v/>
      </c>
      <c r="V463" s="9">
        <f>Mecanismos!B3*D463</f>
        <v/>
      </c>
      <c r="W463" s="9">
        <f>Parametros!B2+Parametros!B4*(S463+T463+U463+V463)-Parametros!B3*(L463+M463+N463+O463+P463+Q463+R463)</f>
        <v/>
      </c>
      <c r="X463" s="10">
        <f>1/(1+EXP(-W463))</f>
        <v/>
      </c>
      <c r="Y463" s="11">
        <f>IF(Parametros!B6=1,0.15+0.85*(1/(1+EXP(-8*((1-N463)-0.45)))),1)</f>
        <v/>
      </c>
      <c r="Z463" s="11">
        <f>IF(Parametros!B7=1,MAX(0.05,1-L463^1.6),1)</f>
        <v/>
      </c>
      <c r="AA463" s="11">
        <f>IF(Parametros!B8=1,0.2+0.8*(1/(1+EXP(-9*(S463-0.25)))),1)</f>
        <v/>
      </c>
      <c r="AB463" s="10">
        <f>X463*Y463*Z463*AA463</f>
        <v/>
      </c>
    </row>
    <row r="464">
      <c r="A464" t="inlineStr">
        <is>
          <t>2ab3s9</t>
        </is>
      </c>
      <c r="B464" t="inlineStr">
        <is>
          <t>Stella Cardoso</t>
        </is>
      </c>
      <c r="C464" s="8" t="n">
        <v>0.7368</v>
      </c>
      <c r="D464" s="8" t="n">
        <v>0.616</v>
      </c>
      <c r="E464" s="8" t="n">
        <v>0.5059</v>
      </c>
      <c r="F464" s="8" t="n">
        <v>0.5558999999999999</v>
      </c>
      <c r="G464" s="8" t="n">
        <v>0.3246</v>
      </c>
      <c r="H464" s="8" t="n">
        <v>0.82</v>
      </c>
      <c r="I464" s="8" t="n">
        <v>0.149</v>
      </c>
      <c r="J464" s="8" t="n">
        <v>0.7192</v>
      </c>
      <c r="K464" s="8" t="n">
        <v>0.6984</v>
      </c>
      <c r="L464" s="9">
        <f>1-(1-Mecanismos!B2)*(1-C464)</f>
        <v/>
      </c>
      <c r="M464" s="9">
        <f>Mecanismos!B7*D464</f>
        <v/>
      </c>
      <c r="N464" s="9">
        <f>Mecanismos!B4*(1-E464)</f>
        <v/>
      </c>
      <c r="O464" s="9">
        <f>Mecanismos!B5*(1-F464)</f>
        <v/>
      </c>
      <c r="P464" s="9">
        <f>Mecanismos!B6*(1-I464)</f>
        <v/>
      </c>
      <c r="Q464" s="9">
        <f>Mecanismos!B9*(1-G464)</f>
        <v/>
      </c>
      <c r="R464" s="9">
        <f>Mecanismos!B9*(1-J464)</f>
        <v/>
      </c>
      <c r="S464" s="9">
        <f>Mecanismos!B8*H464</f>
        <v/>
      </c>
      <c r="T464" s="9">
        <f>Mecanismos!B10*H464</f>
        <v/>
      </c>
      <c r="U464" s="9">
        <f>Mecanismos!B8*K464</f>
        <v/>
      </c>
      <c r="V464" s="9">
        <f>Mecanismos!B3*D464</f>
        <v/>
      </c>
      <c r="W464" s="9">
        <f>Parametros!B2+Parametros!B4*(S464+T464+U464+V464)-Parametros!B3*(L464+M464+N464+O464+P464+Q464+R464)</f>
        <v/>
      </c>
      <c r="X464" s="10">
        <f>1/(1+EXP(-W464))</f>
        <v/>
      </c>
      <c r="Y464" s="11">
        <f>IF(Parametros!B6=1,0.15+0.85*(1/(1+EXP(-8*((1-N464)-0.45)))),1)</f>
        <v/>
      </c>
      <c r="Z464" s="11">
        <f>IF(Parametros!B7=1,MAX(0.05,1-L464^1.6),1)</f>
        <v/>
      </c>
      <c r="AA464" s="11">
        <f>IF(Parametros!B8=1,0.2+0.8*(1/(1+EXP(-9*(S464-0.25)))),1)</f>
        <v/>
      </c>
      <c r="AB464" s="10">
        <f>X464*Y464*Z464*AA464</f>
        <v/>
      </c>
    </row>
    <row r="465">
      <c r="A465" t="inlineStr">
        <is>
          <t>1croo0</t>
        </is>
      </c>
      <c r="B465" t="inlineStr">
        <is>
          <t>Stephany Almeida</t>
        </is>
      </c>
      <c r="C465" s="8" t="n">
        <v>0.4568</v>
      </c>
      <c r="D465" s="8" t="n">
        <v>0.7524999999999999</v>
      </c>
      <c r="E465" s="8" t="n">
        <v>0.6654</v>
      </c>
      <c r="F465" s="8" t="n">
        <v>0.7673</v>
      </c>
      <c r="G465" s="8" t="n">
        <v>0.4683</v>
      </c>
      <c r="H465" s="8" t="n">
        <v>0.7778</v>
      </c>
      <c r="I465" s="8" t="n">
        <v>0.8665</v>
      </c>
      <c r="J465" s="8" t="n">
        <v>0.7715</v>
      </c>
      <c r="K465" s="8" t="n">
        <v>0.828</v>
      </c>
      <c r="L465" s="9">
        <f>1-(1-Mecanismos!B2)*(1-C465)</f>
        <v/>
      </c>
      <c r="M465" s="9">
        <f>Mecanismos!B7*D465</f>
        <v/>
      </c>
      <c r="N465" s="9">
        <f>Mecanismos!B4*(1-E465)</f>
        <v/>
      </c>
      <c r="O465" s="9">
        <f>Mecanismos!B5*(1-F465)</f>
        <v/>
      </c>
      <c r="P465" s="9">
        <f>Mecanismos!B6*(1-I465)</f>
        <v/>
      </c>
      <c r="Q465" s="9">
        <f>Mecanismos!B9*(1-G465)</f>
        <v/>
      </c>
      <c r="R465" s="9">
        <f>Mecanismos!B9*(1-J465)</f>
        <v/>
      </c>
      <c r="S465" s="9">
        <f>Mecanismos!B8*H465</f>
        <v/>
      </c>
      <c r="T465" s="9">
        <f>Mecanismos!B10*H465</f>
        <v/>
      </c>
      <c r="U465" s="9">
        <f>Mecanismos!B8*K465</f>
        <v/>
      </c>
      <c r="V465" s="9">
        <f>Mecanismos!B3*D465</f>
        <v/>
      </c>
      <c r="W465" s="9">
        <f>Parametros!B2+Parametros!B4*(S465+T465+U465+V465)-Parametros!B3*(L465+M465+N465+O465+P465+Q465+R465)</f>
        <v/>
      </c>
      <c r="X465" s="10">
        <f>1/(1+EXP(-W465))</f>
        <v/>
      </c>
      <c r="Y465" s="11">
        <f>IF(Parametros!B6=1,0.15+0.85*(1/(1+EXP(-8*((1-N465)-0.45)))),1)</f>
        <v/>
      </c>
      <c r="Z465" s="11">
        <f>IF(Parametros!B7=1,MAX(0.05,1-L465^1.6),1)</f>
        <v/>
      </c>
      <c r="AA465" s="11">
        <f>IF(Parametros!B8=1,0.2+0.8*(1/(1+EXP(-9*(S465-0.25)))),1)</f>
        <v/>
      </c>
      <c r="AB465" s="10">
        <f>X465*Y465*Z465*AA465</f>
        <v/>
      </c>
    </row>
    <row r="466">
      <c r="A466" t="inlineStr">
        <is>
          <t>cajroe</t>
        </is>
      </c>
      <c r="B466" t="inlineStr">
        <is>
          <t>Stephany Dias</t>
        </is>
      </c>
      <c r="C466" s="8" t="n">
        <v>0.5193</v>
      </c>
      <c r="D466" s="8" t="n">
        <v>0.4426</v>
      </c>
      <c r="E466" s="8" t="n">
        <v>0.6798</v>
      </c>
      <c r="F466" s="8" t="n">
        <v>0.1334</v>
      </c>
      <c r="G466" s="8" t="n">
        <v>0.3683</v>
      </c>
      <c r="H466" s="8" t="n">
        <v>0.6398</v>
      </c>
      <c r="I466" s="8" t="n">
        <v>0.3376</v>
      </c>
      <c r="J466" s="8" t="n">
        <v>0.6793</v>
      </c>
      <c r="K466" s="8" t="n">
        <v>0.9439</v>
      </c>
      <c r="L466" s="9">
        <f>1-(1-Mecanismos!B2)*(1-C466)</f>
        <v/>
      </c>
      <c r="M466" s="9">
        <f>Mecanismos!B7*D466</f>
        <v/>
      </c>
      <c r="N466" s="9">
        <f>Mecanismos!B4*(1-E466)</f>
        <v/>
      </c>
      <c r="O466" s="9">
        <f>Mecanismos!B5*(1-F466)</f>
        <v/>
      </c>
      <c r="P466" s="9">
        <f>Mecanismos!B6*(1-I466)</f>
        <v/>
      </c>
      <c r="Q466" s="9">
        <f>Mecanismos!B9*(1-G466)</f>
        <v/>
      </c>
      <c r="R466" s="9">
        <f>Mecanismos!B9*(1-J466)</f>
        <v/>
      </c>
      <c r="S466" s="9">
        <f>Mecanismos!B8*H466</f>
        <v/>
      </c>
      <c r="T466" s="9">
        <f>Mecanismos!B10*H466</f>
        <v/>
      </c>
      <c r="U466" s="9">
        <f>Mecanismos!B8*K466</f>
        <v/>
      </c>
      <c r="V466" s="9">
        <f>Mecanismos!B3*D466</f>
        <v/>
      </c>
      <c r="W466" s="9">
        <f>Parametros!B2+Parametros!B4*(S466+T466+U466+V466)-Parametros!B3*(L466+M466+N466+O466+P466+Q466+R466)</f>
        <v/>
      </c>
      <c r="X466" s="10">
        <f>1/(1+EXP(-W466))</f>
        <v/>
      </c>
      <c r="Y466" s="11">
        <f>IF(Parametros!B6=1,0.15+0.85*(1/(1+EXP(-8*((1-N466)-0.45)))),1)</f>
        <v/>
      </c>
      <c r="Z466" s="11">
        <f>IF(Parametros!B7=1,MAX(0.05,1-L466^1.6),1)</f>
        <v/>
      </c>
      <c r="AA466" s="11">
        <f>IF(Parametros!B8=1,0.2+0.8*(1/(1+EXP(-9*(S466-0.25)))),1)</f>
        <v/>
      </c>
      <c r="AB466" s="10">
        <f>X466*Y466*Z466*AA466</f>
        <v/>
      </c>
    </row>
    <row r="467">
      <c r="A467" t="inlineStr">
        <is>
          <t>u92vvb</t>
        </is>
      </c>
      <c r="B467" t="inlineStr">
        <is>
          <t>Stephany da Cunha</t>
        </is>
      </c>
      <c r="C467" s="8" t="n">
        <v>0.7673</v>
      </c>
      <c r="D467" s="8" t="n">
        <v>0.573</v>
      </c>
      <c r="E467" s="8" t="n">
        <v>0.7464</v>
      </c>
      <c r="F467" s="8" t="n">
        <v>0.2686</v>
      </c>
      <c r="G467" s="8" t="n">
        <v>0.4445</v>
      </c>
      <c r="H467" s="8" t="n">
        <v>0.4966</v>
      </c>
      <c r="I467" s="8" t="n">
        <v>0.2782</v>
      </c>
      <c r="J467" s="8" t="n">
        <v>0.5846</v>
      </c>
      <c r="K467" s="8" t="n">
        <v>0.7439</v>
      </c>
      <c r="L467" s="9">
        <f>1-(1-Mecanismos!B2)*(1-C467)</f>
        <v/>
      </c>
      <c r="M467" s="9">
        <f>Mecanismos!B7*D467</f>
        <v/>
      </c>
      <c r="N467" s="9">
        <f>Mecanismos!B4*(1-E467)</f>
        <v/>
      </c>
      <c r="O467" s="9">
        <f>Mecanismos!B5*(1-F467)</f>
        <v/>
      </c>
      <c r="P467" s="9">
        <f>Mecanismos!B6*(1-I467)</f>
        <v/>
      </c>
      <c r="Q467" s="9">
        <f>Mecanismos!B9*(1-G467)</f>
        <v/>
      </c>
      <c r="R467" s="9">
        <f>Mecanismos!B9*(1-J467)</f>
        <v/>
      </c>
      <c r="S467" s="9">
        <f>Mecanismos!B8*H467</f>
        <v/>
      </c>
      <c r="T467" s="9">
        <f>Mecanismos!B10*H467</f>
        <v/>
      </c>
      <c r="U467" s="9">
        <f>Mecanismos!B8*K467</f>
        <v/>
      </c>
      <c r="V467" s="9">
        <f>Mecanismos!B3*D467</f>
        <v/>
      </c>
      <c r="W467" s="9">
        <f>Parametros!B2+Parametros!B4*(S467+T467+U467+V467)-Parametros!B3*(L467+M467+N467+O467+P467+Q467+R467)</f>
        <v/>
      </c>
      <c r="X467" s="10">
        <f>1/(1+EXP(-W467))</f>
        <v/>
      </c>
      <c r="Y467" s="11">
        <f>IF(Parametros!B6=1,0.15+0.85*(1/(1+EXP(-8*((1-N467)-0.45)))),1)</f>
        <v/>
      </c>
      <c r="Z467" s="11">
        <f>IF(Parametros!B7=1,MAX(0.05,1-L467^1.6),1)</f>
        <v/>
      </c>
      <c r="AA467" s="11">
        <f>IF(Parametros!B8=1,0.2+0.8*(1/(1+EXP(-9*(S467-0.25)))),1)</f>
        <v/>
      </c>
      <c r="AB467" s="10">
        <f>X467*Y467*Z467*AA467</f>
        <v/>
      </c>
    </row>
    <row r="468">
      <c r="A468" t="inlineStr">
        <is>
          <t>fydnr4</t>
        </is>
      </c>
      <c r="B468" t="inlineStr">
        <is>
          <t>Thales Almeida</t>
        </is>
      </c>
      <c r="C468" s="8" t="n">
        <v>0.6815</v>
      </c>
      <c r="D468" s="8" t="n">
        <v>0.5216</v>
      </c>
      <c r="E468" s="8" t="n">
        <v>0.6054</v>
      </c>
      <c r="F468" s="8" t="n">
        <v>0.4923</v>
      </c>
      <c r="G468" s="8" t="n">
        <v>0.3597</v>
      </c>
      <c r="H468" s="8" t="n">
        <v>0.42</v>
      </c>
      <c r="I468" s="8" t="n">
        <v>0.7314000000000001</v>
      </c>
      <c r="J468" s="8" t="n">
        <v>0.8596</v>
      </c>
      <c r="K468" s="8" t="n">
        <v>0.6682</v>
      </c>
      <c r="L468" s="9">
        <f>1-(1-Mecanismos!B2)*(1-C468)</f>
        <v/>
      </c>
      <c r="M468" s="9">
        <f>Mecanismos!B7*D468</f>
        <v/>
      </c>
      <c r="N468" s="9">
        <f>Mecanismos!B4*(1-E468)</f>
        <v/>
      </c>
      <c r="O468" s="9">
        <f>Mecanismos!B5*(1-F468)</f>
        <v/>
      </c>
      <c r="P468" s="9">
        <f>Mecanismos!B6*(1-I468)</f>
        <v/>
      </c>
      <c r="Q468" s="9">
        <f>Mecanismos!B9*(1-G468)</f>
        <v/>
      </c>
      <c r="R468" s="9">
        <f>Mecanismos!B9*(1-J468)</f>
        <v/>
      </c>
      <c r="S468" s="9">
        <f>Mecanismos!B8*H468</f>
        <v/>
      </c>
      <c r="T468" s="9">
        <f>Mecanismos!B10*H468</f>
        <v/>
      </c>
      <c r="U468" s="9">
        <f>Mecanismos!B8*K468</f>
        <v/>
      </c>
      <c r="V468" s="9">
        <f>Mecanismos!B3*D468</f>
        <v/>
      </c>
      <c r="W468" s="9">
        <f>Parametros!B2+Parametros!B4*(S468+T468+U468+V468)-Parametros!B3*(L468+M468+N468+O468+P468+Q468+R468)</f>
        <v/>
      </c>
      <c r="X468" s="10">
        <f>1/(1+EXP(-W468))</f>
        <v/>
      </c>
      <c r="Y468" s="11">
        <f>IF(Parametros!B6=1,0.15+0.85*(1/(1+EXP(-8*((1-N468)-0.45)))),1)</f>
        <v/>
      </c>
      <c r="Z468" s="11">
        <f>IF(Parametros!B7=1,MAX(0.05,1-L468^1.6),1)</f>
        <v/>
      </c>
      <c r="AA468" s="11">
        <f>IF(Parametros!B8=1,0.2+0.8*(1/(1+EXP(-9*(S468-0.25)))),1)</f>
        <v/>
      </c>
      <c r="AB468" s="10">
        <f>X468*Y468*Z468*AA468</f>
        <v/>
      </c>
    </row>
    <row r="469">
      <c r="A469" t="inlineStr">
        <is>
          <t>1wdt13</t>
        </is>
      </c>
      <c r="B469" t="inlineStr">
        <is>
          <t>Thales Moura</t>
        </is>
      </c>
      <c r="C469" s="8" t="n">
        <v>0.3672</v>
      </c>
      <c r="D469" s="8" t="n">
        <v>0.4984</v>
      </c>
      <c r="E469" s="8" t="n">
        <v>0.3732</v>
      </c>
      <c r="F469" s="8" t="n">
        <v>0.4387</v>
      </c>
      <c r="G469" s="8" t="n">
        <v>0.6578000000000001</v>
      </c>
      <c r="H469" s="8" t="n">
        <v>0.605</v>
      </c>
      <c r="I469" s="8" t="n">
        <v>0.5221</v>
      </c>
      <c r="J469" s="8" t="n">
        <v>0.9011</v>
      </c>
      <c r="K469" s="8" t="n">
        <v>0.1251</v>
      </c>
      <c r="L469" s="9">
        <f>1-(1-Mecanismos!B2)*(1-C469)</f>
        <v/>
      </c>
      <c r="M469" s="9">
        <f>Mecanismos!B7*D469</f>
        <v/>
      </c>
      <c r="N469" s="9">
        <f>Mecanismos!B4*(1-E469)</f>
        <v/>
      </c>
      <c r="O469" s="9">
        <f>Mecanismos!B5*(1-F469)</f>
        <v/>
      </c>
      <c r="P469" s="9">
        <f>Mecanismos!B6*(1-I469)</f>
        <v/>
      </c>
      <c r="Q469" s="9">
        <f>Mecanismos!B9*(1-G469)</f>
        <v/>
      </c>
      <c r="R469" s="9">
        <f>Mecanismos!B9*(1-J469)</f>
        <v/>
      </c>
      <c r="S469" s="9">
        <f>Mecanismos!B8*H469</f>
        <v/>
      </c>
      <c r="T469" s="9">
        <f>Mecanismos!B10*H469</f>
        <v/>
      </c>
      <c r="U469" s="9">
        <f>Mecanismos!B8*K469</f>
        <v/>
      </c>
      <c r="V469" s="9">
        <f>Mecanismos!B3*D469</f>
        <v/>
      </c>
      <c r="W469" s="9">
        <f>Parametros!B2+Parametros!B4*(S469+T469+U469+V469)-Parametros!B3*(L469+M469+N469+O469+P469+Q469+R469)</f>
        <v/>
      </c>
      <c r="X469" s="10">
        <f>1/(1+EXP(-W469))</f>
        <v/>
      </c>
      <c r="Y469" s="11">
        <f>IF(Parametros!B6=1,0.15+0.85*(1/(1+EXP(-8*((1-N469)-0.45)))),1)</f>
        <v/>
      </c>
      <c r="Z469" s="11">
        <f>IF(Parametros!B7=1,MAX(0.05,1-L469^1.6),1)</f>
        <v/>
      </c>
      <c r="AA469" s="11">
        <f>IF(Parametros!B8=1,0.2+0.8*(1/(1+EXP(-9*(S469-0.25)))),1)</f>
        <v/>
      </c>
      <c r="AB469" s="10">
        <f>X469*Y469*Z469*AA469</f>
        <v/>
      </c>
    </row>
    <row r="470">
      <c r="A470" t="inlineStr">
        <is>
          <t>9d2djm</t>
        </is>
      </c>
      <c r="B470" t="inlineStr">
        <is>
          <t>Thales Pimenta</t>
        </is>
      </c>
      <c r="C470" s="8" t="n">
        <v>0.6811</v>
      </c>
      <c r="D470" s="8" t="n">
        <v>0.5095</v>
      </c>
      <c r="E470" s="8" t="n">
        <v>0.5268</v>
      </c>
      <c r="F470" s="8" t="n">
        <v>0.5535</v>
      </c>
      <c r="G470" s="8" t="n">
        <v>0.489</v>
      </c>
      <c r="H470" s="8" t="n">
        <v>0.5112</v>
      </c>
      <c r="I470" s="8" t="n">
        <v>0.4853</v>
      </c>
      <c r="J470" s="8" t="n">
        <v>0.7953</v>
      </c>
      <c r="K470" s="8" t="n">
        <v>0.7785</v>
      </c>
      <c r="L470" s="9">
        <f>1-(1-Mecanismos!B2)*(1-C470)</f>
        <v/>
      </c>
      <c r="M470" s="9">
        <f>Mecanismos!B7*D470</f>
        <v/>
      </c>
      <c r="N470" s="9">
        <f>Mecanismos!B4*(1-E470)</f>
        <v/>
      </c>
      <c r="O470" s="9">
        <f>Mecanismos!B5*(1-F470)</f>
        <v/>
      </c>
      <c r="P470" s="9">
        <f>Mecanismos!B6*(1-I470)</f>
        <v/>
      </c>
      <c r="Q470" s="9">
        <f>Mecanismos!B9*(1-G470)</f>
        <v/>
      </c>
      <c r="R470" s="9">
        <f>Mecanismos!B9*(1-J470)</f>
        <v/>
      </c>
      <c r="S470" s="9">
        <f>Mecanismos!B8*H470</f>
        <v/>
      </c>
      <c r="T470" s="9">
        <f>Mecanismos!B10*H470</f>
        <v/>
      </c>
      <c r="U470" s="9">
        <f>Mecanismos!B8*K470</f>
        <v/>
      </c>
      <c r="V470" s="9">
        <f>Mecanismos!B3*D470</f>
        <v/>
      </c>
      <c r="W470" s="9">
        <f>Parametros!B2+Parametros!B4*(S470+T470+U470+V470)-Parametros!B3*(L470+M470+N470+O470+P470+Q470+R470)</f>
        <v/>
      </c>
      <c r="X470" s="10">
        <f>1/(1+EXP(-W470))</f>
        <v/>
      </c>
      <c r="Y470" s="11">
        <f>IF(Parametros!B6=1,0.15+0.85*(1/(1+EXP(-8*((1-N470)-0.45)))),1)</f>
        <v/>
      </c>
      <c r="Z470" s="11">
        <f>IF(Parametros!B7=1,MAX(0.05,1-L470^1.6),1)</f>
        <v/>
      </c>
      <c r="AA470" s="11">
        <f>IF(Parametros!B8=1,0.2+0.8*(1/(1+EXP(-9*(S470-0.25)))),1)</f>
        <v/>
      </c>
      <c r="AB470" s="10">
        <f>X470*Y470*Z470*AA470</f>
        <v/>
      </c>
    </row>
    <row r="471">
      <c r="A471" t="inlineStr">
        <is>
          <t>2gkera</t>
        </is>
      </c>
      <c r="B471" t="inlineStr">
        <is>
          <t>Thales Rios</t>
        </is>
      </c>
      <c r="C471" s="8" t="n">
        <v>0.5357</v>
      </c>
      <c r="D471" s="8" t="n">
        <v>0.2267</v>
      </c>
      <c r="E471" s="8" t="n">
        <v>0.4281</v>
      </c>
      <c r="F471" s="8" t="n">
        <v>0.3163</v>
      </c>
      <c r="G471" s="8" t="n">
        <v>0.5524</v>
      </c>
      <c r="H471" s="8" t="n">
        <v>0.6589</v>
      </c>
      <c r="I471" s="8" t="n">
        <v>0.4025</v>
      </c>
      <c r="J471" s="8" t="n">
        <v>0.8033</v>
      </c>
      <c r="K471" s="8" t="n">
        <v>0.2777</v>
      </c>
      <c r="L471" s="9">
        <f>1-(1-Mecanismos!B2)*(1-C471)</f>
        <v/>
      </c>
      <c r="M471" s="9">
        <f>Mecanismos!B7*D471</f>
        <v/>
      </c>
      <c r="N471" s="9">
        <f>Mecanismos!B4*(1-E471)</f>
        <v/>
      </c>
      <c r="O471" s="9">
        <f>Mecanismos!B5*(1-F471)</f>
        <v/>
      </c>
      <c r="P471" s="9">
        <f>Mecanismos!B6*(1-I471)</f>
        <v/>
      </c>
      <c r="Q471" s="9">
        <f>Mecanismos!B9*(1-G471)</f>
        <v/>
      </c>
      <c r="R471" s="9">
        <f>Mecanismos!B9*(1-J471)</f>
        <v/>
      </c>
      <c r="S471" s="9">
        <f>Mecanismos!B8*H471</f>
        <v/>
      </c>
      <c r="T471" s="9">
        <f>Mecanismos!B10*H471</f>
        <v/>
      </c>
      <c r="U471" s="9">
        <f>Mecanismos!B8*K471</f>
        <v/>
      </c>
      <c r="V471" s="9">
        <f>Mecanismos!B3*D471</f>
        <v/>
      </c>
      <c r="W471" s="9">
        <f>Parametros!B2+Parametros!B4*(S471+T471+U471+V471)-Parametros!B3*(L471+M471+N471+O471+P471+Q471+R471)</f>
        <v/>
      </c>
      <c r="X471" s="10">
        <f>1/(1+EXP(-W471))</f>
        <v/>
      </c>
      <c r="Y471" s="11">
        <f>IF(Parametros!B6=1,0.15+0.85*(1/(1+EXP(-8*((1-N471)-0.45)))),1)</f>
        <v/>
      </c>
      <c r="Z471" s="11">
        <f>IF(Parametros!B7=1,MAX(0.05,1-L471^1.6),1)</f>
        <v/>
      </c>
      <c r="AA471" s="11">
        <f>IF(Parametros!B8=1,0.2+0.8*(1/(1+EXP(-9*(S471-0.25)))),1)</f>
        <v/>
      </c>
      <c r="AB471" s="10">
        <f>X471*Y471*Z471*AA471</f>
        <v/>
      </c>
    </row>
    <row r="472">
      <c r="A472" t="inlineStr">
        <is>
          <t>q4otn9</t>
        </is>
      </c>
      <c r="B472" t="inlineStr">
        <is>
          <t>Theo Martins</t>
        </is>
      </c>
      <c r="C472" s="8" t="n">
        <v>0.7753</v>
      </c>
      <c r="D472" s="8" t="n">
        <v>0.6218</v>
      </c>
      <c r="E472" s="8" t="n">
        <v>0.4453</v>
      </c>
      <c r="F472" s="8" t="n">
        <v>0.4272</v>
      </c>
      <c r="G472" s="8" t="n">
        <v>0.6133999999999999</v>
      </c>
      <c r="H472" s="8" t="n">
        <v>0.5383</v>
      </c>
      <c r="I472" s="8" t="n">
        <v>0.4911</v>
      </c>
      <c r="J472" s="8" t="n">
        <v>0.7524999999999999</v>
      </c>
      <c r="K472" s="8" t="n">
        <v>0.3141</v>
      </c>
      <c r="L472" s="9">
        <f>1-(1-Mecanismos!B2)*(1-C472)</f>
        <v/>
      </c>
      <c r="M472" s="9">
        <f>Mecanismos!B7*D472</f>
        <v/>
      </c>
      <c r="N472" s="9">
        <f>Mecanismos!B4*(1-E472)</f>
        <v/>
      </c>
      <c r="O472" s="9">
        <f>Mecanismos!B5*(1-F472)</f>
        <v/>
      </c>
      <c r="P472" s="9">
        <f>Mecanismos!B6*(1-I472)</f>
        <v/>
      </c>
      <c r="Q472" s="9">
        <f>Mecanismos!B9*(1-G472)</f>
        <v/>
      </c>
      <c r="R472" s="9">
        <f>Mecanismos!B9*(1-J472)</f>
        <v/>
      </c>
      <c r="S472" s="9">
        <f>Mecanismos!B8*H472</f>
        <v/>
      </c>
      <c r="T472" s="9">
        <f>Mecanismos!B10*H472</f>
        <v/>
      </c>
      <c r="U472" s="9">
        <f>Mecanismos!B8*K472</f>
        <v/>
      </c>
      <c r="V472" s="9">
        <f>Mecanismos!B3*D472</f>
        <v/>
      </c>
      <c r="W472" s="9">
        <f>Parametros!B2+Parametros!B4*(S472+T472+U472+V472)-Parametros!B3*(L472+M472+N472+O472+P472+Q472+R472)</f>
        <v/>
      </c>
      <c r="X472" s="10">
        <f>1/(1+EXP(-W472))</f>
        <v/>
      </c>
      <c r="Y472" s="11">
        <f>IF(Parametros!B6=1,0.15+0.85*(1/(1+EXP(-8*((1-N472)-0.45)))),1)</f>
        <v/>
      </c>
      <c r="Z472" s="11">
        <f>IF(Parametros!B7=1,MAX(0.05,1-L472^1.6),1)</f>
        <v/>
      </c>
      <c r="AA472" s="11">
        <f>IF(Parametros!B8=1,0.2+0.8*(1/(1+EXP(-9*(S472-0.25)))),1)</f>
        <v/>
      </c>
      <c r="AB472" s="10">
        <f>X472*Y472*Z472*AA472</f>
        <v/>
      </c>
    </row>
    <row r="473">
      <c r="A473" t="inlineStr">
        <is>
          <t>mvxziy</t>
        </is>
      </c>
      <c r="B473" t="inlineStr">
        <is>
          <t>Theo Novais</t>
        </is>
      </c>
      <c r="C473" s="8" t="n">
        <v>0.8119</v>
      </c>
      <c r="D473" s="8" t="n">
        <v>0.4144</v>
      </c>
      <c r="E473" s="8" t="n">
        <v>0.6147</v>
      </c>
      <c r="F473" s="8" t="n">
        <v>0.575</v>
      </c>
      <c r="G473" s="8" t="n">
        <v>0.3989</v>
      </c>
      <c r="H473" s="8" t="n">
        <v>0.4154</v>
      </c>
      <c r="I473" s="8" t="n">
        <v>0.3288</v>
      </c>
      <c r="J473" s="8" t="n">
        <v>0.5784</v>
      </c>
      <c r="K473" s="8" t="n">
        <v>0.06619999999999999</v>
      </c>
      <c r="L473" s="9">
        <f>1-(1-Mecanismos!B2)*(1-C473)</f>
        <v/>
      </c>
      <c r="M473" s="9">
        <f>Mecanismos!B7*D473</f>
        <v/>
      </c>
      <c r="N473" s="9">
        <f>Mecanismos!B4*(1-E473)</f>
        <v/>
      </c>
      <c r="O473" s="9">
        <f>Mecanismos!B5*(1-F473)</f>
        <v/>
      </c>
      <c r="P473" s="9">
        <f>Mecanismos!B6*(1-I473)</f>
        <v/>
      </c>
      <c r="Q473" s="9">
        <f>Mecanismos!B9*(1-G473)</f>
        <v/>
      </c>
      <c r="R473" s="9">
        <f>Mecanismos!B9*(1-J473)</f>
        <v/>
      </c>
      <c r="S473" s="9">
        <f>Mecanismos!B8*H473</f>
        <v/>
      </c>
      <c r="T473" s="9">
        <f>Mecanismos!B10*H473</f>
        <v/>
      </c>
      <c r="U473" s="9">
        <f>Mecanismos!B8*K473</f>
        <v/>
      </c>
      <c r="V473" s="9">
        <f>Mecanismos!B3*D473</f>
        <v/>
      </c>
      <c r="W473" s="9">
        <f>Parametros!B2+Parametros!B4*(S473+T473+U473+V473)-Parametros!B3*(L473+M473+N473+O473+P473+Q473+R473)</f>
        <v/>
      </c>
      <c r="X473" s="10">
        <f>1/(1+EXP(-W473))</f>
        <v/>
      </c>
      <c r="Y473" s="11">
        <f>IF(Parametros!B6=1,0.15+0.85*(1/(1+EXP(-8*((1-N473)-0.45)))),1)</f>
        <v/>
      </c>
      <c r="Z473" s="11">
        <f>IF(Parametros!B7=1,MAX(0.05,1-L473^1.6),1)</f>
        <v/>
      </c>
      <c r="AA473" s="11">
        <f>IF(Parametros!B8=1,0.2+0.8*(1/(1+EXP(-9*(S473-0.25)))),1)</f>
        <v/>
      </c>
      <c r="AB473" s="10">
        <f>X473*Y473*Z473*AA473</f>
        <v/>
      </c>
    </row>
    <row r="474">
      <c r="A474" t="inlineStr">
        <is>
          <t>wztuk4</t>
        </is>
      </c>
      <c r="B474" t="inlineStr">
        <is>
          <t>Theo Santos</t>
        </is>
      </c>
      <c r="C474" s="8" t="n">
        <v>0.8555</v>
      </c>
      <c r="D474" s="8" t="n">
        <v>0.6186</v>
      </c>
      <c r="E474" s="8" t="n">
        <v>0.7077</v>
      </c>
      <c r="F474" s="8" t="n">
        <v>0.5719</v>
      </c>
      <c r="G474" s="8" t="n">
        <v>0.3688</v>
      </c>
      <c r="H474" s="8" t="n">
        <v>0.7278</v>
      </c>
      <c r="I474" s="8" t="n">
        <v>0.2823</v>
      </c>
      <c r="J474" s="8" t="n">
        <v>0.5093</v>
      </c>
      <c r="K474" s="8" t="n">
        <v>0.569</v>
      </c>
      <c r="L474" s="9">
        <f>1-(1-Mecanismos!B2)*(1-C474)</f>
        <v/>
      </c>
      <c r="M474" s="9">
        <f>Mecanismos!B7*D474</f>
        <v/>
      </c>
      <c r="N474" s="9">
        <f>Mecanismos!B4*(1-E474)</f>
        <v/>
      </c>
      <c r="O474" s="9">
        <f>Mecanismos!B5*(1-F474)</f>
        <v/>
      </c>
      <c r="P474" s="9">
        <f>Mecanismos!B6*(1-I474)</f>
        <v/>
      </c>
      <c r="Q474" s="9">
        <f>Mecanismos!B9*(1-G474)</f>
        <v/>
      </c>
      <c r="R474" s="9">
        <f>Mecanismos!B9*(1-J474)</f>
        <v/>
      </c>
      <c r="S474" s="9">
        <f>Mecanismos!B8*H474</f>
        <v/>
      </c>
      <c r="T474" s="9">
        <f>Mecanismos!B10*H474</f>
        <v/>
      </c>
      <c r="U474" s="9">
        <f>Mecanismos!B8*K474</f>
        <v/>
      </c>
      <c r="V474" s="9">
        <f>Mecanismos!B3*D474</f>
        <v/>
      </c>
      <c r="W474" s="9">
        <f>Parametros!B2+Parametros!B4*(S474+T474+U474+V474)-Parametros!B3*(L474+M474+N474+O474+P474+Q474+R474)</f>
        <v/>
      </c>
      <c r="X474" s="10">
        <f>1/(1+EXP(-W474))</f>
        <v/>
      </c>
      <c r="Y474" s="11">
        <f>IF(Parametros!B6=1,0.15+0.85*(1/(1+EXP(-8*((1-N474)-0.45)))),1)</f>
        <v/>
      </c>
      <c r="Z474" s="11">
        <f>IF(Parametros!B7=1,MAX(0.05,1-L474^1.6),1)</f>
        <v/>
      </c>
      <c r="AA474" s="11">
        <f>IF(Parametros!B8=1,0.2+0.8*(1/(1+EXP(-9*(S474-0.25)))),1)</f>
        <v/>
      </c>
      <c r="AB474" s="10">
        <f>X474*Y474*Z474*AA474</f>
        <v/>
      </c>
    </row>
    <row r="475">
      <c r="A475" t="inlineStr">
        <is>
          <t>9oburg</t>
        </is>
      </c>
      <c r="B475" t="inlineStr">
        <is>
          <t>Theodoro Dias</t>
        </is>
      </c>
      <c r="C475" s="8" t="n">
        <v>0.7889</v>
      </c>
      <c r="D475" s="8" t="n">
        <v>0.5139</v>
      </c>
      <c r="E475" s="8" t="n">
        <v>0.6417</v>
      </c>
      <c r="F475" s="8" t="n">
        <v>0.6094000000000001</v>
      </c>
      <c r="G475" s="8" t="n">
        <v>0.7996</v>
      </c>
      <c r="H475" s="8" t="n">
        <v>0.5843</v>
      </c>
      <c r="I475" s="8" t="n">
        <v>0.5064</v>
      </c>
      <c r="J475" s="8" t="n">
        <v>0.6967</v>
      </c>
      <c r="K475" s="8" t="n">
        <v>0.24</v>
      </c>
      <c r="L475" s="9">
        <f>1-(1-Mecanismos!B2)*(1-C475)</f>
        <v/>
      </c>
      <c r="M475" s="9">
        <f>Mecanismos!B7*D475</f>
        <v/>
      </c>
      <c r="N475" s="9">
        <f>Mecanismos!B4*(1-E475)</f>
        <v/>
      </c>
      <c r="O475" s="9">
        <f>Mecanismos!B5*(1-F475)</f>
        <v/>
      </c>
      <c r="P475" s="9">
        <f>Mecanismos!B6*(1-I475)</f>
        <v/>
      </c>
      <c r="Q475" s="9">
        <f>Mecanismos!B9*(1-G475)</f>
        <v/>
      </c>
      <c r="R475" s="9">
        <f>Mecanismos!B9*(1-J475)</f>
        <v/>
      </c>
      <c r="S475" s="9">
        <f>Mecanismos!B8*H475</f>
        <v/>
      </c>
      <c r="T475" s="9">
        <f>Mecanismos!B10*H475</f>
        <v/>
      </c>
      <c r="U475" s="9">
        <f>Mecanismos!B8*K475</f>
        <v/>
      </c>
      <c r="V475" s="9">
        <f>Mecanismos!B3*D475</f>
        <v/>
      </c>
      <c r="W475" s="9">
        <f>Parametros!B2+Parametros!B4*(S475+T475+U475+V475)-Parametros!B3*(L475+M475+N475+O475+P475+Q475+R475)</f>
        <v/>
      </c>
      <c r="X475" s="10">
        <f>1/(1+EXP(-W475))</f>
        <v/>
      </c>
      <c r="Y475" s="11">
        <f>IF(Parametros!B6=1,0.15+0.85*(1/(1+EXP(-8*((1-N475)-0.45)))),1)</f>
        <v/>
      </c>
      <c r="Z475" s="11">
        <f>IF(Parametros!B7=1,MAX(0.05,1-L475^1.6),1)</f>
        <v/>
      </c>
      <c r="AA475" s="11">
        <f>IF(Parametros!B8=1,0.2+0.8*(1/(1+EXP(-9*(S475-0.25)))),1)</f>
        <v/>
      </c>
      <c r="AB475" s="10">
        <f>X475*Y475*Z475*AA475</f>
        <v/>
      </c>
    </row>
    <row r="476">
      <c r="A476" t="inlineStr">
        <is>
          <t>5q5oag</t>
        </is>
      </c>
      <c r="B476" t="inlineStr">
        <is>
          <t>Thiago Ferreira</t>
        </is>
      </c>
      <c r="C476" s="8" t="n">
        <v>0.6729000000000001</v>
      </c>
      <c r="D476" s="8" t="n">
        <v>0.4983</v>
      </c>
      <c r="E476" s="8" t="n">
        <v>0.5804</v>
      </c>
      <c r="F476" s="8" t="n">
        <v>0.4149</v>
      </c>
      <c r="G476" s="8" t="n">
        <v>0.332</v>
      </c>
      <c r="H476" s="8" t="n">
        <v>0.4345</v>
      </c>
      <c r="I476" s="8" t="n">
        <v>0.6069</v>
      </c>
      <c r="J476" s="8" t="n">
        <v>0.8574000000000001</v>
      </c>
      <c r="K476" s="8" t="n">
        <v>0.6228</v>
      </c>
      <c r="L476" s="9">
        <f>1-(1-Mecanismos!B2)*(1-C476)</f>
        <v/>
      </c>
      <c r="M476" s="9">
        <f>Mecanismos!B7*D476</f>
        <v/>
      </c>
      <c r="N476" s="9">
        <f>Mecanismos!B4*(1-E476)</f>
        <v/>
      </c>
      <c r="O476" s="9">
        <f>Mecanismos!B5*(1-F476)</f>
        <v/>
      </c>
      <c r="P476" s="9">
        <f>Mecanismos!B6*(1-I476)</f>
        <v/>
      </c>
      <c r="Q476" s="9">
        <f>Mecanismos!B9*(1-G476)</f>
        <v/>
      </c>
      <c r="R476" s="9">
        <f>Mecanismos!B9*(1-J476)</f>
        <v/>
      </c>
      <c r="S476" s="9">
        <f>Mecanismos!B8*H476</f>
        <v/>
      </c>
      <c r="T476" s="9">
        <f>Mecanismos!B10*H476</f>
        <v/>
      </c>
      <c r="U476" s="9">
        <f>Mecanismos!B8*K476</f>
        <v/>
      </c>
      <c r="V476" s="9">
        <f>Mecanismos!B3*D476</f>
        <v/>
      </c>
      <c r="W476" s="9">
        <f>Parametros!B2+Parametros!B4*(S476+T476+U476+V476)-Parametros!B3*(L476+M476+N476+O476+P476+Q476+R476)</f>
        <v/>
      </c>
      <c r="X476" s="10">
        <f>1/(1+EXP(-W476))</f>
        <v/>
      </c>
      <c r="Y476" s="11">
        <f>IF(Parametros!B6=1,0.15+0.85*(1/(1+EXP(-8*((1-N476)-0.45)))),1)</f>
        <v/>
      </c>
      <c r="Z476" s="11">
        <f>IF(Parametros!B7=1,MAX(0.05,1-L476^1.6),1)</f>
        <v/>
      </c>
      <c r="AA476" s="11">
        <f>IF(Parametros!B8=1,0.2+0.8*(1/(1+EXP(-9*(S476-0.25)))),1)</f>
        <v/>
      </c>
      <c r="AB476" s="10">
        <f>X476*Y476*Z476*AA476</f>
        <v/>
      </c>
    </row>
    <row r="477">
      <c r="A477" t="inlineStr">
        <is>
          <t>7449pt</t>
        </is>
      </c>
      <c r="B477" t="inlineStr">
        <is>
          <t>Thiago Porto</t>
        </is>
      </c>
      <c r="C477" s="8" t="n">
        <v>0.6031</v>
      </c>
      <c r="D477" s="8" t="n">
        <v>0.4954</v>
      </c>
      <c r="E477" s="8" t="n">
        <v>0.4792</v>
      </c>
      <c r="F477" s="8" t="n">
        <v>0.5652</v>
      </c>
      <c r="G477" s="8" t="n">
        <v>0.7386</v>
      </c>
      <c r="H477" s="8" t="n">
        <v>0.6854</v>
      </c>
      <c r="I477" s="8" t="n">
        <v>0.5790999999999999</v>
      </c>
      <c r="J477" s="8" t="n">
        <v>0.6176</v>
      </c>
      <c r="K477" s="8" t="n">
        <v>0.8238</v>
      </c>
      <c r="L477" s="9">
        <f>1-(1-Mecanismos!B2)*(1-C477)</f>
        <v/>
      </c>
      <c r="M477" s="9">
        <f>Mecanismos!B7*D477</f>
        <v/>
      </c>
      <c r="N477" s="9">
        <f>Mecanismos!B4*(1-E477)</f>
        <v/>
      </c>
      <c r="O477" s="9">
        <f>Mecanismos!B5*(1-F477)</f>
        <v/>
      </c>
      <c r="P477" s="9">
        <f>Mecanismos!B6*(1-I477)</f>
        <v/>
      </c>
      <c r="Q477" s="9">
        <f>Mecanismos!B9*(1-G477)</f>
        <v/>
      </c>
      <c r="R477" s="9">
        <f>Mecanismos!B9*(1-J477)</f>
        <v/>
      </c>
      <c r="S477" s="9">
        <f>Mecanismos!B8*H477</f>
        <v/>
      </c>
      <c r="T477" s="9">
        <f>Mecanismos!B10*H477</f>
        <v/>
      </c>
      <c r="U477" s="9">
        <f>Mecanismos!B8*K477</f>
        <v/>
      </c>
      <c r="V477" s="9">
        <f>Mecanismos!B3*D477</f>
        <v/>
      </c>
      <c r="W477" s="9">
        <f>Parametros!B2+Parametros!B4*(S477+T477+U477+V477)-Parametros!B3*(L477+M477+N477+O477+P477+Q477+R477)</f>
        <v/>
      </c>
      <c r="X477" s="10">
        <f>1/(1+EXP(-W477))</f>
        <v/>
      </c>
      <c r="Y477" s="11">
        <f>IF(Parametros!B6=1,0.15+0.85*(1/(1+EXP(-8*((1-N477)-0.45)))),1)</f>
        <v/>
      </c>
      <c r="Z477" s="11">
        <f>IF(Parametros!B7=1,MAX(0.05,1-L477^1.6),1)</f>
        <v/>
      </c>
      <c r="AA477" s="11">
        <f>IF(Parametros!B8=1,0.2+0.8*(1/(1+EXP(-9*(S477-0.25)))),1)</f>
        <v/>
      </c>
      <c r="AB477" s="10">
        <f>X477*Y477*Z477*AA477</f>
        <v/>
      </c>
    </row>
    <row r="478">
      <c r="A478" t="inlineStr">
        <is>
          <t>k5vb2a</t>
        </is>
      </c>
      <c r="B478" t="inlineStr">
        <is>
          <t>Thomas Duarte</t>
        </is>
      </c>
      <c r="C478" s="8" t="n">
        <v>0.3086</v>
      </c>
      <c r="D478" s="8" t="n">
        <v>0.467</v>
      </c>
      <c r="E478" s="8" t="n">
        <v>0.4393</v>
      </c>
      <c r="F478" s="8" t="n">
        <v>0.5646</v>
      </c>
      <c r="G478" s="8" t="n">
        <v>0.5994</v>
      </c>
      <c r="H478" s="8" t="n">
        <v>0.6344</v>
      </c>
      <c r="I478" s="8" t="n">
        <v>0.3465</v>
      </c>
      <c r="J478" s="8" t="n">
        <v>0.8701</v>
      </c>
      <c r="K478" s="8" t="n">
        <v>0.3477</v>
      </c>
      <c r="L478" s="9">
        <f>1-(1-Mecanismos!B2)*(1-C478)</f>
        <v/>
      </c>
      <c r="M478" s="9">
        <f>Mecanismos!B7*D478</f>
        <v/>
      </c>
      <c r="N478" s="9">
        <f>Mecanismos!B4*(1-E478)</f>
        <v/>
      </c>
      <c r="O478" s="9">
        <f>Mecanismos!B5*(1-F478)</f>
        <v/>
      </c>
      <c r="P478" s="9">
        <f>Mecanismos!B6*(1-I478)</f>
        <v/>
      </c>
      <c r="Q478" s="9">
        <f>Mecanismos!B9*(1-G478)</f>
        <v/>
      </c>
      <c r="R478" s="9">
        <f>Mecanismos!B9*(1-J478)</f>
        <v/>
      </c>
      <c r="S478" s="9">
        <f>Mecanismos!B8*H478</f>
        <v/>
      </c>
      <c r="T478" s="9">
        <f>Mecanismos!B10*H478</f>
        <v/>
      </c>
      <c r="U478" s="9">
        <f>Mecanismos!B8*K478</f>
        <v/>
      </c>
      <c r="V478" s="9">
        <f>Mecanismos!B3*D478</f>
        <v/>
      </c>
      <c r="W478" s="9">
        <f>Parametros!B2+Parametros!B4*(S478+T478+U478+V478)-Parametros!B3*(L478+M478+N478+O478+P478+Q478+R478)</f>
        <v/>
      </c>
      <c r="X478" s="10">
        <f>1/(1+EXP(-W478))</f>
        <v/>
      </c>
      <c r="Y478" s="11">
        <f>IF(Parametros!B6=1,0.15+0.85*(1/(1+EXP(-8*((1-N478)-0.45)))),1)</f>
        <v/>
      </c>
      <c r="Z478" s="11">
        <f>IF(Parametros!B7=1,MAX(0.05,1-L478^1.6),1)</f>
        <v/>
      </c>
      <c r="AA478" s="11">
        <f>IF(Parametros!B8=1,0.2+0.8*(1/(1+EXP(-9*(S478-0.25)))),1)</f>
        <v/>
      </c>
      <c r="AB478" s="10">
        <f>X478*Y478*Z478*AA478</f>
        <v/>
      </c>
    </row>
    <row r="479">
      <c r="A479" t="inlineStr">
        <is>
          <t>jbdegv</t>
        </is>
      </c>
      <c r="B479" t="inlineStr">
        <is>
          <t>Thomas Macedo</t>
        </is>
      </c>
      <c r="C479" s="8" t="n">
        <v>0.53</v>
      </c>
      <c r="D479" s="8" t="n">
        <v>0.3601</v>
      </c>
      <c r="E479" s="8" t="n">
        <v>0.8967000000000001</v>
      </c>
      <c r="F479" s="8" t="n">
        <v>0.263</v>
      </c>
      <c r="G479" s="8" t="n">
        <v>0.2597</v>
      </c>
      <c r="H479" s="8" t="n">
        <v>0.5894</v>
      </c>
      <c r="I479" s="8" t="n">
        <v>0.5135999999999999</v>
      </c>
      <c r="J479" s="8" t="n">
        <v>0.4831</v>
      </c>
      <c r="K479" s="8" t="n">
        <v>0.3205</v>
      </c>
      <c r="L479" s="9">
        <f>1-(1-Mecanismos!B2)*(1-C479)</f>
        <v/>
      </c>
      <c r="M479" s="9">
        <f>Mecanismos!B7*D479</f>
        <v/>
      </c>
      <c r="N479" s="9">
        <f>Mecanismos!B4*(1-E479)</f>
        <v/>
      </c>
      <c r="O479" s="9">
        <f>Mecanismos!B5*(1-F479)</f>
        <v/>
      </c>
      <c r="P479" s="9">
        <f>Mecanismos!B6*(1-I479)</f>
        <v/>
      </c>
      <c r="Q479" s="9">
        <f>Mecanismos!B9*(1-G479)</f>
        <v/>
      </c>
      <c r="R479" s="9">
        <f>Mecanismos!B9*(1-J479)</f>
        <v/>
      </c>
      <c r="S479" s="9">
        <f>Mecanismos!B8*H479</f>
        <v/>
      </c>
      <c r="T479" s="9">
        <f>Mecanismos!B10*H479</f>
        <v/>
      </c>
      <c r="U479" s="9">
        <f>Mecanismos!B8*K479</f>
        <v/>
      </c>
      <c r="V479" s="9">
        <f>Mecanismos!B3*D479</f>
        <v/>
      </c>
      <c r="W479" s="9">
        <f>Parametros!B2+Parametros!B4*(S479+T479+U479+V479)-Parametros!B3*(L479+M479+N479+O479+P479+Q479+R479)</f>
        <v/>
      </c>
      <c r="X479" s="10">
        <f>1/(1+EXP(-W479))</f>
        <v/>
      </c>
      <c r="Y479" s="11">
        <f>IF(Parametros!B6=1,0.15+0.85*(1/(1+EXP(-8*((1-N479)-0.45)))),1)</f>
        <v/>
      </c>
      <c r="Z479" s="11">
        <f>IF(Parametros!B7=1,MAX(0.05,1-L479^1.6),1)</f>
        <v/>
      </c>
      <c r="AA479" s="11">
        <f>IF(Parametros!B8=1,0.2+0.8*(1/(1+EXP(-9*(S479-0.25)))),1)</f>
        <v/>
      </c>
      <c r="AB479" s="10">
        <f>X479*Y479*Z479*AA479</f>
        <v/>
      </c>
    </row>
    <row r="480">
      <c r="A480" t="inlineStr">
        <is>
          <t>3sm7w7</t>
        </is>
      </c>
      <c r="B480" t="inlineStr">
        <is>
          <t>Thomas Montenegro</t>
        </is>
      </c>
      <c r="C480" s="8" t="n">
        <v>0.5466</v>
      </c>
      <c r="D480" s="8" t="n">
        <v>0.4869</v>
      </c>
      <c r="E480" s="8" t="n">
        <v>0.4757</v>
      </c>
      <c r="F480" s="8" t="n">
        <v>0.2561</v>
      </c>
      <c r="G480" s="8" t="n">
        <v>0.6786</v>
      </c>
      <c r="H480" s="8" t="n">
        <v>0.6599</v>
      </c>
      <c r="I480" s="8" t="n">
        <v>0.6622</v>
      </c>
      <c r="J480" s="8" t="n">
        <v>0.7768</v>
      </c>
      <c r="K480" s="8" t="n">
        <v>0.6637999999999999</v>
      </c>
      <c r="L480" s="9">
        <f>1-(1-Mecanismos!B2)*(1-C480)</f>
        <v/>
      </c>
      <c r="M480" s="9">
        <f>Mecanismos!B7*D480</f>
        <v/>
      </c>
      <c r="N480" s="9">
        <f>Mecanismos!B4*(1-E480)</f>
        <v/>
      </c>
      <c r="O480" s="9">
        <f>Mecanismos!B5*(1-F480)</f>
        <v/>
      </c>
      <c r="P480" s="9">
        <f>Mecanismos!B6*(1-I480)</f>
        <v/>
      </c>
      <c r="Q480" s="9">
        <f>Mecanismos!B9*(1-G480)</f>
        <v/>
      </c>
      <c r="R480" s="9">
        <f>Mecanismos!B9*(1-J480)</f>
        <v/>
      </c>
      <c r="S480" s="9">
        <f>Mecanismos!B8*H480</f>
        <v/>
      </c>
      <c r="T480" s="9">
        <f>Mecanismos!B10*H480</f>
        <v/>
      </c>
      <c r="U480" s="9">
        <f>Mecanismos!B8*K480</f>
        <v/>
      </c>
      <c r="V480" s="9">
        <f>Mecanismos!B3*D480</f>
        <v/>
      </c>
      <c r="W480" s="9">
        <f>Parametros!B2+Parametros!B4*(S480+T480+U480+V480)-Parametros!B3*(L480+M480+N480+O480+P480+Q480+R480)</f>
        <v/>
      </c>
      <c r="X480" s="10">
        <f>1/(1+EXP(-W480))</f>
        <v/>
      </c>
      <c r="Y480" s="11">
        <f>IF(Parametros!B6=1,0.15+0.85*(1/(1+EXP(-8*((1-N480)-0.45)))),1)</f>
        <v/>
      </c>
      <c r="Z480" s="11">
        <f>IF(Parametros!B7=1,MAX(0.05,1-L480^1.6),1)</f>
        <v/>
      </c>
      <c r="AA480" s="11">
        <f>IF(Parametros!B8=1,0.2+0.8*(1/(1+EXP(-9*(S480-0.25)))),1)</f>
        <v/>
      </c>
      <c r="AB480" s="10">
        <f>X480*Y480*Z480*AA480</f>
        <v/>
      </c>
    </row>
    <row r="481">
      <c r="A481" t="inlineStr">
        <is>
          <t>ok1f5e</t>
        </is>
      </c>
      <c r="B481" t="inlineStr">
        <is>
          <t>Valentina Lopes</t>
        </is>
      </c>
      <c r="C481" s="8" t="n">
        <v>0.6238</v>
      </c>
      <c r="D481" s="8" t="n">
        <v>0.398</v>
      </c>
      <c r="E481" s="8" t="n">
        <v>0.6063</v>
      </c>
      <c r="F481" s="8" t="n">
        <v>0.3405</v>
      </c>
      <c r="G481" s="8" t="n">
        <v>0.413</v>
      </c>
      <c r="H481" s="8" t="n">
        <v>0.7241</v>
      </c>
      <c r="I481" s="8" t="n">
        <v>0.5513</v>
      </c>
      <c r="J481" s="8" t="n">
        <v>0.883</v>
      </c>
      <c r="K481" s="8" t="n">
        <v>0.2505</v>
      </c>
      <c r="L481" s="9">
        <f>1-(1-Mecanismos!B2)*(1-C481)</f>
        <v/>
      </c>
      <c r="M481" s="9">
        <f>Mecanismos!B7*D481</f>
        <v/>
      </c>
      <c r="N481" s="9">
        <f>Mecanismos!B4*(1-E481)</f>
        <v/>
      </c>
      <c r="O481" s="9">
        <f>Mecanismos!B5*(1-F481)</f>
        <v/>
      </c>
      <c r="P481" s="9">
        <f>Mecanismos!B6*(1-I481)</f>
        <v/>
      </c>
      <c r="Q481" s="9">
        <f>Mecanismos!B9*(1-G481)</f>
        <v/>
      </c>
      <c r="R481" s="9">
        <f>Mecanismos!B9*(1-J481)</f>
        <v/>
      </c>
      <c r="S481" s="9">
        <f>Mecanismos!B8*H481</f>
        <v/>
      </c>
      <c r="T481" s="9">
        <f>Mecanismos!B10*H481</f>
        <v/>
      </c>
      <c r="U481" s="9">
        <f>Mecanismos!B8*K481</f>
        <v/>
      </c>
      <c r="V481" s="9">
        <f>Mecanismos!B3*D481</f>
        <v/>
      </c>
      <c r="W481" s="9">
        <f>Parametros!B2+Parametros!B4*(S481+T481+U481+V481)-Parametros!B3*(L481+M481+N481+O481+P481+Q481+R481)</f>
        <v/>
      </c>
      <c r="X481" s="10">
        <f>1/(1+EXP(-W481))</f>
        <v/>
      </c>
      <c r="Y481" s="11">
        <f>IF(Parametros!B6=1,0.15+0.85*(1/(1+EXP(-8*((1-N481)-0.45)))),1)</f>
        <v/>
      </c>
      <c r="Z481" s="11">
        <f>IF(Parametros!B7=1,MAX(0.05,1-L481^1.6),1)</f>
        <v/>
      </c>
      <c r="AA481" s="11">
        <f>IF(Parametros!B8=1,0.2+0.8*(1/(1+EXP(-9*(S481-0.25)))),1)</f>
        <v/>
      </c>
      <c r="AB481" s="10">
        <f>X481*Y481*Z481*AA481</f>
        <v/>
      </c>
    </row>
    <row r="482">
      <c r="A482" t="inlineStr">
        <is>
          <t>gn64pm</t>
        </is>
      </c>
      <c r="B482" t="inlineStr">
        <is>
          <t>Vicente Siqueira</t>
        </is>
      </c>
      <c r="C482" s="8" t="n">
        <v>0.5580000000000001</v>
      </c>
      <c r="D482" s="8" t="n">
        <v>0.571</v>
      </c>
      <c r="E482" s="8" t="n">
        <v>0.5066000000000001</v>
      </c>
      <c r="F482" s="8" t="n">
        <v>0.4409</v>
      </c>
      <c r="G482" s="8" t="n">
        <v>0.723</v>
      </c>
      <c r="H482" s="8" t="n">
        <v>0.7</v>
      </c>
      <c r="I482" s="8" t="n">
        <v>0.7904</v>
      </c>
      <c r="J482" s="8" t="n">
        <v>0.9127999999999999</v>
      </c>
      <c r="K482" s="8" t="n">
        <v>0.1818</v>
      </c>
      <c r="L482" s="9">
        <f>1-(1-Mecanismos!B2)*(1-C482)</f>
        <v/>
      </c>
      <c r="M482" s="9">
        <f>Mecanismos!B7*D482</f>
        <v/>
      </c>
      <c r="N482" s="9">
        <f>Mecanismos!B4*(1-E482)</f>
        <v/>
      </c>
      <c r="O482" s="9">
        <f>Mecanismos!B5*(1-F482)</f>
        <v/>
      </c>
      <c r="P482" s="9">
        <f>Mecanismos!B6*(1-I482)</f>
        <v/>
      </c>
      <c r="Q482" s="9">
        <f>Mecanismos!B9*(1-G482)</f>
        <v/>
      </c>
      <c r="R482" s="9">
        <f>Mecanismos!B9*(1-J482)</f>
        <v/>
      </c>
      <c r="S482" s="9">
        <f>Mecanismos!B8*H482</f>
        <v/>
      </c>
      <c r="T482" s="9">
        <f>Mecanismos!B10*H482</f>
        <v/>
      </c>
      <c r="U482" s="9">
        <f>Mecanismos!B8*K482</f>
        <v/>
      </c>
      <c r="V482" s="9">
        <f>Mecanismos!B3*D482</f>
        <v/>
      </c>
      <c r="W482" s="9">
        <f>Parametros!B2+Parametros!B4*(S482+T482+U482+V482)-Parametros!B3*(L482+M482+N482+O482+P482+Q482+R482)</f>
        <v/>
      </c>
      <c r="X482" s="10">
        <f>1/(1+EXP(-W482))</f>
        <v/>
      </c>
      <c r="Y482" s="11">
        <f>IF(Parametros!B6=1,0.15+0.85*(1/(1+EXP(-8*((1-N482)-0.45)))),1)</f>
        <v/>
      </c>
      <c r="Z482" s="11">
        <f>IF(Parametros!B7=1,MAX(0.05,1-L482^1.6),1)</f>
        <v/>
      </c>
      <c r="AA482" s="11">
        <f>IF(Parametros!B8=1,0.2+0.8*(1/(1+EXP(-9*(S482-0.25)))),1)</f>
        <v/>
      </c>
      <c r="AB482" s="10">
        <f>X482*Y482*Z482*AA482</f>
        <v/>
      </c>
    </row>
    <row r="483">
      <c r="A483" t="inlineStr">
        <is>
          <t>4vw9gt</t>
        </is>
      </c>
      <c r="B483" t="inlineStr">
        <is>
          <t>Vinicius Nascimento</t>
        </is>
      </c>
      <c r="C483" s="8" t="n">
        <v>0.5739</v>
      </c>
      <c r="D483" s="8" t="n">
        <v>0.5819</v>
      </c>
      <c r="E483" s="8" t="n">
        <v>0.5821</v>
      </c>
      <c r="F483" s="8" t="n">
        <v>0.5286999999999999</v>
      </c>
      <c r="G483" s="8" t="n">
        <v>0.4853</v>
      </c>
      <c r="H483" s="8" t="n">
        <v>0.6594</v>
      </c>
      <c r="I483" s="8" t="n">
        <v>0.4977</v>
      </c>
      <c r="J483" s="8" t="n">
        <v>0.7614</v>
      </c>
      <c r="K483" s="8" t="n">
        <v>0.3993</v>
      </c>
      <c r="L483" s="9">
        <f>1-(1-Mecanismos!B2)*(1-C483)</f>
        <v/>
      </c>
      <c r="M483" s="9">
        <f>Mecanismos!B7*D483</f>
        <v/>
      </c>
      <c r="N483" s="9">
        <f>Mecanismos!B4*(1-E483)</f>
        <v/>
      </c>
      <c r="O483" s="9">
        <f>Mecanismos!B5*(1-F483)</f>
        <v/>
      </c>
      <c r="P483" s="9">
        <f>Mecanismos!B6*(1-I483)</f>
        <v/>
      </c>
      <c r="Q483" s="9">
        <f>Mecanismos!B9*(1-G483)</f>
        <v/>
      </c>
      <c r="R483" s="9">
        <f>Mecanismos!B9*(1-J483)</f>
        <v/>
      </c>
      <c r="S483" s="9">
        <f>Mecanismos!B8*H483</f>
        <v/>
      </c>
      <c r="T483" s="9">
        <f>Mecanismos!B10*H483</f>
        <v/>
      </c>
      <c r="U483" s="9">
        <f>Mecanismos!B8*K483</f>
        <v/>
      </c>
      <c r="V483" s="9">
        <f>Mecanismos!B3*D483</f>
        <v/>
      </c>
      <c r="W483" s="9">
        <f>Parametros!B2+Parametros!B4*(S483+T483+U483+V483)-Parametros!B3*(L483+M483+N483+O483+P483+Q483+R483)</f>
        <v/>
      </c>
      <c r="X483" s="10">
        <f>1/(1+EXP(-W483))</f>
        <v/>
      </c>
      <c r="Y483" s="11">
        <f>IF(Parametros!B6=1,0.15+0.85*(1/(1+EXP(-8*((1-N483)-0.45)))),1)</f>
        <v/>
      </c>
      <c r="Z483" s="11">
        <f>IF(Parametros!B7=1,MAX(0.05,1-L483^1.6),1)</f>
        <v/>
      </c>
      <c r="AA483" s="11">
        <f>IF(Parametros!B8=1,0.2+0.8*(1/(1+EXP(-9*(S483-0.25)))),1)</f>
        <v/>
      </c>
      <c r="AB483" s="10">
        <f>X483*Y483*Z483*AA483</f>
        <v/>
      </c>
    </row>
    <row r="484">
      <c r="A484" t="inlineStr">
        <is>
          <t>cbomnt</t>
        </is>
      </c>
      <c r="B484" t="inlineStr">
        <is>
          <t>Vinícius Alves</t>
        </is>
      </c>
      <c r="C484" s="8" t="n">
        <v>0.5034</v>
      </c>
      <c r="D484" s="8" t="n">
        <v>0.6328</v>
      </c>
      <c r="E484" s="8" t="n">
        <v>0.4642</v>
      </c>
      <c r="F484" s="8" t="n">
        <v>0.9091</v>
      </c>
      <c r="G484" s="8" t="n">
        <v>0.4293</v>
      </c>
      <c r="H484" s="8" t="n">
        <v>0.409</v>
      </c>
      <c r="I484" s="8" t="n">
        <v>0.4999</v>
      </c>
      <c r="J484" s="8" t="n">
        <v>0.7903</v>
      </c>
      <c r="K484" s="8" t="n">
        <v>0.2674</v>
      </c>
      <c r="L484" s="9">
        <f>1-(1-Mecanismos!B2)*(1-C484)</f>
        <v/>
      </c>
      <c r="M484" s="9">
        <f>Mecanismos!B7*D484</f>
        <v/>
      </c>
      <c r="N484" s="9">
        <f>Mecanismos!B4*(1-E484)</f>
        <v/>
      </c>
      <c r="O484" s="9">
        <f>Mecanismos!B5*(1-F484)</f>
        <v/>
      </c>
      <c r="P484" s="9">
        <f>Mecanismos!B6*(1-I484)</f>
        <v/>
      </c>
      <c r="Q484" s="9">
        <f>Mecanismos!B9*(1-G484)</f>
        <v/>
      </c>
      <c r="R484" s="9">
        <f>Mecanismos!B9*(1-J484)</f>
        <v/>
      </c>
      <c r="S484" s="9">
        <f>Mecanismos!B8*H484</f>
        <v/>
      </c>
      <c r="T484" s="9">
        <f>Mecanismos!B10*H484</f>
        <v/>
      </c>
      <c r="U484" s="9">
        <f>Mecanismos!B8*K484</f>
        <v/>
      </c>
      <c r="V484" s="9">
        <f>Mecanismos!B3*D484</f>
        <v/>
      </c>
      <c r="W484" s="9">
        <f>Parametros!B2+Parametros!B4*(S484+T484+U484+V484)-Parametros!B3*(L484+M484+N484+O484+P484+Q484+R484)</f>
        <v/>
      </c>
      <c r="X484" s="10">
        <f>1/(1+EXP(-W484))</f>
        <v/>
      </c>
      <c r="Y484" s="11">
        <f>IF(Parametros!B6=1,0.15+0.85*(1/(1+EXP(-8*((1-N484)-0.45)))),1)</f>
        <v/>
      </c>
      <c r="Z484" s="11">
        <f>IF(Parametros!B7=1,MAX(0.05,1-L484^1.6),1)</f>
        <v/>
      </c>
      <c r="AA484" s="11">
        <f>IF(Parametros!B8=1,0.2+0.8*(1/(1+EXP(-9*(S484-0.25)))),1)</f>
        <v/>
      </c>
      <c r="AB484" s="10">
        <f>X484*Y484*Z484*AA484</f>
        <v/>
      </c>
    </row>
    <row r="485">
      <c r="A485" t="inlineStr">
        <is>
          <t>6w1k6h</t>
        </is>
      </c>
      <c r="B485" t="inlineStr">
        <is>
          <t>Vinícius Castro</t>
        </is>
      </c>
      <c r="C485" s="8" t="n">
        <v>0.7411</v>
      </c>
      <c r="D485" s="8" t="n">
        <v>0.2624</v>
      </c>
      <c r="E485" s="8" t="n">
        <v>0.6385</v>
      </c>
      <c r="F485" s="8" t="n">
        <v>0.4303</v>
      </c>
      <c r="G485" s="8" t="n">
        <v>0.526</v>
      </c>
      <c r="H485" s="8" t="n">
        <v>0.5783</v>
      </c>
      <c r="I485" s="8" t="n">
        <v>0.505</v>
      </c>
      <c r="J485" s="8" t="n">
        <v>0.6665</v>
      </c>
      <c r="K485" s="8" t="n">
        <v>0.5747</v>
      </c>
      <c r="L485" s="9">
        <f>1-(1-Mecanismos!B2)*(1-C485)</f>
        <v/>
      </c>
      <c r="M485" s="9">
        <f>Mecanismos!B7*D485</f>
        <v/>
      </c>
      <c r="N485" s="9">
        <f>Mecanismos!B4*(1-E485)</f>
        <v/>
      </c>
      <c r="O485" s="9">
        <f>Mecanismos!B5*(1-F485)</f>
        <v/>
      </c>
      <c r="P485" s="9">
        <f>Mecanismos!B6*(1-I485)</f>
        <v/>
      </c>
      <c r="Q485" s="9">
        <f>Mecanismos!B9*(1-G485)</f>
        <v/>
      </c>
      <c r="R485" s="9">
        <f>Mecanismos!B9*(1-J485)</f>
        <v/>
      </c>
      <c r="S485" s="9">
        <f>Mecanismos!B8*H485</f>
        <v/>
      </c>
      <c r="T485" s="9">
        <f>Mecanismos!B10*H485</f>
        <v/>
      </c>
      <c r="U485" s="9">
        <f>Mecanismos!B8*K485</f>
        <v/>
      </c>
      <c r="V485" s="9">
        <f>Mecanismos!B3*D485</f>
        <v/>
      </c>
      <c r="W485" s="9">
        <f>Parametros!B2+Parametros!B4*(S485+T485+U485+V485)-Parametros!B3*(L485+M485+N485+O485+P485+Q485+R485)</f>
        <v/>
      </c>
      <c r="X485" s="10">
        <f>1/(1+EXP(-W485))</f>
        <v/>
      </c>
      <c r="Y485" s="11">
        <f>IF(Parametros!B6=1,0.15+0.85*(1/(1+EXP(-8*((1-N485)-0.45)))),1)</f>
        <v/>
      </c>
      <c r="Z485" s="11">
        <f>IF(Parametros!B7=1,MAX(0.05,1-L485^1.6),1)</f>
        <v/>
      </c>
      <c r="AA485" s="11">
        <f>IF(Parametros!B8=1,0.2+0.8*(1/(1+EXP(-9*(S485-0.25)))),1)</f>
        <v/>
      </c>
      <c r="AB485" s="10">
        <f>X485*Y485*Z485*AA485</f>
        <v/>
      </c>
    </row>
    <row r="486">
      <c r="A486" t="inlineStr">
        <is>
          <t>b2gn37</t>
        </is>
      </c>
      <c r="B486" t="inlineStr">
        <is>
          <t>Vinícius Viana</t>
        </is>
      </c>
      <c r="C486" s="8" t="n">
        <v>0.7395</v>
      </c>
      <c r="D486" s="8" t="n">
        <v>0.385</v>
      </c>
      <c r="E486" s="8" t="n">
        <v>0.7187</v>
      </c>
      <c r="F486" s="8" t="n">
        <v>0.4407</v>
      </c>
      <c r="G486" s="8" t="n">
        <v>0.5649</v>
      </c>
      <c r="H486" s="8" t="n">
        <v>0.5071</v>
      </c>
      <c r="I486" s="8" t="n">
        <v>0.3539</v>
      </c>
      <c r="J486" s="8" t="n">
        <v>0.8223</v>
      </c>
      <c r="K486" s="8" t="n">
        <v>0.5477</v>
      </c>
      <c r="L486" s="9">
        <f>1-(1-Mecanismos!B2)*(1-C486)</f>
        <v/>
      </c>
      <c r="M486" s="9">
        <f>Mecanismos!B7*D486</f>
        <v/>
      </c>
      <c r="N486" s="9">
        <f>Mecanismos!B4*(1-E486)</f>
        <v/>
      </c>
      <c r="O486" s="9">
        <f>Mecanismos!B5*(1-F486)</f>
        <v/>
      </c>
      <c r="P486" s="9">
        <f>Mecanismos!B6*(1-I486)</f>
        <v/>
      </c>
      <c r="Q486" s="9">
        <f>Mecanismos!B9*(1-G486)</f>
        <v/>
      </c>
      <c r="R486" s="9">
        <f>Mecanismos!B9*(1-J486)</f>
        <v/>
      </c>
      <c r="S486" s="9">
        <f>Mecanismos!B8*H486</f>
        <v/>
      </c>
      <c r="T486" s="9">
        <f>Mecanismos!B10*H486</f>
        <v/>
      </c>
      <c r="U486" s="9">
        <f>Mecanismos!B8*K486</f>
        <v/>
      </c>
      <c r="V486" s="9">
        <f>Mecanismos!B3*D486</f>
        <v/>
      </c>
      <c r="W486" s="9">
        <f>Parametros!B2+Parametros!B4*(S486+T486+U486+V486)-Parametros!B3*(L486+M486+N486+O486+P486+Q486+R486)</f>
        <v/>
      </c>
      <c r="X486" s="10">
        <f>1/(1+EXP(-W486))</f>
        <v/>
      </c>
      <c r="Y486" s="11">
        <f>IF(Parametros!B6=1,0.15+0.85*(1/(1+EXP(-8*((1-N486)-0.45)))),1)</f>
        <v/>
      </c>
      <c r="Z486" s="11">
        <f>IF(Parametros!B7=1,MAX(0.05,1-L486^1.6),1)</f>
        <v/>
      </c>
      <c r="AA486" s="11">
        <f>IF(Parametros!B8=1,0.2+0.8*(1/(1+EXP(-9*(S486-0.25)))),1)</f>
        <v/>
      </c>
      <c r="AB486" s="10">
        <f>X486*Y486*Z486*AA486</f>
        <v/>
      </c>
    </row>
    <row r="487">
      <c r="A487" t="inlineStr">
        <is>
          <t>2mm5cm</t>
        </is>
      </c>
      <c r="B487" t="inlineStr">
        <is>
          <t>Vitor Cardoso</t>
        </is>
      </c>
      <c r="C487" s="8" t="n">
        <v>0.7389</v>
      </c>
      <c r="D487" s="8" t="n">
        <v>0.5335</v>
      </c>
      <c r="E487" s="8" t="n">
        <v>0.605</v>
      </c>
      <c r="F487" s="8" t="n">
        <v>0.2749</v>
      </c>
      <c r="G487" s="8" t="n">
        <v>0.3985</v>
      </c>
      <c r="H487" s="8" t="n">
        <v>0.5935</v>
      </c>
      <c r="I487" s="8" t="n">
        <v>0.2723</v>
      </c>
      <c r="J487" s="8" t="n">
        <v>0.788</v>
      </c>
      <c r="K487" s="8" t="n">
        <v>0.3059</v>
      </c>
      <c r="L487" s="9">
        <f>1-(1-Mecanismos!B2)*(1-C487)</f>
        <v/>
      </c>
      <c r="M487" s="9">
        <f>Mecanismos!B7*D487</f>
        <v/>
      </c>
      <c r="N487" s="9">
        <f>Mecanismos!B4*(1-E487)</f>
        <v/>
      </c>
      <c r="O487" s="9">
        <f>Mecanismos!B5*(1-F487)</f>
        <v/>
      </c>
      <c r="P487" s="9">
        <f>Mecanismos!B6*(1-I487)</f>
        <v/>
      </c>
      <c r="Q487" s="9">
        <f>Mecanismos!B9*(1-G487)</f>
        <v/>
      </c>
      <c r="R487" s="9">
        <f>Mecanismos!B9*(1-J487)</f>
        <v/>
      </c>
      <c r="S487" s="9">
        <f>Mecanismos!B8*H487</f>
        <v/>
      </c>
      <c r="T487" s="9">
        <f>Mecanismos!B10*H487</f>
        <v/>
      </c>
      <c r="U487" s="9">
        <f>Mecanismos!B8*K487</f>
        <v/>
      </c>
      <c r="V487" s="9">
        <f>Mecanismos!B3*D487</f>
        <v/>
      </c>
      <c r="W487" s="9">
        <f>Parametros!B2+Parametros!B4*(S487+T487+U487+V487)-Parametros!B3*(L487+M487+N487+O487+P487+Q487+R487)</f>
        <v/>
      </c>
      <c r="X487" s="10">
        <f>1/(1+EXP(-W487))</f>
        <v/>
      </c>
      <c r="Y487" s="11">
        <f>IF(Parametros!B6=1,0.15+0.85*(1/(1+EXP(-8*((1-N487)-0.45)))),1)</f>
        <v/>
      </c>
      <c r="Z487" s="11">
        <f>IF(Parametros!B7=1,MAX(0.05,1-L487^1.6),1)</f>
        <v/>
      </c>
      <c r="AA487" s="11">
        <f>IF(Parametros!B8=1,0.2+0.8*(1/(1+EXP(-9*(S487-0.25)))),1)</f>
        <v/>
      </c>
      <c r="AB487" s="10">
        <f>X487*Y487*Z487*AA487</f>
        <v/>
      </c>
    </row>
    <row r="488">
      <c r="A488" t="inlineStr">
        <is>
          <t>mqh19a</t>
        </is>
      </c>
      <c r="B488" t="inlineStr">
        <is>
          <t>Vitória Duarte</t>
        </is>
      </c>
      <c r="C488" s="8" t="n">
        <v>0.5664</v>
      </c>
      <c r="D488" s="8" t="n">
        <v>0.4846</v>
      </c>
      <c r="E488" s="8" t="n">
        <v>0.4949</v>
      </c>
      <c r="F488" s="8" t="n">
        <v>0.4823</v>
      </c>
      <c r="G488" s="8" t="n">
        <v>0.6082</v>
      </c>
      <c r="H488" s="8" t="n">
        <v>0.7671</v>
      </c>
      <c r="I488" s="8" t="n">
        <v>0.623</v>
      </c>
      <c r="J488" s="8" t="n">
        <v>0.7042</v>
      </c>
      <c r="K488" s="8" t="n">
        <v>0.4245</v>
      </c>
      <c r="L488" s="9">
        <f>1-(1-Mecanismos!B2)*(1-C488)</f>
        <v/>
      </c>
      <c r="M488" s="9">
        <f>Mecanismos!B7*D488</f>
        <v/>
      </c>
      <c r="N488" s="9">
        <f>Mecanismos!B4*(1-E488)</f>
        <v/>
      </c>
      <c r="O488" s="9">
        <f>Mecanismos!B5*(1-F488)</f>
        <v/>
      </c>
      <c r="P488" s="9">
        <f>Mecanismos!B6*(1-I488)</f>
        <v/>
      </c>
      <c r="Q488" s="9">
        <f>Mecanismos!B9*(1-G488)</f>
        <v/>
      </c>
      <c r="R488" s="9">
        <f>Mecanismos!B9*(1-J488)</f>
        <v/>
      </c>
      <c r="S488" s="9">
        <f>Mecanismos!B8*H488</f>
        <v/>
      </c>
      <c r="T488" s="9">
        <f>Mecanismos!B10*H488</f>
        <v/>
      </c>
      <c r="U488" s="9">
        <f>Mecanismos!B8*K488</f>
        <v/>
      </c>
      <c r="V488" s="9">
        <f>Mecanismos!B3*D488</f>
        <v/>
      </c>
      <c r="W488" s="9">
        <f>Parametros!B2+Parametros!B4*(S488+T488+U488+V488)-Parametros!B3*(L488+M488+N488+O488+P488+Q488+R488)</f>
        <v/>
      </c>
      <c r="X488" s="10">
        <f>1/(1+EXP(-W488))</f>
        <v/>
      </c>
      <c r="Y488" s="11">
        <f>IF(Parametros!B6=1,0.15+0.85*(1/(1+EXP(-8*((1-N488)-0.45)))),1)</f>
        <v/>
      </c>
      <c r="Z488" s="11">
        <f>IF(Parametros!B7=1,MAX(0.05,1-L488^1.6),1)</f>
        <v/>
      </c>
      <c r="AA488" s="11">
        <f>IF(Parametros!B8=1,0.2+0.8*(1/(1+EXP(-9*(S488-0.25)))),1)</f>
        <v/>
      </c>
      <c r="AB488" s="10">
        <f>X488*Y488*Z488*AA488</f>
        <v/>
      </c>
    </row>
    <row r="489">
      <c r="A489" t="inlineStr">
        <is>
          <t>imgp3l</t>
        </is>
      </c>
      <c r="B489" t="inlineStr">
        <is>
          <t>Vitória Guerra</t>
        </is>
      </c>
      <c r="C489" s="8" t="n">
        <v>0.6743</v>
      </c>
      <c r="D489" s="8" t="n">
        <v>0.7472</v>
      </c>
      <c r="E489" s="8" t="n">
        <v>0.7451</v>
      </c>
      <c r="F489" s="8" t="n">
        <v>0.79</v>
      </c>
      <c r="G489" s="8" t="n">
        <v>0.4284</v>
      </c>
      <c r="H489" s="8" t="n">
        <v>0.4104</v>
      </c>
      <c r="I489" s="8" t="n">
        <v>0.7853</v>
      </c>
      <c r="J489" s="8" t="n">
        <v>0.5684</v>
      </c>
      <c r="K489" s="8" t="n">
        <v>0.3481</v>
      </c>
      <c r="L489" s="9">
        <f>1-(1-Mecanismos!B2)*(1-C489)</f>
        <v/>
      </c>
      <c r="M489" s="9">
        <f>Mecanismos!B7*D489</f>
        <v/>
      </c>
      <c r="N489" s="9">
        <f>Mecanismos!B4*(1-E489)</f>
        <v/>
      </c>
      <c r="O489" s="9">
        <f>Mecanismos!B5*(1-F489)</f>
        <v/>
      </c>
      <c r="P489" s="9">
        <f>Mecanismos!B6*(1-I489)</f>
        <v/>
      </c>
      <c r="Q489" s="9">
        <f>Mecanismos!B9*(1-G489)</f>
        <v/>
      </c>
      <c r="R489" s="9">
        <f>Mecanismos!B9*(1-J489)</f>
        <v/>
      </c>
      <c r="S489" s="9">
        <f>Mecanismos!B8*H489</f>
        <v/>
      </c>
      <c r="T489" s="9">
        <f>Mecanismos!B10*H489</f>
        <v/>
      </c>
      <c r="U489" s="9">
        <f>Mecanismos!B8*K489</f>
        <v/>
      </c>
      <c r="V489" s="9">
        <f>Mecanismos!B3*D489</f>
        <v/>
      </c>
      <c r="W489" s="9">
        <f>Parametros!B2+Parametros!B4*(S489+T489+U489+V489)-Parametros!B3*(L489+M489+N489+O489+P489+Q489+R489)</f>
        <v/>
      </c>
      <c r="X489" s="10">
        <f>1/(1+EXP(-W489))</f>
        <v/>
      </c>
      <c r="Y489" s="11">
        <f>IF(Parametros!B6=1,0.15+0.85*(1/(1+EXP(-8*((1-N489)-0.45)))),1)</f>
        <v/>
      </c>
      <c r="Z489" s="11">
        <f>IF(Parametros!B7=1,MAX(0.05,1-L489^1.6),1)</f>
        <v/>
      </c>
      <c r="AA489" s="11">
        <f>IF(Parametros!B8=1,0.2+0.8*(1/(1+EXP(-9*(S489-0.25)))),1)</f>
        <v/>
      </c>
      <c r="AB489" s="10">
        <f>X489*Y489*Z489*AA489</f>
        <v/>
      </c>
    </row>
    <row r="490">
      <c r="A490" t="inlineStr">
        <is>
          <t>7l9iq8</t>
        </is>
      </c>
      <c r="B490" t="inlineStr">
        <is>
          <t>Yago Macedo</t>
        </is>
      </c>
      <c r="C490" s="8" t="n">
        <v>0.6435999999999999</v>
      </c>
      <c r="D490" s="8" t="n">
        <v>0.4541</v>
      </c>
      <c r="E490" s="8" t="n">
        <v>0.4061</v>
      </c>
      <c r="F490" s="8" t="n">
        <v>0.5996</v>
      </c>
      <c r="G490" s="8" t="n">
        <v>0.2587</v>
      </c>
      <c r="H490" s="8" t="n">
        <v>0.6272</v>
      </c>
      <c r="I490" s="8" t="n">
        <v>0.4984</v>
      </c>
      <c r="J490" s="8" t="n">
        <v>0.9133</v>
      </c>
      <c r="K490" s="8" t="n">
        <v>0.1962</v>
      </c>
      <c r="L490" s="9">
        <f>1-(1-Mecanismos!B2)*(1-C490)</f>
        <v/>
      </c>
      <c r="M490" s="9">
        <f>Mecanismos!B7*D490</f>
        <v/>
      </c>
      <c r="N490" s="9">
        <f>Mecanismos!B4*(1-E490)</f>
        <v/>
      </c>
      <c r="O490" s="9">
        <f>Mecanismos!B5*(1-F490)</f>
        <v/>
      </c>
      <c r="P490" s="9">
        <f>Mecanismos!B6*(1-I490)</f>
        <v/>
      </c>
      <c r="Q490" s="9">
        <f>Mecanismos!B9*(1-G490)</f>
        <v/>
      </c>
      <c r="R490" s="9">
        <f>Mecanismos!B9*(1-J490)</f>
        <v/>
      </c>
      <c r="S490" s="9">
        <f>Mecanismos!B8*H490</f>
        <v/>
      </c>
      <c r="T490" s="9">
        <f>Mecanismos!B10*H490</f>
        <v/>
      </c>
      <c r="U490" s="9">
        <f>Mecanismos!B8*K490</f>
        <v/>
      </c>
      <c r="V490" s="9">
        <f>Mecanismos!B3*D490</f>
        <v/>
      </c>
      <c r="W490" s="9">
        <f>Parametros!B2+Parametros!B4*(S490+T490+U490+V490)-Parametros!B3*(L490+M490+N490+O490+P490+Q490+R490)</f>
        <v/>
      </c>
      <c r="X490" s="10">
        <f>1/(1+EXP(-W490))</f>
        <v/>
      </c>
      <c r="Y490" s="11">
        <f>IF(Parametros!B6=1,0.15+0.85*(1/(1+EXP(-8*((1-N490)-0.45)))),1)</f>
        <v/>
      </c>
      <c r="Z490" s="11">
        <f>IF(Parametros!B7=1,MAX(0.05,1-L490^1.6),1)</f>
        <v/>
      </c>
      <c r="AA490" s="11">
        <f>IF(Parametros!B8=1,0.2+0.8*(1/(1+EXP(-9*(S490-0.25)))),1)</f>
        <v/>
      </c>
      <c r="AB490" s="10">
        <f>X490*Y490*Z490*AA490</f>
        <v/>
      </c>
    </row>
    <row r="491">
      <c r="A491" t="inlineStr">
        <is>
          <t>xd97xn</t>
        </is>
      </c>
      <c r="B491" t="inlineStr">
        <is>
          <t>Yago Moura</t>
        </is>
      </c>
      <c r="C491" s="8" t="n">
        <v>0.3827</v>
      </c>
      <c r="D491" s="8" t="n">
        <v>0.5757</v>
      </c>
      <c r="E491" s="8" t="n">
        <v>0.6854</v>
      </c>
      <c r="F491" s="8" t="n">
        <v>0.7403</v>
      </c>
      <c r="G491" s="8" t="n">
        <v>0.6266</v>
      </c>
      <c r="H491" s="8" t="n">
        <v>0.4523</v>
      </c>
      <c r="I491" s="8" t="n">
        <v>0.8605</v>
      </c>
      <c r="J491" s="8" t="n">
        <v>0.822</v>
      </c>
      <c r="K491" s="8" t="n">
        <v>0.2846</v>
      </c>
      <c r="L491" s="9">
        <f>1-(1-Mecanismos!B2)*(1-C491)</f>
        <v/>
      </c>
      <c r="M491" s="9">
        <f>Mecanismos!B7*D491</f>
        <v/>
      </c>
      <c r="N491" s="9">
        <f>Mecanismos!B4*(1-E491)</f>
        <v/>
      </c>
      <c r="O491" s="9">
        <f>Mecanismos!B5*(1-F491)</f>
        <v/>
      </c>
      <c r="P491" s="9">
        <f>Mecanismos!B6*(1-I491)</f>
        <v/>
      </c>
      <c r="Q491" s="9">
        <f>Mecanismos!B9*(1-G491)</f>
        <v/>
      </c>
      <c r="R491" s="9">
        <f>Mecanismos!B9*(1-J491)</f>
        <v/>
      </c>
      <c r="S491" s="9">
        <f>Mecanismos!B8*H491</f>
        <v/>
      </c>
      <c r="T491" s="9">
        <f>Mecanismos!B10*H491</f>
        <v/>
      </c>
      <c r="U491" s="9">
        <f>Mecanismos!B8*K491</f>
        <v/>
      </c>
      <c r="V491" s="9">
        <f>Mecanismos!B3*D491</f>
        <v/>
      </c>
      <c r="W491" s="9">
        <f>Parametros!B2+Parametros!B4*(S491+T491+U491+V491)-Parametros!B3*(L491+M491+N491+O491+P491+Q491+R491)</f>
        <v/>
      </c>
      <c r="X491" s="10">
        <f>1/(1+EXP(-W491))</f>
        <v/>
      </c>
      <c r="Y491" s="11">
        <f>IF(Parametros!B6=1,0.15+0.85*(1/(1+EXP(-8*((1-N491)-0.45)))),1)</f>
        <v/>
      </c>
      <c r="Z491" s="11">
        <f>IF(Parametros!B7=1,MAX(0.05,1-L491^1.6),1)</f>
        <v/>
      </c>
      <c r="AA491" s="11">
        <f>IF(Parametros!B8=1,0.2+0.8*(1/(1+EXP(-9*(S491-0.25)))),1)</f>
        <v/>
      </c>
      <c r="AB491" s="10">
        <f>X491*Y491*Z491*AA491</f>
        <v/>
      </c>
    </row>
    <row r="492">
      <c r="A492" t="inlineStr">
        <is>
          <t>2y9zh8</t>
        </is>
      </c>
      <c r="B492" t="inlineStr">
        <is>
          <t>Yan Fernandes</t>
        </is>
      </c>
      <c r="C492" s="8" t="n">
        <v>0.6899</v>
      </c>
      <c r="D492" s="8" t="n">
        <v>0.5413</v>
      </c>
      <c r="E492" s="8" t="n">
        <v>0.6289</v>
      </c>
      <c r="F492" s="8" t="n">
        <v>0.4127</v>
      </c>
      <c r="G492" s="8" t="n">
        <v>0.3163</v>
      </c>
      <c r="H492" s="8" t="n">
        <v>0.5534</v>
      </c>
      <c r="I492" s="8" t="n">
        <v>0.4768</v>
      </c>
      <c r="J492" s="8" t="n">
        <v>0.8411999999999999</v>
      </c>
      <c r="K492" s="8" t="n">
        <v>0.5099</v>
      </c>
      <c r="L492" s="9">
        <f>1-(1-Mecanismos!B2)*(1-C492)</f>
        <v/>
      </c>
      <c r="M492" s="9">
        <f>Mecanismos!B7*D492</f>
        <v/>
      </c>
      <c r="N492" s="9">
        <f>Mecanismos!B4*(1-E492)</f>
        <v/>
      </c>
      <c r="O492" s="9">
        <f>Mecanismos!B5*(1-F492)</f>
        <v/>
      </c>
      <c r="P492" s="9">
        <f>Mecanismos!B6*(1-I492)</f>
        <v/>
      </c>
      <c r="Q492" s="9">
        <f>Mecanismos!B9*(1-G492)</f>
        <v/>
      </c>
      <c r="R492" s="9">
        <f>Mecanismos!B9*(1-J492)</f>
        <v/>
      </c>
      <c r="S492" s="9">
        <f>Mecanismos!B8*H492</f>
        <v/>
      </c>
      <c r="T492" s="9">
        <f>Mecanismos!B10*H492</f>
        <v/>
      </c>
      <c r="U492" s="9">
        <f>Mecanismos!B8*K492</f>
        <v/>
      </c>
      <c r="V492" s="9">
        <f>Mecanismos!B3*D492</f>
        <v/>
      </c>
      <c r="W492" s="9">
        <f>Parametros!B2+Parametros!B4*(S492+T492+U492+V492)-Parametros!B3*(L492+M492+N492+O492+P492+Q492+R492)</f>
        <v/>
      </c>
      <c r="X492" s="10">
        <f>1/(1+EXP(-W492))</f>
        <v/>
      </c>
      <c r="Y492" s="11">
        <f>IF(Parametros!B6=1,0.15+0.85*(1/(1+EXP(-8*((1-N492)-0.45)))),1)</f>
        <v/>
      </c>
      <c r="Z492" s="11">
        <f>IF(Parametros!B7=1,MAX(0.05,1-L492^1.6),1)</f>
        <v/>
      </c>
      <c r="AA492" s="11">
        <f>IF(Parametros!B8=1,0.2+0.8*(1/(1+EXP(-9*(S492-0.25)))),1)</f>
        <v/>
      </c>
      <c r="AB492" s="10">
        <f>X492*Y492*Z492*AA492</f>
        <v/>
      </c>
    </row>
    <row r="493">
      <c r="A493" t="inlineStr">
        <is>
          <t>tpx65a</t>
        </is>
      </c>
      <c r="B493" t="inlineStr">
        <is>
          <t>Yasmin Alves</t>
        </is>
      </c>
      <c r="C493" s="8" t="n">
        <v>0.7542</v>
      </c>
      <c r="D493" s="8" t="n">
        <v>0.5142</v>
      </c>
      <c r="E493" s="8" t="n">
        <v>0.8401999999999999</v>
      </c>
      <c r="F493" s="8" t="n">
        <v>0.7671</v>
      </c>
      <c r="G493" s="8" t="n">
        <v>0.5448</v>
      </c>
      <c r="H493" s="8" t="n">
        <v>0.5079</v>
      </c>
      <c r="I493" s="8" t="n">
        <v>0.6456</v>
      </c>
      <c r="J493" s="8" t="n">
        <v>0.8787</v>
      </c>
      <c r="K493" s="8" t="n">
        <v>0.4853</v>
      </c>
      <c r="L493" s="9">
        <f>1-(1-Mecanismos!B2)*(1-C493)</f>
        <v/>
      </c>
      <c r="M493" s="9">
        <f>Mecanismos!B7*D493</f>
        <v/>
      </c>
      <c r="N493" s="9">
        <f>Mecanismos!B4*(1-E493)</f>
        <v/>
      </c>
      <c r="O493" s="9">
        <f>Mecanismos!B5*(1-F493)</f>
        <v/>
      </c>
      <c r="P493" s="9">
        <f>Mecanismos!B6*(1-I493)</f>
        <v/>
      </c>
      <c r="Q493" s="9">
        <f>Mecanismos!B9*(1-G493)</f>
        <v/>
      </c>
      <c r="R493" s="9">
        <f>Mecanismos!B9*(1-J493)</f>
        <v/>
      </c>
      <c r="S493" s="9">
        <f>Mecanismos!B8*H493</f>
        <v/>
      </c>
      <c r="T493" s="9">
        <f>Mecanismos!B10*H493</f>
        <v/>
      </c>
      <c r="U493" s="9">
        <f>Mecanismos!B8*K493</f>
        <v/>
      </c>
      <c r="V493" s="9">
        <f>Mecanismos!B3*D493</f>
        <v/>
      </c>
      <c r="W493" s="9">
        <f>Parametros!B2+Parametros!B4*(S493+T493+U493+V493)-Parametros!B3*(L493+M493+N493+O493+P493+Q493+R493)</f>
        <v/>
      </c>
      <c r="X493" s="10">
        <f>1/(1+EXP(-W493))</f>
        <v/>
      </c>
      <c r="Y493" s="11">
        <f>IF(Parametros!B6=1,0.15+0.85*(1/(1+EXP(-8*((1-N493)-0.45)))),1)</f>
        <v/>
      </c>
      <c r="Z493" s="11">
        <f>IF(Parametros!B7=1,MAX(0.05,1-L493^1.6),1)</f>
        <v/>
      </c>
      <c r="AA493" s="11">
        <f>IF(Parametros!B8=1,0.2+0.8*(1/(1+EXP(-9*(S493-0.25)))),1)</f>
        <v/>
      </c>
      <c r="AB493" s="10">
        <f>X493*Y493*Z493*AA493</f>
        <v/>
      </c>
    </row>
    <row r="494">
      <c r="A494" t="inlineStr">
        <is>
          <t>jbfx5i</t>
        </is>
      </c>
      <c r="B494" t="inlineStr">
        <is>
          <t>Yasmin Cassiano</t>
        </is>
      </c>
      <c r="C494" s="8" t="n">
        <v>0.5478</v>
      </c>
      <c r="D494" s="8" t="n">
        <v>0.492</v>
      </c>
      <c r="E494" s="8" t="n">
        <v>0.6071</v>
      </c>
      <c r="F494" s="8" t="n">
        <v>0.5467</v>
      </c>
      <c r="G494" s="8" t="n">
        <v>0.5148</v>
      </c>
      <c r="H494" s="8" t="n">
        <v>0.7322</v>
      </c>
      <c r="I494" s="8" t="n">
        <v>0.6197</v>
      </c>
      <c r="J494" s="8" t="n">
        <v>0.9164</v>
      </c>
      <c r="K494" s="8" t="n">
        <v>0.4119</v>
      </c>
      <c r="L494" s="9">
        <f>1-(1-Mecanismos!B2)*(1-C494)</f>
        <v/>
      </c>
      <c r="M494" s="9">
        <f>Mecanismos!B7*D494</f>
        <v/>
      </c>
      <c r="N494" s="9">
        <f>Mecanismos!B4*(1-E494)</f>
        <v/>
      </c>
      <c r="O494" s="9">
        <f>Mecanismos!B5*(1-F494)</f>
        <v/>
      </c>
      <c r="P494" s="9">
        <f>Mecanismos!B6*(1-I494)</f>
        <v/>
      </c>
      <c r="Q494" s="9">
        <f>Mecanismos!B9*(1-G494)</f>
        <v/>
      </c>
      <c r="R494" s="9">
        <f>Mecanismos!B9*(1-J494)</f>
        <v/>
      </c>
      <c r="S494" s="9">
        <f>Mecanismos!B8*H494</f>
        <v/>
      </c>
      <c r="T494" s="9">
        <f>Mecanismos!B10*H494</f>
        <v/>
      </c>
      <c r="U494" s="9">
        <f>Mecanismos!B8*K494</f>
        <v/>
      </c>
      <c r="V494" s="9">
        <f>Mecanismos!B3*D494</f>
        <v/>
      </c>
      <c r="W494" s="9">
        <f>Parametros!B2+Parametros!B4*(S494+T494+U494+V494)-Parametros!B3*(L494+M494+N494+O494+P494+Q494+R494)</f>
        <v/>
      </c>
      <c r="X494" s="10">
        <f>1/(1+EXP(-W494))</f>
        <v/>
      </c>
      <c r="Y494" s="11">
        <f>IF(Parametros!B6=1,0.15+0.85*(1/(1+EXP(-8*((1-N494)-0.45)))),1)</f>
        <v/>
      </c>
      <c r="Z494" s="11">
        <f>IF(Parametros!B7=1,MAX(0.05,1-L494^1.6),1)</f>
        <v/>
      </c>
      <c r="AA494" s="11">
        <f>IF(Parametros!B8=1,0.2+0.8*(1/(1+EXP(-9*(S494-0.25)))),1)</f>
        <v/>
      </c>
      <c r="AB494" s="10">
        <f>X494*Y494*Z494*AA494</f>
        <v/>
      </c>
    </row>
    <row r="495">
      <c r="A495" t="inlineStr">
        <is>
          <t>l7iu4t</t>
        </is>
      </c>
      <c r="B495" t="inlineStr">
        <is>
          <t>Yasmin Cavalcanti</t>
        </is>
      </c>
      <c r="C495" s="8" t="n">
        <v>0.5266999999999999</v>
      </c>
      <c r="D495" s="8" t="n">
        <v>0.428</v>
      </c>
      <c r="E495" s="8" t="n">
        <v>0.2993</v>
      </c>
      <c r="F495" s="8" t="n">
        <v>0.7175</v>
      </c>
      <c r="G495" s="8" t="n">
        <v>0.4658</v>
      </c>
      <c r="H495" s="8" t="n">
        <v>0.5911999999999999</v>
      </c>
      <c r="I495" s="8" t="n">
        <v>0.7408</v>
      </c>
      <c r="J495" s="8" t="n">
        <v>0.7838000000000001</v>
      </c>
      <c r="K495" s="8" t="n">
        <v>0.5116000000000001</v>
      </c>
      <c r="L495" s="9">
        <f>1-(1-Mecanismos!B2)*(1-C495)</f>
        <v/>
      </c>
      <c r="M495" s="9">
        <f>Mecanismos!B7*D495</f>
        <v/>
      </c>
      <c r="N495" s="9">
        <f>Mecanismos!B4*(1-E495)</f>
        <v/>
      </c>
      <c r="O495" s="9">
        <f>Mecanismos!B5*(1-F495)</f>
        <v/>
      </c>
      <c r="P495" s="9">
        <f>Mecanismos!B6*(1-I495)</f>
        <v/>
      </c>
      <c r="Q495" s="9">
        <f>Mecanismos!B9*(1-G495)</f>
        <v/>
      </c>
      <c r="R495" s="9">
        <f>Mecanismos!B9*(1-J495)</f>
        <v/>
      </c>
      <c r="S495" s="9">
        <f>Mecanismos!B8*H495</f>
        <v/>
      </c>
      <c r="T495" s="9">
        <f>Mecanismos!B10*H495</f>
        <v/>
      </c>
      <c r="U495" s="9">
        <f>Mecanismos!B8*K495</f>
        <v/>
      </c>
      <c r="V495" s="9">
        <f>Mecanismos!B3*D495</f>
        <v/>
      </c>
      <c r="W495" s="9">
        <f>Parametros!B2+Parametros!B4*(S495+T495+U495+V495)-Parametros!B3*(L495+M495+N495+O495+P495+Q495+R495)</f>
        <v/>
      </c>
      <c r="X495" s="10">
        <f>1/(1+EXP(-W495))</f>
        <v/>
      </c>
      <c r="Y495" s="11">
        <f>IF(Parametros!B6=1,0.15+0.85*(1/(1+EXP(-8*((1-N495)-0.45)))),1)</f>
        <v/>
      </c>
      <c r="Z495" s="11">
        <f>IF(Parametros!B7=1,MAX(0.05,1-L495^1.6),1)</f>
        <v/>
      </c>
      <c r="AA495" s="11">
        <f>IF(Parametros!B8=1,0.2+0.8*(1/(1+EXP(-9*(S495-0.25)))),1)</f>
        <v/>
      </c>
      <c r="AB495" s="10">
        <f>X495*Y495*Z495*AA495</f>
        <v/>
      </c>
    </row>
    <row r="496">
      <c r="A496" t="inlineStr">
        <is>
          <t>ecjbcs</t>
        </is>
      </c>
      <c r="B496" t="inlineStr">
        <is>
          <t>Yasmin Costela</t>
        </is>
      </c>
      <c r="C496" s="8" t="n">
        <v>0.6741</v>
      </c>
      <c r="D496" s="8" t="n">
        <v>0.4837</v>
      </c>
      <c r="E496" s="8" t="n">
        <v>0.6059</v>
      </c>
      <c r="F496" s="8" t="n">
        <v>0.662</v>
      </c>
      <c r="G496" s="8" t="n">
        <v>0.3551</v>
      </c>
      <c r="H496" s="8" t="n">
        <v>0.3125</v>
      </c>
      <c r="I496" s="8" t="n">
        <v>0.4712</v>
      </c>
      <c r="J496" s="8" t="n">
        <v>0.8047</v>
      </c>
      <c r="K496" s="8" t="n">
        <v>0.3252</v>
      </c>
      <c r="L496" s="9">
        <f>1-(1-Mecanismos!B2)*(1-C496)</f>
        <v/>
      </c>
      <c r="M496" s="9">
        <f>Mecanismos!B7*D496</f>
        <v/>
      </c>
      <c r="N496" s="9">
        <f>Mecanismos!B4*(1-E496)</f>
        <v/>
      </c>
      <c r="O496" s="9">
        <f>Mecanismos!B5*(1-F496)</f>
        <v/>
      </c>
      <c r="P496" s="9">
        <f>Mecanismos!B6*(1-I496)</f>
        <v/>
      </c>
      <c r="Q496" s="9">
        <f>Mecanismos!B9*(1-G496)</f>
        <v/>
      </c>
      <c r="R496" s="9">
        <f>Mecanismos!B9*(1-J496)</f>
        <v/>
      </c>
      <c r="S496" s="9">
        <f>Mecanismos!B8*H496</f>
        <v/>
      </c>
      <c r="T496" s="9">
        <f>Mecanismos!B10*H496</f>
        <v/>
      </c>
      <c r="U496" s="9">
        <f>Mecanismos!B8*K496</f>
        <v/>
      </c>
      <c r="V496" s="9">
        <f>Mecanismos!B3*D496</f>
        <v/>
      </c>
      <c r="W496" s="9">
        <f>Parametros!B2+Parametros!B4*(S496+T496+U496+V496)-Parametros!B3*(L496+M496+N496+O496+P496+Q496+R496)</f>
        <v/>
      </c>
      <c r="X496" s="10">
        <f>1/(1+EXP(-W496))</f>
        <v/>
      </c>
      <c r="Y496" s="11">
        <f>IF(Parametros!B6=1,0.15+0.85*(1/(1+EXP(-8*((1-N496)-0.45)))),1)</f>
        <v/>
      </c>
      <c r="Z496" s="11">
        <f>IF(Parametros!B7=1,MAX(0.05,1-L496^1.6),1)</f>
        <v/>
      </c>
      <c r="AA496" s="11">
        <f>IF(Parametros!B8=1,0.2+0.8*(1/(1+EXP(-9*(S496-0.25)))),1)</f>
        <v/>
      </c>
      <c r="AB496" s="10">
        <f>X496*Y496*Z496*AA496</f>
        <v/>
      </c>
    </row>
    <row r="497">
      <c r="A497" t="inlineStr">
        <is>
          <t>75e75g</t>
        </is>
      </c>
      <c r="B497" t="inlineStr">
        <is>
          <t>Yuri Cardoso</t>
        </is>
      </c>
      <c r="C497" s="8" t="n">
        <v>0.7184</v>
      </c>
      <c r="D497" s="8" t="n">
        <v>0.5106000000000001</v>
      </c>
      <c r="E497" s="8" t="n">
        <v>0.5858</v>
      </c>
      <c r="F497" s="8" t="n">
        <v>0.4847</v>
      </c>
      <c r="G497" s="8" t="n">
        <v>0.4275</v>
      </c>
      <c r="H497" s="8" t="n">
        <v>0.5481</v>
      </c>
      <c r="I497" s="8" t="n">
        <v>0.5075</v>
      </c>
      <c r="J497" s="8" t="n">
        <v>0.5595</v>
      </c>
      <c r="K497" s="8" t="n">
        <v>0.7514</v>
      </c>
      <c r="L497" s="9">
        <f>1-(1-Mecanismos!B2)*(1-C497)</f>
        <v/>
      </c>
      <c r="M497" s="9">
        <f>Mecanismos!B7*D497</f>
        <v/>
      </c>
      <c r="N497" s="9">
        <f>Mecanismos!B4*(1-E497)</f>
        <v/>
      </c>
      <c r="O497" s="9">
        <f>Mecanismos!B5*(1-F497)</f>
        <v/>
      </c>
      <c r="P497" s="9">
        <f>Mecanismos!B6*(1-I497)</f>
        <v/>
      </c>
      <c r="Q497" s="9">
        <f>Mecanismos!B9*(1-G497)</f>
        <v/>
      </c>
      <c r="R497" s="9">
        <f>Mecanismos!B9*(1-J497)</f>
        <v/>
      </c>
      <c r="S497" s="9">
        <f>Mecanismos!B8*H497</f>
        <v/>
      </c>
      <c r="T497" s="9">
        <f>Mecanismos!B10*H497</f>
        <v/>
      </c>
      <c r="U497" s="9">
        <f>Mecanismos!B8*K497</f>
        <v/>
      </c>
      <c r="V497" s="9">
        <f>Mecanismos!B3*D497</f>
        <v/>
      </c>
      <c r="W497" s="9">
        <f>Parametros!B2+Parametros!B4*(S497+T497+U497+V497)-Parametros!B3*(L497+M497+N497+O497+P497+Q497+R497)</f>
        <v/>
      </c>
      <c r="X497" s="10">
        <f>1/(1+EXP(-W497))</f>
        <v/>
      </c>
      <c r="Y497" s="11">
        <f>IF(Parametros!B6=1,0.15+0.85*(1/(1+EXP(-8*((1-N497)-0.45)))),1)</f>
        <v/>
      </c>
      <c r="Z497" s="11">
        <f>IF(Parametros!B7=1,MAX(0.05,1-L497^1.6),1)</f>
        <v/>
      </c>
      <c r="AA497" s="11">
        <f>IF(Parametros!B8=1,0.2+0.8*(1/(1+EXP(-9*(S497-0.25)))),1)</f>
        <v/>
      </c>
      <c r="AB497" s="10">
        <f>X497*Y497*Z497*AA497</f>
        <v/>
      </c>
    </row>
    <row r="498">
      <c r="A498" t="inlineStr">
        <is>
          <t>3zayj6</t>
        </is>
      </c>
      <c r="B498" t="inlineStr">
        <is>
          <t>Yuri Nogueira</t>
        </is>
      </c>
      <c r="C498" s="8" t="n">
        <v>0.6465</v>
      </c>
      <c r="D498" s="8" t="n">
        <v>0.5934</v>
      </c>
      <c r="E498" s="8" t="n">
        <v>0.6886</v>
      </c>
      <c r="F498" s="8" t="n">
        <v>0.6586</v>
      </c>
      <c r="G498" s="8" t="n">
        <v>0.3657</v>
      </c>
      <c r="H498" s="8" t="n">
        <v>0.3346</v>
      </c>
      <c r="I498" s="8" t="n">
        <v>0.376</v>
      </c>
      <c r="J498" s="8" t="n">
        <v>0.8191000000000001</v>
      </c>
      <c r="K498" s="8" t="n">
        <v>0.2184</v>
      </c>
      <c r="L498" s="9">
        <f>1-(1-Mecanismos!B2)*(1-C498)</f>
        <v/>
      </c>
      <c r="M498" s="9">
        <f>Mecanismos!B7*D498</f>
        <v/>
      </c>
      <c r="N498" s="9">
        <f>Mecanismos!B4*(1-E498)</f>
        <v/>
      </c>
      <c r="O498" s="9">
        <f>Mecanismos!B5*(1-F498)</f>
        <v/>
      </c>
      <c r="P498" s="9">
        <f>Mecanismos!B6*(1-I498)</f>
        <v/>
      </c>
      <c r="Q498" s="9">
        <f>Mecanismos!B9*(1-G498)</f>
        <v/>
      </c>
      <c r="R498" s="9">
        <f>Mecanismos!B9*(1-J498)</f>
        <v/>
      </c>
      <c r="S498" s="9">
        <f>Mecanismos!B8*H498</f>
        <v/>
      </c>
      <c r="T498" s="9">
        <f>Mecanismos!B10*H498</f>
        <v/>
      </c>
      <c r="U498" s="9">
        <f>Mecanismos!B8*K498</f>
        <v/>
      </c>
      <c r="V498" s="9">
        <f>Mecanismos!B3*D498</f>
        <v/>
      </c>
      <c r="W498" s="9">
        <f>Parametros!B2+Parametros!B4*(S498+T498+U498+V498)-Parametros!B3*(L498+M498+N498+O498+P498+Q498+R498)</f>
        <v/>
      </c>
      <c r="X498" s="10">
        <f>1/(1+EXP(-W498))</f>
        <v/>
      </c>
      <c r="Y498" s="11">
        <f>IF(Parametros!B6=1,0.15+0.85*(1/(1+EXP(-8*((1-N498)-0.45)))),1)</f>
        <v/>
      </c>
      <c r="Z498" s="11">
        <f>IF(Parametros!B7=1,MAX(0.05,1-L498^1.6),1)</f>
        <v/>
      </c>
      <c r="AA498" s="11">
        <f>IF(Parametros!B8=1,0.2+0.8*(1/(1+EXP(-9*(S498-0.25)))),1)</f>
        <v/>
      </c>
      <c r="AB498" s="10">
        <f>X498*Y498*Z498*AA498</f>
        <v/>
      </c>
    </row>
    <row r="499">
      <c r="A499" t="inlineStr">
        <is>
          <t>t0yw25</t>
        </is>
      </c>
      <c r="B499" t="inlineStr">
        <is>
          <t>Ágatha Andrade</t>
        </is>
      </c>
      <c r="C499" s="8" t="n">
        <v>0.5945</v>
      </c>
      <c r="D499" s="8" t="n">
        <v>0.5446</v>
      </c>
      <c r="E499" s="8" t="n">
        <v>0.3721</v>
      </c>
      <c r="F499" s="8" t="n">
        <v>0.5288</v>
      </c>
      <c r="G499" s="8" t="n">
        <v>0.4736</v>
      </c>
      <c r="H499" s="8" t="n">
        <v>0.7154</v>
      </c>
      <c r="I499" s="8" t="n">
        <v>0.6133</v>
      </c>
      <c r="J499" s="8" t="n">
        <v>0.3219</v>
      </c>
      <c r="K499" s="8" t="n">
        <v>0.5598</v>
      </c>
      <c r="L499" s="9">
        <f>1-(1-Mecanismos!B2)*(1-C499)</f>
        <v/>
      </c>
      <c r="M499" s="9">
        <f>Mecanismos!B7*D499</f>
        <v/>
      </c>
      <c r="N499" s="9">
        <f>Mecanismos!B4*(1-E499)</f>
        <v/>
      </c>
      <c r="O499" s="9">
        <f>Mecanismos!B5*(1-F499)</f>
        <v/>
      </c>
      <c r="P499" s="9">
        <f>Mecanismos!B6*(1-I499)</f>
        <v/>
      </c>
      <c r="Q499" s="9">
        <f>Mecanismos!B9*(1-G499)</f>
        <v/>
      </c>
      <c r="R499" s="9">
        <f>Mecanismos!B9*(1-J499)</f>
        <v/>
      </c>
      <c r="S499" s="9">
        <f>Mecanismos!B8*H499</f>
        <v/>
      </c>
      <c r="T499" s="9">
        <f>Mecanismos!B10*H499</f>
        <v/>
      </c>
      <c r="U499" s="9">
        <f>Mecanismos!B8*K499</f>
        <v/>
      </c>
      <c r="V499" s="9">
        <f>Mecanismos!B3*D499</f>
        <v/>
      </c>
      <c r="W499" s="9">
        <f>Parametros!B2+Parametros!B4*(S499+T499+U499+V499)-Parametros!B3*(L499+M499+N499+O499+P499+Q499+R499)</f>
        <v/>
      </c>
      <c r="X499" s="10">
        <f>1/(1+EXP(-W499))</f>
        <v/>
      </c>
      <c r="Y499" s="11">
        <f>IF(Parametros!B6=1,0.15+0.85*(1/(1+EXP(-8*((1-N499)-0.45)))),1)</f>
        <v/>
      </c>
      <c r="Z499" s="11">
        <f>IF(Parametros!B7=1,MAX(0.05,1-L499^1.6),1)</f>
        <v/>
      </c>
      <c r="AA499" s="11">
        <f>IF(Parametros!B8=1,0.2+0.8*(1/(1+EXP(-9*(S499-0.25)))),1)</f>
        <v/>
      </c>
      <c r="AB499" s="10">
        <f>X499*Y499*Z499*AA499</f>
        <v/>
      </c>
    </row>
    <row r="500">
      <c r="A500" t="inlineStr">
        <is>
          <t>t0hxqx</t>
        </is>
      </c>
      <c r="B500" t="inlineStr">
        <is>
          <t>Ágatha da Luz</t>
        </is>
      </c>
      <c r="C500" s="8" t="n">
        <v>0.6115</v>
      </c>
      <c r="D500" s="8" t="n">
        <v>0.7645999999999999</v>
      </c>
      <c r="E500" s="8" t="n">
        <v>0.624</v>
      </c>
      <c r="F500" s="8" t="n">
        <v>0.5805</v>
      </c>
      <c r="G500" s="8" t="n">
        <v>0.2282</v>
      </c>
      <c r="H500" s="8" t="n">
        <v>0.6813</v>
      </c>
      <c r="I500" s="8" t="n">
        <v>0.6704</v>
      </c>
      <c r="J500" s="8" t="n">
        <v>0.9292</v>
      </c>
      <c r="K500" s="8" t="n">
        <v>0.488</v>
      </c>
      <c r="L500" s="9">
        <f>1-(1-Mecanismos!B2)*(1-C500)</f>
        <v/>
      </c>
      <c r="M500" s="9">
        <f>Mecanismos!B7*D500</f>
        <v/>
      </c>
      <c r="N500" s="9">
        <f>Mecanismos!B4*(1-E500)</f>
        <v/>
      </c>
      <c r="O500" s="9">
        <f>Mecanismos!B5*(1-F500)</f>
        <v/>
      </c>
      <c r="P500" s="9">
        <f>Mecanismos!B6*(1-I500)</f>
        <v/>
      </c>
      <c r="Q500" s="9">
        <f>Mecanismos!B9*(1-G500)</f>
        <v/>
      </c>
      <c r="R500" s="9">
        <f>Mecanismos!B9*(1-J500)</f>
        <v/>
      </c>
      <c r="S500" s="9">
        <f>Mecanismos!B8*H500</f>
        <v/>
      </c>
      <c r="T500" s="9">
        <f>Mecanismos!B10*H500</f>
        <v/>
      </c>
      <c r="U500" s="9">
        <f>Mecanismos!B8*K500</f>
        <v/>
      </c>
      <c r="V500" s="9">
        <f>Mecanismos!B3*D500</f>
        <v/>
      </c>
      <c r="W500" s="9">
        <f>Parametros!B2+Parametros!B4*(S500+T500+U500+V500)-Parametros!B3*(L500+M500+N500+O500+P500+Q500+R500)</f>
        <v/>
      </c>
      <c r="X500" s="10">
        <f>1/(1+EXP(-W500))</f>
        <v/>
      </c>
      <c r="Y500" s="11">
        <f>IF(Parametros!B6=1,0.15+0.85*(1/(1+EXP(-8*((1-N500)-0.45)))),1)</f>
        <v/>
      </c>
      <c r="Z500" s="11">
        <f>IF(Parametros!B7=1,MAX(0.05,1-L500^1.6),1)</f>
        <v/>
      </c>
      <c r="AA500" s="11">
        <f>IF(Parametros!B8=1,0.2+0.8*(1/(1+EXP(-9*(S500-0.25)))),1)</f>
        <v/>
      </c>
      <c r="AB500" s="10">
        <f>X500*Y500*Z500*AA500</f>
        <v/>
      </c>
    </row>
    <row r="501">
      <c r="A501" t="inlineStr">
        <is>
          <t>r1f4q3</t>
        </is>
      </c>
      <c r="B501" t="inlineStr">
        <is>
          <t>Ísis Costela</t>
        </is>
      </c>
      <c r="C501" s="8" t="n">
        <v>0.5309</v>
      </c>
      <c r="D501" s="8" t="n">
        <v>0.6589</v>
      </c>
      <c r="E501" s="8" t="n">
        <v>0.5477</v>
      </c>
      <c r="F501" s="8" t="n">
        <v>0.6128</v>
      </c>
      <c r="G501" s="8" t="n">
        <v>0.7602</v>
      </c>
      <c r="H501" s="8" t="n">
        <v>0.6518</v>
      </c>
      <c r="I501" s="8" t="n">
        <v>0.7108</v>
      </c>
      <c r="J501" s="8" t="n">
        <v>0.9654</v>
      </c>
      <c r="K501" s="8" t="n">
        <v>0.4872</v>
      </c>
      <c r="L501" s="9">
        <f>1-(1-Mecanismos!B2)*(1-C501)</f>
        <v/>
      </c>
      <c r="M501" s="9">
        <f>Mecanismos!B7*D501</f>
        <v/>
      </c>
      <c r="N501" s="9">
        <f>Mecanismos!B4*(1-E501)</f>
        <v/>
      </c>
      <c r="O501" s="9">
        <f>Mecanismos!B5*(1-F501)</f>
        <v/>
      </c>
      <c r="P501" s="9">
        <f>Mecanismos!B6*(1-I501)</f>
        <v/>
      </c>
      <c r="Q501" s="9">
        <f>Mecanismos!B9*(1-G501)</f>
        <v/>
      </c>
      <c r="R501" s="9">
        <f>Mecanismos!B9*(1-J501)</f>
        <v/>
      </c>
      <c r="S501" s="9">
        <f>Mecanismos!B8*H501</f>
        <v/>
      </c>
      <c r="T501" s="9">
        <f>Mecanismos!B10*H501</f>
        <v/>
      </c>
      <c r="U501" s="9">
        <f>Mecanismos!B8*K501</f>
        <v/>
      </c>
      <c r="V501" s="9">
        <f>Mecanismos!B3*D501</f>
        <v/>
      </c>
      <c r="W501" s="9">
        <f>Parametros!B2+Parametros!B4*(S501+T501+U501+V501)-Parametros!B3*(L501+M501+N501+O501+P501+Q501+R501)</f>
        <v/>
      </c>
      <c r="X501" s="10">
        <f>1/(1+EXP(-W501))</f>
        <v/>
      </c>
      <c r="Y501" s="11">
        <f>IF(Parametros!B6=1,0.15+0.85*(1/(1+EXP(-8*((1-N501)-0.45)))),1)</f>
        <v/>
      </c>
      <c r="Z501" s="11">
        <f>IF(Parametros!B7=1,MAX(0.05,1-L501^1.6),1)</f>
        <v/>
      </c>
      <c r="AA501" s="11">
        <f>IF(Parametros!B8=1,0.2+0.8*(1/(1+EXP(-9*(S501-0.25)))),1)</f>
        <v/>
      </c>
      <c r="AB501" s="10">
        <f>X501*Y501*Z501*AA501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2026-02-12T22:58:42Z</dcterms:created>
  <dcterms:modified xsi:type="dcterms:W3CDTF">2026-02-12T22:58:42Z</dcterms:modified>
</cp:coreProperties>
</file>