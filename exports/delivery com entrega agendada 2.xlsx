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Mecanismos" sheetId="2" state="visible" r:id="rId2"/>
    <sheet name="Simul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1" fillId="4" borderId="0" pivotButton="0" quotePrefix="0" xfId="0"/>
    <xf numFmtId="164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base_probability</t>
        </is>
      </c>
      <c r="B2" s="2" t="n">
        <v>0.5</v>
      </c>
    </row>
    <row r="3">
      <c r="A3" t="inlineStr">
        <is>
          <t>barrier_weight</t>
        </is>
      </c>
      <c r="B3" s="2" t="n">
        <v>0.12</v>
      </c>
    </row>
    <row r="4">
      <c r="A4" t="inlineStr">
        <is>
          <t>appeal_weight</t>
        </is>
      </c>
      <c r="B4" s="2" t="n">
        <v>0.18</v>
      </c>
    </row>
    <row r="6">
      <c r="A6" s="3" t="inlineStr">
        <is>
          <t>experiment_id</t>
        </is>
      </c>
      <c r="B6" s="3" t="inlineStr">
        <is>
          <t>exp_fab441ae</t>
        </is>
      </c>
    </row>
    <row r="7">
      <c r="A7" s="3" t="inlineStr">
        <is>
          <t>experiment_name</t>
        </is>
      </c>
      <c r="B7" s="3" t="inlineStr">
        <is>
          <t>delivery com entrega agendada 2</t>
        </is>
      </c>
    </row>
    <row r="8">
      <c r="A8" s="3" t="inlineStr">
        <is>
          <t>hypothesis</t>
        </is>
      </c>
      <c r="B8" s="3" t="inlineStr">
        <is>
          <t>A hipótese “App de delivery com entrega agendada” assume que permitir ao usuário escolher antecipadamente o dia e o horário da entrega aumenta a sensação de controle e conveniência. Ao reduzir incertezas e conflitos de agenda, a entrega agendada melhora a experiência do cliente, estimula pedidos recorrentes e também facilita o planejamento operacional de restaurantes e entregadores.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mecanismo</t>
        </is>
      </c>
      <c r="B1" s="1" t="inlineStr">
        <is>
          <t>valor</t>
        </is>
      </c>
    </row>
    <row r="2">
      <c r="A2" t="inlineStr">
        <is>
          <t>irreversibility</t>
        </is>
      </c>
      <c r="B2" s="4" t="n">
        <v>0.5</v>
      </c>
    </row>
    <row r="3">
      <c r="A3" t="inlineStr">
        <is>
          <t>network_effect</t>
        </is>
      </c>
      <c r="B3" s="4" t="n">
        <v>0.5</v>
      </c>
    </row>
    <row r="4">
      <c r="A4" t="inlineStr">
        <is>
          <t>institutional_trust</t>
        </is>
      </c>
      <c r="B4" s="4" t="n">
        <v>0.25</v>
      </c>
    </row>
    <row r="5">
      <c r="A5" t="inlineStr">
        <is>
          <t>habit_displacement</t>
        </is>
      </c>
      <c r="B5" s="4" t="n">
        <v>0.5</v>
      </c>
    </row>
    <row r="6">
      <c r="A6" t="inlineStr">
        <is>
          <t>learning_curve</t>
        </is>
      </c>
      <c r="B6" s="4" t="n">
        <v>0.5</v>
      </c>
    </row>
    <row r="7">
      <c r="A7" t="inlineStr">
        <is>
          <t>social_visibility</t>
        </is>
      </c>
      <c r="B7" s="4" t="n">
        <v>0.5</v>
      </c>
    </row>
    <row r="8">
      <c r="A8" t="inlineStr">
        <is>
          <t>intrinsic_value</t>
        </is>
      </c>
      <c r="B8" s="4" t="n">
        <v>0</v>
      </c>
    </row>
    <row r="9">
      <c r="A9" t="inlineStr">
        <is>
          <t>operational_friction</t>
        </is>
      </c>
      <c r="B9" s="4" t="n">
        <v>0</v>
      </c>
    </row>
    <row r="10">
      <c r="A10" t="inlineStr">
        <is>
          <t>frequency_of_use</t>
        </is>
      </c>
      <c r="B1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synth_id</t>
        </is>
      </c>
      <c r="B1" s="1" t="inlineStr">
        <is>
          <t>nome</t>
        </is>
      </c>
      <c r="C1" s="1" t="inlineStr">
        <is>
          <t>risk_aversion</t>
        </is>
      </c>
      <c r="D1" s="1" t="inlineStr">
        <is>
          <t>social_dependency</t>
        </is>
      </c>
      <c r="E1" s="1" t="inlineStr">
        <is>
          <t>institutional_trust_level</t>
        </is>
      </c>
      <c r="F1" s="1" t="inlineStr">
        <is>
          <t>habit_plasticity</t>
        </is>
      </c>
      <c r="G1" s="1" t="inlineStr">
        <is>
          <t>friction_tolerance</t>
        </is>
      </c>
      <c r="H1" s="1" t="inlineStr">
        <is>
          <t>pragmatism</t>
        </is>
      </c>
      <c r="I1" s="1" t="inlineStr">
        <is>
          <t>digital_capability</t>
        </is>
      </c>
      <c r="J1" s="1" t="inlineStr">
        <is>
          <t>motor_ability</t>
        </is>
      </c>
      <c r="K1" s="1" t="inlineStr">
        <is>
          <t>subject_domain</t>
        </is>
      </c>
      <c r="L1" s="5" t="inlineStr">
        <is>
          <t>perceived_risk</t>
        </is>
      </c>
      <c r="M1" s="5" t="inlineStr">
        <is>
          <t>social_pressure</t>
        </is>
      </c>
      <c r="N1" s="5" t="inlineStr">
        <is>
          <t>trust_barrier</t>
        </is>
      </c>
      <c r="O1" s="5" t="inlineStr">
        <is>
          <t>habit_resistance</t>
        </is>
      </c>
      <c r="P1" s="5" t="inlineStr">
        <is>
          <t>learning_frustration</t>
        </is>
      </c>
      <c r="Q1" s="5" t="inlineStr">
        <is>
          <t>friction_burden</t>
        </is>
      </c>
      <c r="R1" s="5" t="inlineStr">
        <is>
          <t>network_barrier</t>
        </is>
      </c>
      <c r="S1" s="5" t="inlineStr">
        <is>
          <t>motor_barrier</t>
        </is>
      </c>
      <c r="T1" s="5" t="inlineStr">
        <is>
          <t>intrinsic_appeal</t>
        </is>
      </c>
      <c r="U1" s="5" t="inlineStr">
        <is>
          <t>frequency_value</t>
        </is>
      </c>
      <c r="V1" s="5" t="inlineStr">
        <is>
          <t>domain_advantage</t>
        </is>
      </c>
      <c r="W1" s="5" t="inlineStr">
        <is>
          <t>SUM_barriers</t>
        </is>
      </c>
      <c r="X1" s="5" t="inlineStr">
        <is>
          <t>SUM_appeals</t>
        </is>
      </c>
      <c r="Y1" s="5" t="inlineStr">
        <is>
          <t>P(adopted)</t>
        </is>
      </c>
    </row>
    <row r="2">
      <c r="A2" t="inlineStr">
        <is>
          <t>4w0b2a</t>
        </is>
      </c>
      <c r="B2" t="inlineStr">
        <is>
          <t>Agatha Abreu</t>
        </is>
      </c>
      <c r="C2" s="6" t="n">
        <v>0.5004999999999999</v>
      </c>
      <c r="D2" s="6" t="n">
        <v>0.4953</v>
      </c>
      <c r="E2" s="6" t="n">
        <v>0.4069</v>
      </c>
      <c r="F2" s="6" t="n">
        <v>0.5954</v>
      </c>
      <c r="G2" s="6" t="n">
        <v>0.6342</v>
      </c>
      <c r="H2" s="6" t="n">
        <v>0.4178</v>
      </c>
      <c r="I2" s="6" t="n">
        <v>0.5272</v>
      </c>
      <c r="J2" s="6" t="n">
        <v>0.8946</v>
      </c>
      <c r="K2" s="6" t="n">
        <v>0.3151</v>
      </c>
      <c r="L2" s="7">
        <f>Mecanismos!B2*C2</f>
        <v/>
      </c>
      <c r="M2" s="7">
        <f>Mecanismos!B7*D2</f>
        <v/>
      </c>
      <c r="N2" s="7">
        <f>Mecanismos!B4*(1-E2)</f>
        <v/>
      </c>
      <c r="O2" s="7">
        <f>Mecanismos!B5*(1-F2)</f>
        <v/>
      </c>
      <c r="P2" s="7">
        <f>Mecanismos!B6*(1-I2)</f>
        <v/>
      </c>
      <c r="Q2" s="7">
        <f>Mecanismos!B9*(1-G2)</f>
        <v/>
      </c>
      <c r="R2" s="7">
        <f>Mecanismos!B3*(1-D2)</f>
        <v/>
      </c>
      <c r="S2" s="7">
        <f>Mecanismos!B9*(1-J2)</f>
        <v/>
      </c>
      <c r="T2" s="7">
        <f>Mecanismos!B8*H2</f>
        <v/>
      </c>
      <c r="U2" s="7">
        <f>Mecanismos!B10*H2</f>
        <v/>
      </c>
      <c r="V2" s="7">
        <f>Mecanismos!B8*K2</f>
        <v/>
      </c>
      <c r="W2" s="7">
        <f>SUM(L2:S2)</f>
        <v/>
      </c>
      <c r="X2" s="7">
        <f>SUM(T2:V2)</f>
        <v/>
      </c>
      <c r="Y2" s="8">
        <f>MAX(0,MIN(1,Parametros!B2-W2*Parametros!B3+X2*Parametros!B4))</f>
        <v/>
      </c>
    </row>
    <row r="3">
      <c r="A3" t="inlineStr">
        <is>
          <t>ycuw8b</t>
        </is>
      </c>
      <c r="B3" t="inlineStr">
        <is>
          <t>Agatha Guerra</t>
        </is>
      </c>
      <c r="C3" s="6" t="n">
        <v>0.672</v>
      </c>
      <c r="D3" s="6" t="n">
        <v>0.3535</v>
      </c>
      <c r="E3" s="6" t="n">
        <v>0.6503</v>
      </c>
      <c r="F3" s="6" t="n">
        <v>0.4687</v>
      </c>
      <c r="G3" s="6" t="n">
        <v>0.1713</v>
      </c>
      <c r="H3" s="6" t="n">
        <v>0.391</v>
      </c>
      <c r="I3" s="6" t="n">
        <v>0.293</v>
      </c>
      <c r="J3" s="6" t="n">
        <v>0.7038</v>
      </c>
      <c r="K3" s="6" t="n">
        <v>0.417</v>
      </c>
      <c r="L3" s="7">
        <f>Mecanismos!B2*C3</f>
        <v/>
      </c>
      <c r="M3" s="7">
        <f>Mecanismos!B7*D3</f>
        <v/>
      </c>
      <c r="N3" s="7">
        <f>Mecanismos!B4*(1-E3)</f>
        <v/>
      </c>
      <c r="O3" s="7">
        <f>Mecanismos!B5*(1-F3)</f>
        <v/>
      </c>
      <c r="P3" s="7">
        <f>Mecanismos!B6*(1-I3)</f>
        <v/>
      </c>
      <c r="Q3" s="7">
        <f>Mecanismos!B9*(1-G3)</f>
        <v/>
      </c>
      <c r="R3" s="7">
        <f>Mecanismos!B3*(1-D3)</f>
        <v/>
      </c>
      <c r="S3" s="7">
        <f>Mecanismos!B9*(1-J3)</f>
        <v/>
      </c>
      <c r="T3" s="7">
        <f>Mecanismos!B8*H3</f>
        <v/>
      </c>
      <c r="U3" s="7">
        <f>Mecanismos!B10*H3</f>
        <v/>
      </c>
      <c r="V3" s="7">
        <f>Mecanismos!B8*K3</f>
        <v/>
      </c>
      <c r="W3" s="7">
        <f>SUM(L3:S3)</f>
        <v/>
      </c>
      <c r="X3" s="7">
        <f>SUM(T3:V3)</f>
        <v/>
      </c>
      <c r="Y3" s="8">
        <f>MAX(0,MIN(1,Parametros!B2-W3*Parametros!B3+X3*Parametros!B4))</f>
        <v/>
      </c>
    </row>
    <row r="4">
      <c r="A4" t="inlineStr">
        <is>
          <t>mja8fy</t>
        </is>
      </c>
      <c r="B4" t="inlineStr">
        <is>
          <t>Agatha da Luz</t>
        </is>
      </c>
      <c r="C4" s="6" t="n">
        <v>0.667</v>
      </c>
      <c r="D4" s="6" t="n">
        <v>0.5021</v>
      </c>
      <c r="E4" s="6" t="n">
        <v>0.4128</v>
      </c>
      <c r="F4" s="6" t="n">
        <v>0.3794</v>
      </c>
      <c r="G4" s="6" t="n">
        <v>0.7026</v>
      </c>
      <c r="H4" s="6" t="n">
        <v>0.5784</v>
      </c>
      <c r="I4" s="6" t="n">
        <v>0.6464</v>
      </c>
      <c r="J4" s="6" t="n">
        <v>0.8411</v>
      </c>
      <c r="K4" s="6" t="n">
        <v>0.3977</v>
      </c>
      <c r="L4" s="7">
        <f>Mecanismos!B2*C4</f>
        <v/>
      </c>
      <c r="M4" s="7">
        <f>Mecanismos!B7*D4</f>
        <v/>
      </c>
      <c r="N4" s="7">
        <f>Mecanismos!B4*(1-E4)</f>
        <v/>
      </c>
      <c r="O4" s="7">
        <f>Mecanismos!B5*(1-F4)</f>
        <v/>
      </c>
      <c r="P4" s="7">
        <f>Mecanismos!B6*(1-I4)</f>
        <v/>
      </c>
      <c r="Q4" s="7">
        <f>Mecanismos!B9*(1-G4)</f>
        <v/>
      </c>
      <c r="R4" s="7">
        <f>Mecanismos!B3*(1-D4)</f>
        <v/>
      </c>
      <c r="S4" s="7">
        <f>Mecanismos!B9*(1-J4)</f>
        <v/>
      </c>
      <c r="T4" s="7">
        <f>Mecanismos!B8*H4</f>
        <v/>
      </c>
      <c r="U4" s="7">
        <f>Mecanismos!B10*H4</f>
        <v/>
      </c>
      <c r="V4" s="7">
        <f>Mecanismos!B8*K4</f>
        <v/>
      </c>
      <c r="W4" s="7">
        <f>SUM(L4:S4)</f>
        <v/>
      </c>
      <c r="X4" s="7">
        <f>SUM(T4:V4)</f>
        <v/>
      </c>
      <c r="Y4" s="8">
        <f>MAX(0,MIN(1,Parametros!B2-W4*Parametros!B3+X4*Parametros!B4))</f>
        <v/>
      </c>
    </row>
    <row r="5">
      <c r="A5" t="inlineStr">
        <is>
          <t>2vwwqi</t>
        </is>
      </c>
      <c r="B5" t="inlineStr">
        <is>
          <t>Alana Melo</t>
        </is>
      </c>
      <c r="C5" s="6" t="n">
        <v>0.3713</v>
      </c>
      <c r="D5" s="6" t="n">
        <v>0.5632</v>
      </c>
      <c r="E5" s="6" t="n">
        <v>0.3653</v>
      </c>
      <c r="F5" s="6" t="n">
        <v>0.6151</v>
      </c>
      <c r="G5" s="6" t="n">
        <v>0.5162</v>
      </c>
      <c r="H5" s="6" t="n">
        <v>0.6516</v>
      </c>
      <c r="I5" s="6" t="n">
        <v>0.6868</v>
      </c>
      <c r="J5" s="6" t="n">
        <v>0.849</v>
      </c>
      <c r="K5" s="6" t="n">
        <v>0.5913</v>
      </c>
      <c r="L5" s="7">
        <f>Mecanismos!B2*C5</f>
        <v/>
      </c>
      <c r="M5" s="7">
        <f>Mecanismos!B7*D5</f>
        <v/>
      </c>
      <c r="N5" s="7">
        <f>Mecanismos!B4*(1-E5)</f>
        <v/>
      </c>
      <c r="O5" s="7">
        <f>Mecanismos!B5*(1-F5)</f>
        <v/>
      </c>
      <c r="P5" s="7">
        <f>Mecanismos!B6*(1-I5)</f>
        <v/>
      </c>
      <c r="Q5" s="7">
        <f>Mecanismos!B9*(1-G5)</f>
        <v/>
      </c>
      <c r="R5" s="7">
        <f>Mecanismos!B3*(1-D5)</f>
        <v/>
      </c>
      <c r="S5" s="7">
        <f>Mecanismos!B9*(1-J5)</f>
        <v/>
      </c>
      <c r="T5" s="7">
        <f>Mecanismos!B8*H5</f>
        <v/>
      </c>
      <c r="U5" s="7">
        <f>Mecanismos!B10*H5</f>
        <v/>
      </c>
      <c r="V5" s="7">
        <f>Mecanismos!B8*K5</f>
        <v/>
      </c>
      <c r="W5" s="7">
        <f>SUM(L5:S5)</f>
        <v/>
      </c>
      <c r="X5" s="7">
        <f>SUM(T5:V5)</f>
        <v/>
      </c>
      <c r="Y5" s="8">
        <f>MAX(0,MIN(1,Parametros!B2-W5*Parametros!B3+X5*Parametros!B4))</f>
        <v/>
      </c>
    </row>
    <row r="6">
      <c r="A6" t="inlineStr">
        <is>
          <t>hiefbg</t>
        </is>
      </c>
      <c r="B6" t="inlineStr">
        <is>
          <t>Alana Mendes</t>
        </is>
      </c>
      <c r="C6" s="6" t="n">
        <v>0.7579</v>
      </c>
      <c r="D6" s="6" t="n">
        <v>0.364</v>
      </c>
      <c r="E6" s="6" t="n">
        <v>0.494</v>
      </c>
      <c r="F6" s="6" t="n">
        <v>0.654</v>
      </c>
      <c r="G6" s="6" t="n">
        <v>0.5417999999999999</v>
      </c>
      <c r="H6" s="6" t="n">
        <v>0.5337</v>
      </c>
      <c r="I6" s="6" t="n">
        <v>0.4388</v>
      </c>
      <c r="J6" s="6" t="n">
        <v>0.7873</v>
      </c>
      <c r="K6" s="6" t="n">
        <v>0.5696</v>
      </c>
      <c r="L6" s="7">
        <f>Mecanismos!B2*C6</f>
        <v/>
      </c>
      <c r="M6" s="7">
        <f>Mecanismos!B7*D6</f>
        <v/>
      </c>
      <c r="N6" s="7">
        <f>Mecanismos!B4*(1-E6)</f>
        <v/>
      </c>
      <c r="O6" s="7">
        <f>Mecanismos!B5*(1-F6)</f>
        <v/>
      </c>
      <c r="P6" s="7">
        <f>Mecanismos!B6*(1-I6)</f>
        <v/>
      </c>
      <c r="Q6" s="7">
        <f>Mecanismos!B9*(1-G6)</f>
        <v/>
      </c>
      <c r="R6" s="7">
        <f>Mecanismos!B3*(1-D6)</f>
        <v/>
      </c>
      <c r="S6" s="7">
        <f>Mecanismos!B9*(1-J6)</f>
        <v/>
      </c>
      <c r="T6" s="7">
        <f>Mecanismos!B8*H6</f>
        <v/>
      </c>
      <c r="U6" s="7">
        <f>Mecanismos!B10*H6</f>
        <v/>
      </c>
      <c r="V6" s="7">
        <f>Mecanismos!B8*K6</f>
        <v/>
      </c>
      <c r="W6" s="7">
        <f>SUM(L6:S6)</f>
        <v/>
      </c>
      <c r="X6" s="7">
        <f>SUM(T6:V6)</f>
        <v/>
      </c>
      <c r="Y6" s="8">
        <f>MAX(0,MIN(1,Parametros!B2-W6*Parametros!B3+X6*Parametros!B4))</f>
        <v/>
      </c>
    </row>
    <row r="7">
      <c r="A7" t="inlineStr">
        <is>
          <t>kjbp9x</t>
        </is>
      </c>
      <c r="B7" t="inlineStr">
        <is>
          <t>Alana Sampaio</t>
        </is>
      </c>
      <c r="C7" s="6" t="n">
        <v>0.6633</v>
      </c>
      <c r="D7" s="6" t="n">
        <v>0.6004</v>
      </c>
      <c r="E7" s="6" t="n">
        <v>0.8205</v>
      </c>
      <c r="F7" s="6" t="n">
        <v>0.7936</v>
      </c>
      <c r="G7" s="6" t="n">
        <v>0.4981</v>
      </c>
      <c r="H7" s="6" t="n">
        <v>0.4378</v>
      </c>
      <c r="I7" s="6" t="n">
        <v>0.8625</v>
      </c>
      <c r="J7" s="6" t="n">
        <v>0.9478</v>
      </c>
      <c r="K7" s="6" t="n">
        <v>0.8110000000000001</v>
      </c>
      <c r="L7" s="7">
        <f>Mecanismos!B2*C7</f>
        <v/>
      </c>
      <c r="M7" s="7">
        <f>Mecanismos!B7*D7</f>
        <v/>
      </c>
      <c r="N7" s="7">
        <f>Mecanismos!B4*(1-E7)</f>
        <v/>
      </c>
      <c r="O7" s="7">
        <f>Mecanismos!B5*(1-F7)</f>
        <v/>
      </c>
      <c r="P7" s="7">
        <f>Mecanismos!B6*(1-I7)</f>
        <v/>
      </c>
      <c r="Q7" s="7">
        <f>Mecanismos!B9*(1-G7)</f>
        <v/>
      </c>
      <c r="R7" s="7">
        <f>Mecanismos!B3*(1-D7)</f>
        <v/>
      </c>
      <c r="S7" s="7">
        <f>Mecanismos!B9*(1-J7)</f>
        <v/>
      </c>
      <c r="T7" s="7">
        <f>Mecanismos!B8*H7</f>
        <v/>
      </c>
      <c r="U7" s="7">
        <f>Mecanismos!B10*H7</f>
        <v/>
      </c>
      <c r="V7" s="7">
        <f>Mecanismos!B8*K7</f>
        <v/>
      </c>
      <c r="W7" s="7">
        <f>SUM(L7:S7)</f>
        <v/>
      </c>
      <c r="X7" s="7">
        <f>SUM(T7:V7)</f>
        <v/>
      </c>
      <c r="Y7" s="8">
        <f>MAX(0,MIN(1,Parametros!B2-W7*Parametros!B3+X7*Parametros!B4))</f>
        <v/>
      </c>
    </row>
    <row r="8">
      <c r="A8" t="inlineStr">
        <is>
          <t>1n4il4</t>
        </is>
      </c>
      <c r="B8" t="inlineStr">
        <is>
          <t>Alexandre Teixeira</t>
        </is>
      </c>
      <c r="C8" s="6" t="n">
        <v>0.3554</v>
      </c>
      <c r="D8" s="6" t="n">
        <v>0.3904</v>
      </c>
      <c r="E8" s="6" t="n">
        <v>0.36</v>
      </c>
      <c r="F8" s="6" t="n">
        <v>0.5608</v>
      </c>
      <c r="G8" s="6" t="n">
        <v>0.5613</v>
      </c>
      <c r="H8" s="6" t="n">
        <v>0.7287</v>
      </c>
      <c r="I8" s="6" t="n">
        <v>0.4539</v>
      </c>
      <c r="J8" s="6" t="n">
        <v>0.8381</v>
      </c>
      <c r="K8" s="6" t="n">
        <v>0.5836</v>
      </c>
      <c r="L8" s="7">
        <f>Mecanismos!B2*C8</f>
        <v/>
      </c>
      <c r="M8" s="7">
        <f>Mecanismos!B7*D8</f>
        <v/>
      </c>
      <c r="N8" s="7">
        <f>Mecanismos!B4*(1-E8)</f>
        <v/>
      </c>
      <c r="O8" s="7">
        <f>Mecanismos!B5*(1-F8)</f>
        <v/>
      </c>
      <c r="P8" s="7">
        <f>Mecanismos!B6*(1-I8)</f>
        <v/>
      </c>
      <c r="Q8" s="7">
        <f>Mecanismos!B9*(1-G8)</f>
        <v/>
      </c>
      <c r="R8" s="7">
        <f>Mecanismos!B3*(1-D8)</f>
        <v/>
      </c>
      <c r="S8" s="7">
        <f>Mecanismos!B9*(1-J8)</f>
        <v/>
      </c>
      <c r="T8" s="7">
        <f>Mecanismos!B8*H8</f>
        <v/>
      </c>
      <c r="U8" s="7">
        <f>Mecanismos!B10*H8</f>
        <v/>
      </c>
      <c r="V8" s="7">
        <f>Mecanismos!B8*K8</f>
        <v/>
      </c>
      <c r="W8" s="7">
        <f>SUM(L8:S8)</f>
        <v/>
      </c>
      <c r="X8" s="7">
        <f>SUM(T8:V8)</f>
        <v/>
      </c>
      <c r="Y8" s="8">
        <f>MAX(0,MIN(1,Parametros!B2-W8*Parametros!B3+X8*Parametros!B4))</f>
        <v/>
      </c>
    </row>
    <row r="9">
      <c r="A9" t="inlineStr">
        <is>
          <t>e0yieb</t>
        </is>
      </c>
      <c r="B9" t="inlineStr">
        <is>
          <t>Alexia Andrade</t>
        </is>
      </c>
      <c r="C9" s="6" t="n">
        <v>0.6242</v>
      </c>
      <c r="D9" s="6" t="n">
        <v>0.6683</v>
      </c>
      <c r="E9" s="6" t="n">
        <v>0.745</v>
      </c>
      <c r="F9" s="6" t="n">
        <v>0.4704</v>
      </c>
      <c r="G9" s="6" t="n">
        <v>0.4094</v>
      </c>
      <c r="H9" s="6" t="n">
        <v>0.6267</v>
      </c>
      <c r="I9" s="6" t="n">
        <v>0.5469000000000001</v>
      </c>
      <c r="J9" s="6" t="n">
        <v>0.7495000000000001</v>
      </c>
      <c r="K9" s="6" t="n">
        <v>0.2266</v>
      </c>
      <c r="L9" s="7">
        <f>Mecanismos!B2*C9</f>
        <v/>
      </c>
      <c r="M9" s="7">
        <f>Mecanismos!B7*D9</f>
        <v/>
      </c>
      <c r="N9" s="7">
        <f>Mecanismos!B4*(1-E9)</f>
        <v/>
      </c>
      <c r="O9" s="7">
        <f>Mecanismos!B5*(1-F9)</f>
        <v/>
      </c>
      <c r="P9" s="7">
        <f>Mecanismos!B6*(1-I9)</f>
        <v/>
      </c>
      <c r="Q9" s="7">
        <f>Mecanismos!B9*(1-G9)</f>
        <v/>
      </c>
      <c r="R9" s="7">
        <f>Mecanismos!B3*(1-D9)</f>
        <v/>
      </c>
      <c r="S9" s="7">
        <f>Mecanismos!B9*(1-J9)</f>
        <v/>
      </c>
      <c r="T9" s="7">
        <f>Mecanismos!B8*H9</f>
        <v/>
      </c>
      <c r="U9" s="7">
        <f>Mecanismos!B10*H9</f>
        <v/>
      </c>
      <c r="V9" s="7">
        <f>Mecanismos!B8*K9</f>
        <v/>
      </c>
      <c r="W9" s="7">
        <f>SUM(L9:S9)</f>
        <v/>
      </c>
      <c r="X9" s="7">
        <f>SUM(T9:V9)</f>
        <v/>
      </c>
      <c r="Y9" s="8">
        <f>MAX(0,MIN(1,Parametros!B2-W9*Parametros!B3+X9*Parametros!B4))</f>
        <v/>
      </c>
    </row>
    <row r="10">
      <c r="A10" t="inlineStr">
        <is>
          <t>4sq5jx</t>
        </is>
      </c>
      <c r="B10" t="inlineStr">
        <is>
          <t>Alexia Leão</t>
        </is>
      </c>
      <c r="C10" s="6" t="n">
        <v>0.8264</v>
      </c>
      <c r="D10" s="6" t="n">
        <v>0.1673</v>
      </c>
      <c r="E10" s="6" t="n">
        <v>0.7268</v>
      </c>
      <c r="F10" s="6" t="n">
        <v>0.6361</v>
      </c>
      <c r="G10" s="6" t="n">
        <v>0.4829</v>
      </c>
      <c r="H10" s="6" t="n">
        <v>0.615</v>
      </c>
      <c r="I10" s="6" t="n">
        <v>0.2892</v>
      </c>
      <c r="J10" s="6" t="n">
        <v>0.5758</v>
      </c>
      <c r="K10" s="6" t="n">
        <v>0.5314</v>
      </c>
      <c r="L10" s="7">
        <f>Mecanismos!B2*C10</f>
        <v/>
      </c>
      <c r="M10" s="7">
        <f>Mecanismos!B7*D10</f>
        <v/>
      </c>
      <c r="N10" s="7">
        <f>Mecanismos!B4*(1-E10)</f>
        <v/>
      </c>
      <c r="O10" s="7">
        <f>Mecanismos!B5*(1-F10)</f>
        <v/>
      </c>
      <c r="P10" s="7">
        <f>Mecanismos!B6*(1-I10)</f>
        <v/>
      </c>
      <c r="Q10" s="7">
        <f>Mecanismos!B9*(1-G10)</f>
        <v/>
      </c>
      <c r="R10" s="7">
        <f>Mecanismos!B3*(1-D10)</f>
        <v/>
      </c>
      <c r="S10" s="7">
        <f>Mecanismos!B9*(1-J10)</f>
        <v/>
      </c>
      <c r="T10" s="7">
        <f>Mecanismos!B8*H10</f>
        <v/>
      </c>
      <c r="U10" s="7">
        <f>Mecanismos!B10*H10</f>
        <v/>
      </c>
      <c r="V10" s="7">
        <f>Mecanismos!B8*K10</f>
        <v/>
      </c>
      <c r="W10" s="7">
        <f>SUM(L10:S10)</f>
        <v/>
      </c>
      <c r="X10" s="7">
        <f>SUM(T10:V10)</f>
        <v/>
      </c>
      <c r="Y10" s="8">
        <f>MAX(0,MIN(1,Parametros!B2-W10*Parametros!B3+X10*Parametros!B4))</f>
        <v/>
      </c>
    </row>
    <row r="11">
      <c r="A11" t="inlineStr">
        <is>
          <t>jmrdzk</t>
        </is>
      </c>
      <c r="B11" t="inlineStr">
        <is>
          <t>Alice Viana</t>
        </is>
      </c>
      <c r="C11" s="6" t="n">
        <v>0.6551</v>
      </c>
      <c r="D11" s="6" t="n">
        <v>0.494</v>
      </c>
      <c r="E11" s="6" t="n">
        <v>0.5437</v>
      </c>
      <c r="F11" s="6" t="n">
        <v>0.5328000000000001</v>
      </c>
      <c r="G11" s="6" t="n">
        <v>0.4685</v>
      </c>
      <c r="H11" s="6" t="n">
        <v>0.4087</v>
      </c>
      <c r="I11" s="6" t="n">
        <v>0.4094</v>
      </c>
      <c r="J11" s="6" t="n">
        <v>0.4493</v>
      </c>
      <c r="K11" s="6" t="n">
        <v>0.5552</v>
      </c>
      <c r="L11" s="7">
        <f>Mecanismos!B2*C11</f>
        <v/>
      </c>
      <c r="M11" s="7">
        <f>Mecanismos!B7*D11</f>
        <v/>
      </c>
      <c r="N11" s="7">
        <f>Mecanismos!B4*(1-E11)</f>
        <v/>
      </c>
      <c r="O11" s="7">
        <f>Mecanismos!B5*(1-F11)</f>
        <v/>
      </c>
      <c r="P11" s="7">
        <f>Mecanismos!B6*(1-I11)</f>
        <v/>
      </c>
      <c r="Q11" s="7">
        <f>Mecanismos!B9*(1-G11)</f>
        <v/>
      </c>
      <c r="R11" s="7">
        <f>Mecanismos!B3*(1-D11)</f>
        <v/>
      </c>
      <c r="S11" s="7">
        <f>Mecanismos!B9*(1-J11)</f>
        <v/>
      </c>
      <c r="T11" s="7">
        <f>Mecanismos!B8*H11</f>
        <v/>
      </c>
      <c r="U11" s="7">
        <f>Mecanismos!B10*H11</f>
        <v/>
      </c>
      <c r="V11" s="7">
        <f>Mecanismos!B8*K11</f>
        <v/>
      </c>
      <c r="W11" s="7">
        <f>SUM(L11:S11)</f>
        <v/>
      </c>
      <c r="X11" s="7">
        <f>SUM(T11:V11)</f>
        <v/>
      </c>
      <c r="Y11" s="8">
        <f>MAX(0,MIN(1,Parametros!B2-W11*Parametros!B3+X11*Parametros!B4))</f>
        <v/>
      </c>
    </row>
    <row r="12">
      <c r="A12" t="inlineStr">
        <is>
          <t>7f8fws</t>
        </is>
      </c>
      <c r="B12" t="inlineStr">
        <is>
          <t>Alice da Mata</t>
        </is>
      </c>
      <c r="C12" s="6" t="n">
        <v>0.5141</v>
      </c>
      <c r="D12" s="6" t="n">
        <v>0.6296</v>
      </c>
      <c r="E12" s="6" t="n">
        <v>0.4268</v>
      </c>
      <c r="F12" s="6" t="n">
        <v>0.3476</v>
      </c>
      <c r="G12" s="6" t="n">
        <v>0.374</v>
      </c>
      <c r="H12" s="6" t="n">
        <v>0.6985</v>
      </c>
      <c r="I12" s="6" t="n">
        <v>0.4863</v>
      </c>
      <c r="J12" s="6" t="n">
        <v>0.5631</v>
      </c>
      <c r="K12" s="6" t="n">
        <v>0.6764</v>
      </c>
      <c r="L12" s="7">
        <f>Mecanismos!B2*C12</f>
        <v/>
      </c>
      <c r="M12" s="7">
        <f>Mecanismos!B7*D12</f>
        <v/>
      </c>
      <c r="N12" s="7">
        <f>Mecanismos!B4*(1-E12)</f>
        <v/>
      </c>
      <c r="O12" s="7">
        <f>Mecanismos!B5*(1-F12)</f>
        <v/>
      </c>
      <c r="P12" s="7">
        <f>Mecanismos!B6*(1-I12)</f>
        <v/>
      </c>
      <c r="Q12" s="7">
        <f>Mecanismos!B9*(1-G12)</f>
        <v/>
      </c>
      <c r="R12" s="7">
        <f>Mecanismos!B3*(1-D12)</f>
        <v/>
      </c>
      <c r="S12" s="7">
        <f>Mecanismos!B9*(1-J12)</f>
        <v/>
      </c>
      <c r="T12" s="7">
        <f>Mecanismos!B8*H12</f>
        <v/>
      </c>
      <c r="U12" s="7">
        <f>Mecanismos!B10*H12</f>
        <v/>
      </c>
      <c r="V12" s="7">
        <f>Mecanismos!B8*K12</f>
        <v/>
      </c>
      <c r="W12" s="7">
        <f>SUM(L12:S12)</f>
        <v/>
      </c>
      <c r="X12" s="7">
        <f>SUM(T12:V12)</f>
        <v/>
      </c>
      <c r="Y12" s="8">
        <f>MAX(0,MIN(1,Parametros!B2-W12*Parametros!B3+X12*Parametros!B4))</f>
        <v/>
      </c>
    </row>
    <row r="13">
      <c r="A13" t="inlineStr">
        <is>
          <t>rowjhd</t>
        </is>
      </c>
      <c r="B13" t="inlineStr">
        <is>
          <t>Amanda Borges</t>
        </is>
      </c>
      <c r="C13" s="6" t="n">
        <v>0.4831</v>
      </c>
      <c r="D13" s="6" t="n">
        <v>0.7473</v>
      </c>
      <c r="E13" s="6" t="n">
        <v>0.7506</v>
      </c>
      <c r="F13" s="6" t="n">
        <v>0.5026</v>
      </c>
      <c r="G13" s="6" t="n">
        <v>0.4954</v>
      </c>
      <c r="H13" s="6" t="n">
        <v>0.1903</v>
      </c>
      <c r="I13" s="6" t="n">
        <v>0.3792</v>
      </c>
      <c r="J13" s="6" t="n">
        <v>0.8038999999999999</v>
      </c>
      <c r="K13" s="6" t="n">
        <v>0.6823</v>
      </c>
      <c r="L13" s="7">
        <f>Mecanismos!B2*C13</f>
        <v/>
      </c>
      <c r="M13" s="7">
        <f>Mecanismos!B7*D13</f>
        <v/>
      </c>
      <c r="N13" s="7">
        <f>Mecanismos!B4*(1-E13)</f>
        <v/>
      </c>
      <c r="O13" s="7">
        <f>Mecanismos!B5*(1-F13)</f>
        <v/>
      </c>
      <c r="P13" s="7">
        <f>Mecanismos!B6*(1-I13)</f>
        <v/>
      </c>
      <c r="Q13" s="7">
        <f>Mecanismos!B9*(1-G13)</f>
        <v/>
      </c>
      <c r="R13" s="7">
        <f>Mecanismos!B3*(1-D13)</f>
        <v/>
      </c>
      <c r="S13" s="7">
        <f>Mecanismos!B9*(1-J13)</f>
        <v/>
      </c>
      <c r="T13" s="7">
        <f>Mecanismos!B8*H13</f>
        <v/>
      </c>
      <c r="U13" s="7">
        <f>Mecanismos!B10*H13</f>
        <v/>
      </c>
      <c r="V13" s="7">
        <f>Mecanismos!B8*K13</f>
        <v/>
      </c>
      <c r="W13" s="7">
        <f>SUM(L13:S13)</f>
        <v/>
      </c>
      <c r="X13" s="7">
        <f>SUM(T13:V13)</f>
        <v/>
      </c>
      <c r="Y13" s="8">
        <f>MAX(0,MIN(1,Parametros!B2-W13*Parametros!B3+X13*Parametros!B4))</f>
        <v/>
      </c>
    </row>
    <row r="14">
      <c r="A14" t="inlineStr">
        <is>
          <t>1y2uu5</t>
        </is>
      </c>
      <c r="B14" t="inlineStr">
        <is>
          <t>Amanda Macedo</t>
        </is>
      </c>
      <c r="C14" s="6" t="n">
        <v>0.5779</v>
      </c>
      <c r="D14" s="6" t="n">
        <v>0.639</v>
      </c>
      <c r="E14" s="6" t="n">
        <v>0.4479</v>
      </c>
      <c r="F14" s="6" t="n">
        <v>0.487</v>
      </c>
      <c r="G14" s="6" t="n">
        <v>0.5453</v>
      </c>
      <c r="H14" s="6" t="n">
        <v>0.8054</v>
      </c>
      <c r="I14" s="6" t="n">
        <v>0.2896</v>
      </c>
      <c r="J14" s="6" t="n">
        <v>0.7511</v>
      </c>
      <c r="K14" s="6" t="n">
        <v>0.3963</v>
      </c>
      <c r="L14" s="7">
        <f>Mecanismos!B2*C14</f>
        <v/>
      </c>
      <c r="M14" s="7">
        <f>Mecanismos!B7*D14</f>
        <v/>
      </c>
      <c r="N14" s="7">
        <f>Mecanismos!B4*(1-E14)</f>
        <v/>
      </c>
      <c r="O14" s="7">
        <f>Mecanismos!B5*(1-F14)</f>
        <v/>
      </c>
      <c r="P14" s="7">
        <f>Mecanismos!B6*(1-I14)</f>
        <v/>
      </c>
      <c r="Q14" s="7">
        <f>Mecanismos!B9*(1-G14)</f>
        <v/>
      </c>
      <c r="R14" s="7">
        <f>Mecanismos!B3*(1-D14)</f>
        <v/>
      </c>
      <c r="S14" s="7">
        <f>Mecanismos!B9*(1-J14)</f>
        <v/>
      </c>
      <c r="T14" s="7">
        <f>Mecanismos!B8*H14</f>
        <v/>
      </c>
      <c r="U14" s="7">
        <f>Mecanismos!B10*H14</f>
        <v/>
      </c>
      <c r="V14" s="7">
        <f>Mecanismos!B8*K14</f>
        <v/>
      </c>
      <c r="W14" s="7">
        <f>SUM(L14:S14)</f>
        <v/>
      </c>
      <c r="X14" s="7">
        <f>SUM(T14:V14)</f>
        <v/>
      </c>
      <c r="Y14" s="8">
        <f>MAX(0,MIN(1,Parametros!B2-W14*Parametros!B3+X14*Parametros!B4))</f>
        <v/>
      </c>
    </row>
    <row r="15">
      <c r="A15" t="inlineStr">
        <is>
          <t>yvzwll</t>
        </is>
      </c>
      <c r="B15" t="inlineStr">
        <is>
          <t>Amanda Peixoto</t>
        </is>
      </c>
      <c r="C15" s="6" t="n">
        <v>0.4727</v>
      </c>
      <c r="D15" s="6" t="n">
        <v>0.7343</v>
      </c>
      <c r="E15" s="6" t="n">
        <v>0.3431</v>
      </c>
      <c r="F15" s="6" t="n">
        <v>0.5958</v>
      </c>
      <c r="G15" s="6" t="n">
        <v>0.5342</v>
      </c>
      <c r="H15" s="6" t="n">
        <v>0.3446</v>
      </c>
      <c r="I15" s="6" t="n">
        <v>0.4876</v>
      </c>
      <c r="J15" s="6" t="n">
        <v>0.8244</v>
      </c>
      <c r="K15" s="6" t="n">
        <v>0.4287</v>
      </c>
      <c r="L15" s="7">
        <f>Mecanismos!B2*C15</f>
        <v/>
      </c>
      <c r="M15" s="7">
        <f>Mecanismos!B7*D15</f>
        <v/>
      </c>
      <c r="N15" s="7">
        <f>Mecanismos!B4*(1-E15)</f>
        <v/>
      </c>
      <c r="O15" s="7">
        <f>Mecanismos!B5*(1-F15)</f>
        <v/>
      </c>
      <c r="P15" s="7">
        <f>Mecanismos!B6*(1-I15)</f>
        <v/>
      </c>
      <c r="Q15" s="7">
        <f>Mecanismos!B9*(1-G15)</f>
        <v/>
      </c>
      <c r="R15" s="7">
        <f>Mecanismos!B3*(1-D15)</f>
        <v/>
      </c>
      <c r="S15" s="7">
        <f>Mecanismos!B9*(1-J15)</f>
        <v/>
      </c>
      <c r="T15" s="7">
        <f>Mecanismos!B8*H15</f>
        <v/>
      </c>
      <c r="U15" s="7">
        <f>Mecanismos!B10*H15</f>
        <v/>
      </c>
      <c r="V15" s="7">
        <f>Mecanismos!B8*K15</f>
        <v/>
      </c>
      <c r="W15" s="7">
        <f>SUM(L15:S15)</f>
        <v/>
      </c>
      <c r="X15" s="7">
        <f>SUM(T15:V15)</f>
        <v/>
      </c>
      <c r="Y15" s="8">
        <f>MAX(0,MIN(1,Parametros!B2-W15*Parametros!B3+X15*Parametros!B4))</f>
        <v/>
      </c>
    </row>
    <row r="16">
      <c r="A16" t="inlineStr">
        <is>
          <t>fpdnn9</t>
        </is>
      </c>
      <c r="B16" t="inlineStr">
        <is>
          <t>Ana Barbosa</t>
        </is>
      </c>
      <c r="C16" s="6" t="n">
        <v>0.6177</v>
      </c>
      <c r="D16" s="6" t="n">
        <v>0.4707</v>
      </c>
      <c r="E16" s="6" t="n">
        <v>0.6524</v>
      </c>
      <c r="F16" s="6" t="n">
        <v>0.3185</v>
      </c>
      <c r="G16" s="6" t="n">
        <v>0.1936</v>
      </c>
      <c r="H16" s="6" t="n">
        <v>0.7026</v>
      </c>
      <c r="I16" s="6" t="n">
        <v>0.4452</v>
      </c>
      <c r="J16" s="6" t="n">
        <v>0.2627</v>
      </c>
      <c r="K16" s="6" t="n">
        <v>0.6608000000000001</v>
      </c>
      <c r="L16" s="7">
        <f>Mecanismos!B2*C16</f>
        <v/>
      </c>
      <c r="M16" s="7">
        <f>Mecanismos!B7*D16</f>
        <v/>
      </c>
      <c r="N16" s="7">
        <f>Mecanismos!B4*(1-E16)</f>
        <v/>
      </c>
      <c r="O16" s="7">
        <f>Mecanismos!B5*(1-F16)</f>
        <v/>
      </c>
      <c r="P16" s="7">
        <f>Mecanismos!B6*(1-I16)</f>
        <v/>
      </c>
      <c r="Q16" s="7">
        <f>Mecanismos!B9*(1-G16)</f>
        <v/>
      </c>
      <c r="R16" s="7">
        <f>Mecanismos!B3*(1-D16)</f>
        <v/>
      </c>
      <c r="S16" s="7">
        <f>Mecanismos!B9*(1-J16)</f>
        <v/>
      </c>
      <c r="T16" s="7">
        <f>Mecanismos!B8*H16</f>
        <v/>
      </c>
      <c r="U16" s="7">
        <f>Mecanismos!B10*H16</f>
        <v/>
      </c>
      <c r="V16" s="7">
        <f>Mecanismos!B8*K16</f>
        <v/>
      </c>
      <c r="W16" s="7">
        <f>SUM(L16:S16)</f>
        <v/>
      </c>
      <c r="X16" s="7">
        <f>SUM(T16:V16)</f>
        <v/>
      </c>
      <c r="Y16" s="8">
        <f>MAX(0,MIN(1,Parametros!B2-W16*Parametros!B3+X16*Parametros!B4))</f>
        <v/>
      </c>
    </row>
    <row r="17">
      <c r="A17" t="inlineStr">
        <is>
          <t>u054is</t>
        </is>
      </c>
      <c r="B17" t="inlineStr">
        <is>
          <t>Ana Clara Cassiano</t>
        </is>
      </c>
      <c r="C17" s="6" t="n">
        <v>0.482</v>
      </c>
      <c r="D17" s="6" t="n">
        <v>0.3428</v>
      </c>
      <c r="E17" s="6" t="n">
        <v>0.4249</v>
      </c>
      <c r="F17" s="6" t="n">
        <v>0.6884</v>
      </c>
      <c r="G17" s="6" t="n">
        <v>0.3907</v>
      </c>
      <c r="H17" s="6" t="n">
        <v>0.554</v>
      </c>
      <c r="I17" s="6" t="n">
        <v>0.377</v>
      </c>
      <c r="J17" s="6" t="n">
        <v>0.834</v>
      </c>
      <c r="K17" s="6" t="n">
        <v>0.2637</v>
      </c>
      <c r="L17" s="7">
        <f>Mecanismos!B2*C17</f>
        <v/>
      </c>
      <c r="M17" s="7">
        <f>Mecanismos!B7*D17</f>
        <v/>
      </c>
      <c r="N17" s="7">
        <f>Mecanismos!B4*(1-E17)</f>
        <v/>
      </c>
      <c r="O17" s="7">
        <f>Mecanismos!B5*(1-F17)</f>
        <v/>
      </c>
      <c r="P17" s="7">
        <f>Mecanismos!B6*(1-I17)</f>
        <v/>
      </c>
      <c r="Q17" s="7">
        <f>Mecanismos!B9*(1-G17)</f>
        <v/>
      </c>
      <c r="R17" s="7">
        <f>Mecanismos!B3*(1-D17)</f>
        <v/>
      </c>
      <c r="S17" s="7">
        <f>Mecanismos!B9*(1-J17)</f>
        <v/>
      </c>
      <c r="T17" s="7">
        <f>Mecanismos!B8*H17</f>
        <v/>
      </c>
      <c r="U17" s="7">
        <f>Mecanismos!B10*H17</f>
        <v/>
      </c>
      <c r="V17" s="7">
        <f>Mecanismos!B8*K17</f>
        <v/>
      </c>
      <c r="W17" s="7">
        <f>SUM(L17:S17)</f>
        <v/>
      </c>
      <c r="X17" s="7">
        <f>SUM(T17:V17)</f>
        <v/>
      </c>
      <c r="Y17" s="8">
        <f>MAX(0,MIN(1,Parametros!B2-W17*Parametros!B3+X17*Parametros!B4))</f>
        <v/>
      </c>
    </row>
    <row r="18">
      <c r="A18" t="inlineStr">
        <is>
          <t>xgsu67</t>
        </is>
      </c>
      <c r="B18" t="inlineStr">
        <is>
          <t>Ana Clara Rios</t>
        </is>
      </c>
      <c r="C18" s="6" t="n">
        <v>0.6802</v>
      </c>
      <c r="D18" s="6" t="n">
        <v>0.6899</v>
      </c>
      <c r="E18" s="6" t="n">
        <v>0.6476</v>
      </c>
      <c r="F18" s="6" t="n">
        <v>0.5962</v>
      </c>
      <c r="G18" s="6" t="n">
        <v>0.7459</v>
      </c>
      <c r="H18" s="6" t="n">
        <v>0.3991</v>
      </c>
      <c r="I18" s="6" t="n">
        <v>0.4314</v>
      </c>
      <c r="J18" s="6" t="n">
        <v>0.8275</v>
      </c>
      <c r="K18" s="6" t="n">
        <v>0.3217</v>
      </c>
      <c r="L18" s="7">
        <f>Mecanismos!B2*C18</f>
        <v/>
      </c>
      <c r="M18" s="7">
        <f>Mecanismos!B7*D18</f>
        <v/>
      </c>
      <c r="N18" s="7">
        <f>Mecanismos!B4*(1-E18)</f>
        <v/>
      </c>
      <c r="O18" s="7">
        <f>Mecanismos!B5*(1-F18)</f>
        <v/>
      </c>
      <c r="P18" s="7">
        <f>Mecanismos!B6*(1-I18)</f>
        <v/>
      </c>
      <c r="Q18" s="7">
        <f>Mecanismos!B9*(1-G18)</f>
        <v/>
      </c>
      <c r="R18" s="7">
        <f>Mecanismos!B3*(1-D18)</f>
        <v/>
      </c>
      <c r="S18" s="7">
        <f>Mecanismos!B9*(1-J18)</f>
        <v/>
      </c>
      <c r="T18" s="7">
        <f>Mecanismos!B8*H18</f>
        <v/>
      </c>
      <c r="U18" s="7">
        <f>Mecanismos!B10*H18</f>
        <v/>
      </c>
      <c r="V18" s="7">
        <f>Mecanismos!B8*K18</f>
        <v/>
      </c>
      <c r="W18" s="7">
        <f>SUM(L18:S18)</f>
        <v/>
      </c>
      <c r="X18" s="7">
        <f>SUM(T18:V18)</f>
        <v/>
      </c>
      <c r="Y18" s="8">
        <f>MAX(0,MIN(1,Parametros!B2-W18*Parametros!B3+X18*Parametros!B4))</f>
        <v/>
      </c>
    </row>
    <row r="19">
      <c r="A19" t="inlineStr">
        <is>
          <t>y8qk5p</t>
        </is>
      </c>
      <c r="B19" t="inlineStr">
        <is>
          <t>Ana Clara Sousa</t>
        </is>
      </c>
      <c r="C19" s="6" t="n">
        <v>0.7096</v>
      </c>
      <c r="D19" s="6" t="n">
        <v>0.5046</v>
      </c>
      <c r="E19" s="6" t="n">
        <v>0.4867</v>
      </c>
      <c r="F19" s="6" t="n">
        <v>0.4112</v>
      </c>
      <c r="G19" s="6" t="n">
        <v>0.4019</v>
      </c>
      <c r="H19" s="6" t="n">
        <v>0.5574</v>
      </c>
      <c r="I19" s="6" t="n">
        <v>0.4573</v>
      </c>
      <c r="J19" s="6" t="n">
        <v>0.6935</v>
      </c>
      <c r="K19" s="6" t="n">
        <v>0.6738</v>
      </c>
      <c r="L19" s="7">
        <f>Mecanismos!B2*C19</f>
        <v/>
      </c>
      <c r="M19" s="7">
        <f>Mecanismos!B7*D19</f>
        <v/>
      </c>
      <c r="N19" s="7">
        <f>Mecanismos!B4*(1-E19)</f>
        <v/>
      </c>
      <c r="O19" s="7">
        <f>Mecanismos!B5*(1-F19)</f>
        <v/>
      </c>
      <c r="P19" s="7">
        <f>Mecanismos!B6*(1-I19)</f>
        <v/>
      </c>
      <c r="Q19" s="7">
        <f>Mecanismos!B9*(1-G19)</f>
        <v/>
      </c>
      <c r="R19" s="7">
        <f>Mecanismos!B3*(1-D19)</f>
        <v/>
      </c>
      <c r="S19" s="7">
        <f>Mecanismos!B9*(1-J19)</f>
        <v/>
      </c>
      <c r="T19" s="7">
        <f>Mecanismos!B8*H19</f>
        <v/>
      </c>
      <c r="U19" s="7">
        <f>Mecanismos!B10*H19</f>
        <v/>
      </c>
      <c r="V19" s="7">
        <f>Mecanismos!B8*K19</f>
        <v/>
      </c>
      <c r="W19" s="7">
        <f>SUM(L19:S19)</f>
        <v/>
      </c>
      <c r="X19" s="7">
        <f>SUM(T19:V19)</f>
        <v/>
      </c>
      <c r="Y19" s="8">
        <f>MAX(0,MIN(1,Parametros!B2-W19*Parametros!B3+X19*Parametros!B4))</f>
        <v/>
      </c>
    </row>
    <row r="20">
      <c r="A20" t="inlineStr">
        <is>
          <t>fzr0b1</t>
        </is>
      </c>
      <c r="B20" t="inlineStr">
        <is>
          <t>Ana Julia Fogaça</t>
        </is>
      </c>
      <c r="C20" s="6" t="n">
        <v>0.5371</v>
      </c>
      <c r="D20" s="6" t="n">
        <v>0.2871</v>
      </c>
      <c r="E20" s="6" t="n">
        <v>0.5211</v>
      </c>
      <c r="F20" s="6" t="n">
        <v>0.9073</v>
      </c>
      <c r="G20" s="6" t="n">
        <v>0.4671</v>
      </c>
      <c r="H20" s="6" t="n">
        <v>0.2976</v>
      </c>
      <c r="I20" s="6" t="n">
        <v>0.9482</v>
      </c>
      <c r="J20" s="6" t="n">
        <v>0.847</v>
      </c>
      <c r="K20" s="6" t="n">
        <v>0.7314000000000001</v>
      </c>
      <c r="L20" s="7">
        <f>Mecanismos!B2*C20</f>
        <v/>
      </c>
      <c r="M20" s="7">
        <f>Mecanismos!B7*D20</f>
        <v/>
      </c>
      <c r="N20" s="7">
        <f>Mecanismos!B4*(1-E20)</f>
        <v/>
      </c>
      <c r="O20" s="7">
        <f>Mecanismos!B5*(1-F20)</f>
        <v/>
      </c>
      <c r="P20" s="7">
        <f>Mecanismos!B6*(1-I20)</f>
        <v/>
      </c>
      <c r="Q20" s="7">
        <f>Mecanismos!B9*(1-G20)</f>
        <v/>
      </c>
      <c r="R20" s="7">
        <f>Mecanismos!B3*(1-D20)</f>
        <v/>
      </c>
      <c r="S20" s="7">
        <f>Mecanismos!B9*(1-J20)</f>
        <v/>
      </c>
      <c r="T20" s="7">
        <f>Mecanismos!B8*H20</f>
        <v/>
      </c>
      <c r="U20" s="7">
        <f>Mecanismos!B10*H20</f>
        <v/>
      </c>
      <c r="V20" s="7">
        <f>Mecanismos!B8*K20</f>
        <v/>
      </c>
      <c r="W20" s="7">
        <f>SUM(L20:S20)</f>
        <v/>
      </c>
      <c r="X20" s="7">
        <f>SUM(T20:V20)</f>
        <v/>
      </c>
      <c r="Y20" s="8">
        <f>MAX(0,MIN(1,Parametros!B2-W20*Parametros!B3+X20*Parametros!B4))</f>
        <v/>
      </c>
    </row>
    <row r="21">
      <c r="A21" t="inlineStr">
        <is>
          <t>qzmdtd</t>
        </is>
      </c>
      <c r="B21" t="inlineStr">
        <is>
          <t>Ana Laura Teixeira</t>
        </is>
      </c>
      <c r="C21" s="6" t="n">
        <v>0.6281</v>
      </c>
      <c r="D21" s="6" t="n">
        <v>0.4908</v>
      </c>
      <c r="E21" s="6" t="n">
        <v>0.5673</v>
      </c>
      <c r="F21" s="6" t="n">
        <v>0.4507</v>
      </c>
      <c r="G21" s="6" t="n">
        <v>0.3665</v>
      </c>
      <c r="H21" s="6" t="n">
        <v>0.6074000000000001</v>
      </c>
      <c r="I21" s="6" t="n">
        <v>0.7429</v>
      </c>
      <c r="J21" s="6" t="n">
        <v>0.8381999999999999</v>
      </c>
      <c r="K21" s="6" t="n">
        <v>0.3408</v>
      </c>
      <c r="L21" s="7">
        <f>Mecanismos!B2*C21</f>
        <v/>
      </c>
      <c r="M21" s="7">
        <f>Mecanismos!B7*D21</f>
        <v/>
      </c>
      <c r="N21" s="7">
        <f>Mecanismos!B4*(1-E21)</f>
        <v/>
      </c>
      <c r="O21" s="7">
        <f>Mecanismos!B5*(1-F21)</f>
        <v/>
      </c>
      <c r="P21" s="7">
        <f>Mecanismos!B6*(1-I21)</f>
        <v/>
      </c>
      <c r="Q21" s="7">
        <f>Mecanismos!B9*(1-G21)</f>
        <v/>
      </c>
      <c r="R21" s="7">
        <f>Mecanismos!B3*(1-D21)</f>
        <v/>
      </c>
      <c r="S21" s="7">
        <f>Mecanismos!B9*(1-J21)</f>
        <v/>
      </c>
      <c r="T21" s="7">
        <f>Mecanismos!B8*H21</f>
        <v/>
      </c>
      <c r="U21" s="7">
        <f>Mecanismos!B10*H21</f>
        <v/>
      </c>
      <c r="V21" s="7">
        <f>Mecanismos!B8*K21</f>
        <v/>
      </c>
      <c r="W21" s="7">
        <f>SUM(L21:S21)</f>
        <v/>
      </c>
      <c r="X21" s="7">
        <f>SUM(T21:V21)</f>
        <v/>
      </c>
      <c r="Y21" s="8">
        <f>MAX(0,MIN(1,Parametros!B2-W21*Parametros!B3+X21*Parametros!B4))</f>
        <v/>
      </c>
    </row>
    <row r="22">
      <c r="A22" t="inlineStr">
        <is>
          <t>bnq4g8</t>
        </is>
      </c>
      <c r="B22" t="inlineStr">
        <is>
          <t>Ana Laura Vasconcelos</t>
        </is>
      </c>
      <c r="C22" s="6" t="n">
        <v>0.5275</v>
      </c>
      <c r="D22" s="6" t="n">
        <v>0.2379</v>
      </c>
      <c r="E22" s="6" t="n">
        <v>0.2763</v>
      </c>
      <c r="F22" s="6" t="n">
        <v>0.543</v>
      </c>
      <c r="G22" s="6" t="n">
        <v>0.5091</v>
      </c>
      <c r="H22" s="6" t="n">
        <v>0.6506</v>
      </c>
      <c r="I22" s="6" t="n">
        <v>0.6223</v>
      </c>
      <c r="J22" s="6" t="n">
        <v>0.8881</v>
      </c>
      <c r="K22" s="6" t="n">
        <v>0.7897</v>
      </c>
      <c r="L22" s="7">
        <f>Mecanismos!B2*C22</f>
        <v/>
      </c>
      <c r="M22" s="7">
        <f>Mecanismos!B7*D22</f>
        <v/>
      </c>
      <c r="N22" s="7">
        <f>Mecanismos!B4*(1-E22)</f>
        <v/>
      </c>
      <c r="O22" s="7">
        <f>Mecanismos!B5*(1-F22)</f>
        <v/>
      </c>
      <c r="P22" s="7">
        <f>Mecanismos!B6*(1-I22)</f>
        <v/>
      </c>
      <c r="Q22" s="7">
        <f>Mecanismos!B9*(1-G22)</f>
        <v/>
      </c>
      <c r="R22" s="7">
        <f>Mecanismos!B3*(1-D22)</f>
        <v/>
      </c>
      <c r="S22" s="7">
        <f>Mecanismos!B9*(1-J22)</f>
        <v/>
      </c>
      <c r="T22" s="7">
        <f>Mecanismos!B8*H22</f>
        <v/>
      </c>
      <c r="U22" s="7">
        <f>Mecanismos!B10*H22</f>
        <v/>
      </c>
      <c r="V22" s="7">
        <f>Mecanismos!B8*K22</f>
        <v/>
      </c>
      <c r="W22" s="7">
        <f>SUM(L22:S22)</f>
        <v/>
      </c>
      <c r="X22" s="7">
        <f>SUM(T22:V22)</f>
        <v/>
      </c>
      <c r="Y22" s="8">
        <f>MAX(0,MIN(1,Parametros!B2-W22*Parametros!B3+X22*Parametros!B4))</f>
        <v/>
      </c>
    </row>
    <row r="23">
      <c r="A23" t="inlineStr">
        <is>
          <t>3slswy</t>
        </is>
      </c>
      <c r="B23" t="inlineStr">
        <is>
          <t>Ana Laura da Rosa</t>
        </is>
      </c>
      <c r="C23" s="6" t="n">
        <v>0.7673</v>
      </c>
      <c r="D23" s="6" t="n">
        <v>0.291</v>
      </c>
      <c r="E23" s="6" t="n">
        <v>0.6108</v>
      </c>
      <c r="F23" s="6" t="n">
        <v>0.4839</v>
      </c>
      <c r="G23" s="6" t="n">
        <v>0.518</v>
      </c>
      <c r="H23" s="6" t="n">
        <v>0.5109</v>
      </c>
      <c r="I23" s="6" t="n">
        <v>0.4589</v>
      </c>
      <c r="J23" s="6" t="n">
        <v>0.7554999999999999</v>
      </c>
      <c r="K23" s="6" t="n">
        <v>0.744</v>
      </c>
      <c r="L23" s="7">
        <f>Mecanismos!B2*C23</f>
        <v/>
      </c>
      <c r="M23" s="7">
        <f>Mecanismos!B7*D23</f>
        <v/>
      </c>
      <c r="N23" s="7">
        <f>Mecanismos!B4*(1-E23)</f>
        <v/>
      </c>
      <c r="O23" s="7">
        <f>Mecanismos!B5*(1-F23)</f>
        <v/>
      </c>
      <c r="P23" s="7">
        <f>Mecanismos!B6*(1-I23)</f>
        <v/>
      </c>
      <c r="Q23" s="7">
        <f>Mecanismos!B9*(1-G23)</f>
        <v/>
      </c>
      <c r="R23" s="7">
        <f>Mecanismos!B3*(1-D23)</f>
        <v/>
      </c>
      <c r="S23" s="7">
        <f>Mecanismos!B9*(1-J23)</f>
        <v/>
      </c>
      <c r="T23" s="7">
        <f>Mecanismos!B8*H23</f>
        <v/>
      </c>
      <c r="U23" s="7">
        <f>Mecanismos!B10*H23</f>
        <v/>
      </c>
      <c r="V23" s="7">
        <f>Mecanismos!B8*K23</f>
        <v/>
      </c>
      <c r="W23" s="7">
        <f>SUM(L23:S23)</f>
        <v/>
      </c>
      <c r="X23" s="7">
        <f>SUM(T23:V23)</f>
        <v/>
      </c>
      <c r="Y23" s="8">
        <f>MAX(0,MIN(1,Parametros!B2-W23*Parametros!B3+X23*Parametros!B4))</f>
        <v/>
      </c>
    </row>
    <row r="24">
      <c r="A24" t="inlineStr">
        <is>
          <t>sjao07</t>
        </is>
      </c>
      <c r="B24" t="inlineStr">
        <is>
          <t>Ana Liz Borges</t>
        </is>
      </c>
      <c r="C24" s="6" t="n">
        <v>0.4846</v>
      </c>
      <c r="D24" s="6" t="n">
        <v>0.0926</v>
      </c>
      <c r="E24" s="6" t="n">
        <v>0.5595</v>
      </c>
      <c r="F24" s="6" t="n">
        <v>0.3968</v>
      </c>
      <c r="G24" s="6" t="n">
        <v>0.4163</v>
      </c>
      <c r="H24" s="6" t="n">
        <v>0.5266</v>
      </c>
      <c r="I24" s="6" t="n">
        <v>0.5485</v>
      </c>
      <c r="J24" s="6" t="n">
        <v>0.9257</v>
      </c>
      <c r="K24" s="6" t="n">
        <v>0.4696</v>
      </c>
      <c r="L24" s="7">
        <f>Mecanismos!B2*C24</f>
        <v/>
      </c>
      <c r="M24" s="7">
        <f>Mecanismos!B7*D24</f>
        <v/>
      </c>
      <c r="N24" s="7">
        <f>Mecanismos!B4*(1-E24)</f>
        <v/>
      </c>
      <c r="O24" s="7">
        <f>Mecanismos!B5*(1-F24)</f>
        <v/>
      </c>
      <c r="P24" s="7">
        <f>Mecanismos!B6*(1-I24)</f>
        <v/>
      </c>
      <c r="Q24" s="7">
        <f>Mecanismos!B9*(1-G24)</f>
        <v/>
      </c>
      <c r="R24" s="7">
        <f>Mecanismos!B3*(1-D24)</f>
        <v/>
      </c>
      <c r="S24" s="7">
        <f>Mecanismos!B9*(1-J24)</f>
        <v/>
      </c>
      <c r="T24" s="7">
        <f>Mecanismos!B8*H24</f>
        <v/>
      </c>
      <c r="U24" s="7">
        <f>Mecanismos!B10*H24</f>
        <v/>
      </c>
      <c r="V24" s="7">
        <f>Mecanismos!B8*K24</f>
        <v/>
      </c>
      <c r="W24" s="7">
        <f>SUM(L24:S24)</f>
        <v/>
      </c>
      <c r="X24" s="7">
        <f>SUM(T24:V24)</f>
        <v/>
      </c>
      <c r="Y24" s="8">
        <f>MAX(0,MIN(1,Parametros!B2-W24*Parametros!B3+X24*Parametros!B4))</f>
        <v/>
      </c>
    </row>
    <row r="25">
      <c r="A25" t="inlineStr">
        <is>
          <t>ubeq1i</t>
        </is>
      </c>
      <c r="B25" t="inlineStr">
        <is>
          <t>Ana Lívia Martins</t>
        </is>
      </c>
      <c r="C25" s="6" t="n">
        <v>0.4008</v>
      </c>
      <c r="D25" s="6" t="n">
        <v>0.4217</v>
      </c>
      <c r="E25" s="6" t="n">
        <v>0.6392</v>
      </c>
      <c r="F25" s="6" t="n">
        <v>0.4039</v>
      </c>
      <c r="G25" s="6" t="n">
        <v>0.3616</v>
      </c>
      <c r="H25" s="6" t="n">
        <v>0.5483</v>
      </c>
      <c r="I25" s="6" t="n">
        <v>0.6078</v>
      </c>
      <c r="J25" s="6" t="n">
        <v>0.7788</v>
      </c>
      <c r="K25" s="6" t="n">
        <v>0.8832</v>
      </c>
      <c r="L25" s="7">
        <f>Mecanismos!B2*C25</f>
        <v/>
      </c>
      <c r="M25" s="7">
        <f>Mecanismos!B7*D25</f>
        <v/>
      </c>
      <c r="N25" s="7">
        <f>Mecanismos!B4*(1-E25)</f>
        <v/>
      </c>
      <c r="O25" s="7">
        <f>Mecanismos!B5*(1-F25)</f>
        <v/>
      </c>
      <c r="P25" s="7">
        <f>Mecanismos!B6*(1-I25)</f>
        <v/>
      </c>
      <c r="Q25" s="7">
        <f>Mecanismos!B9*(1-G25)</f>
        <v/>
      </c>
      <c r="R25" s="7">
        <f>Mecanismos!B3*(1-D25)</f>
        <v/>
      </c>
      <c r="S25" s="7">
        <f>Mecanismos!B9*(1-J25)</f>
        <v/>
      </c>
      <c r="T25" s="7">
        <f>Mecanismos!B8*H25</f>
        <v/>
      </c>
      <c r="U25" s="7">
        <f>Mecanismos!B10*H25</f>
        <v/>
      </c>
      <c r="V25" s="7">
        <f>Mecanismos!B8*K25</f>
        <v/>
      </c>
      <c r="W25" s="7">
        <f>SUM(L25:S25)</f>
        <v/>
      </c>
      <c r="X25" s="7">
        <f>SUM(T25:V25)</f>
        <v/>
      </c>
      <c r="Y25" s="8">
        <f>MAX(0,MIN(1,Parametros!B2-W25*Parametros!B3+X25*Parametros!B4))</f>
        <v/>
      </c>
    </row>
    <row r="26">
      <c r="A26" t="inlineStr">
        <is>
          <t>gco66u</t>
        </is>
      </c>
      <c r="B26" t="inlineStr">
        <is>
          <t>Ana Lívia Nogueira</t>
        </is>
      </c>
      <c r="C26" s="6" t="n">
        <v>0.6831</v>
      </c>
      <c r="D26" s="6" t="n">
        <v>0.5648</v>
      </c>
      <c r="E26" s="6" t="n">
        <v>0.4168</v>
      </c>
      <c r="F26" s="6" t="n">
        <v>0.3449</v>
      </c>
      <c r="G26" s="6" t="n">
        <v>0.4306</v>
      </c>
      <c r="H26" s="6" t="n">
        <v>0.3484</v>
      </c>
      <c r="I26" s="6" t="n">
        <v>0.6591</v>
      </c>
      <c r="J26" s="6" t="n">
        <v>0.828</v>
      </c>
      <c r="K26" s="6" t="n">
        <v>0.6324</v>
      </c>
      <c r="L26" s="7">
        <f>Mecanismos!B2*C26</f>
        <v/>
      </c>
      <c r="M26" s="7">
        <f>Mecanismos!B7*D26</f>
        <v/>
      </c>
      <c r="N26" s="7">
        <f>Mecanismos!B4*(1-E26)</f>
        <v/>
      </c>
      <c r="O26" s="7">
        <f>Mecanismos!B5*(1-F26)</f>
        <v/>
      </c>
      <c r="P26" s="7">
        <f>Mecanismos!B6*(1-I26)</f>
        <v/>
      </c>
      <c r="Q26" s="7">
        <f>Mecanismos!B9*(1-G26)</f>
        <v/>
      </c>
      <c r="R26" s="7">
        <f>Mecanismos!B3*(1-D26)</f>
        <v/>
      </c>
      <c r="S26" s="7">
        <f>Mecanismos!B9*(1-J26)</f>
        <v/>
      </c>
      <c r="T26" s="7">
        <f>Mecanismos!B8*H26</f>
        <v/>
      </c>
      <c r="U26" s="7">
        <f>Mecanismos!B10*H26</f>
        <v/>
      </c>
      <c r="V26" s="7">
        <f>Mecanismos!B8*K26</f>
        <v/>
      </c>
      <c r="W26" s="7">
        <f>SUM(L26:S26)</f>
        <v/>
      </c>
      <c r="X26" s="7">
        <f>SUM(T26:V26)</f>
        <v/>
      </c>
      <c r="Y26" s="8">
        <f>MAX(0,MIN(1,Parametros!B2-W26*Parametros!B3+X26*Parametros!B4))</f>
        <v/>
      </c>
    </row>
    <row r="27">
      <c r="A27" t="inlineStr">
        <is>
          <t>vnl0qe</t>
        </is>
      </c>
      <c r="B27" t="inlineStr">
        <is>
          <t>Ana Rodrigues</t>
        </is>
      </c>
      <c r="C27" s="6" t="n">
        <v>0.5674</v>
      </c>
      <c r="D27" s="6" t="n">
        <v>0.3866</v>
      </c>
      <c r="E27" s="6" t="n">
        <v>0.6072</v>
      </c>
      <c r="F27" s="6" t="n">
        <v>0.4133</v>
      </c>
      <c r="G27" s="6" t="n">
        <v>0.5369</v>
      </c>
      <c r="H27" s="6" t="n">
        <v>0.8358</v>
      </c>
      <c r="I27" s="6" t="n">
        <v>0.3012</v>
      </c>
      <c r="J27" s="6" t="n">
        <v>0.4514</v>
      </c>
      <c r="K27" s="6" t="n">
        <v>0.728</v>
      </c>
      <c r="L27" s="7">
        <f>Mecanismos!B2*C27</f>
        <v/>
      </c>
      <c r="M27" s="7">
        <f>Mecanismos!B7*D27</f>
        <v/>
      </c>
      <c r="N27" s="7">
        <f>Mecanismos!B4*(1-E27)</f>
        <v/>
      </c>
      <c r="O27" s="7">
        <f>Mecanismos!B5*(1-F27)</f>
        <v/>
      </c>
      <c r="P27" s="7">
        <f>Mecanismos!B6*(1-I27)</f>
        <v/>
      </c>
      <c r="Q27" s="7">
        <f>Mecanismos!B9*(1-G27)</f>
        <v/>
      </c>
      <c r="R27" s="7">
        <f>Mecanismos!B3*(1-D27)</f>
        <v/>
      </c>
      <c r="S27" s="7">
        <f>Mecanismos!B9*(1-J27)</f>
        <v/>
      </c>
      <c r="T27" s="7">
        <f>Mecanismos!B8*H27</f>
        <v/>
      </c>
      <c r="U27" s="7">
        <f>Mecanismos!B10*H27</f>
        <v/>
      </c>
      <c r="V27" s="7">
        <f>Mecanismos!B8*K27</f>
        <v/>
      </c>
      <c r="W27" s="7">
        <f>SUM(L27:S27)</f>
        <v/>
      </c>
      <c r="X27" s="7">
        <f>SUM(T27:V27)</f>
        <v/>
      </c>
      <c r="Y27" s="8">
        <f>MAX(0,MIN(1,Parametros!B2-W27*Parametros!B3+X27*Parametros!B4))</f>
        <v/>
      </c>
    </row>
    <row r="28">
      <c r="A28" t="inlineStr">
        <is>
          <t>n9nc23</t>
        </is>
      </c>
      <c r="B28" t="inlineStr">
        <is>
          <t>Ana Silva</t>
        </is>
      </c>
      <c r="C28" s="6" t="n">
        <v>0.7249</v>
      </c>
      <c r="D28" s="6" t="n">
        <v>0.5329</v>
      </c>
      <c r="E28" s="6" t="n">
        <v>0.5652</v>
      </c>
      <c r="F28" s="6" t="n">
        <v>0.7298</v>
      </c>
      <c r="G28" s="6" t="n">
        <v>0.4544</v>
      </c>
      <c r="H28" s="6" t="n">
        <v>0.3764</v>
      </c>
      <c r="I28" s="6" t="n">
        <v>0.6075</v>
      </c>
      <c r="J28" s="6" t="n">
        <v>0.704</v>
      </c>
      <c r="K28" s="6" t="n">
        <v>0.2905</v>
      </c>
      <c r="L28" s="7">
        <f>Mecanismos!B2*C28</f>
        <v/>
      </c>
      <c r="M28" s="7">
        <f>Mecanismos!B7*D28</f>
        <v/>
      </c>
      <c r="N28" s="7">
        <f>Mecanismos!B4*(1-E28)</f>
        <v/>
      </c>
      <c r="O28" s="7">
        <f>Mecanismos!B5*(1-F28)</f>
        <v/>
      </c>
      <c r="P28" s="7">
        <f>Mecanismos!B6*(1-I28)</f>
        <v/>
      </c>
      <c r="Q28" s="7">
        <f>Mecanismos!B9*(1-G28)</f>
        <v/>
      </c>
      <c r="R28" s="7">
        <f>Mecanismos!B3*(1-D28)</f>
        <v/>
      </c>
      <c r="S28" s="7">
        <f>Mecanismos!B9*(1-J28)</f>
        <v/>
      </c>
      <c r="T28" s="7">
        <f>Mecanismos!B8*H28</f>
        <v/>
      </c>
      <c r="U28" s="7">
        <f>Mecanismos!B10*H28</f>
        <v/>
      </c>
      <c r="V28" s="7">
        <f>Mecanismos!B8*K28</f>
        <v/>
      </c>
      <c r="W28" s="7">
        <f>SUM(L28:S28)</f>
        <v/>
      </c>
      <c r="X28" s="7">
        <f>SUM(T28:V28)</f>
        <v/>
      </c>
      <c r="Y28" s="8">
        <f>MAX(0,MIN(1,Parametros!B2-W28*Parametros!B3+X28*Parametros!B4))</f>
        <v/>
      </c>
    </row>
    <row r="29">
      <c r="A29" t="inlineStr">
        <is>
          <t>55u0d2</t>
        </is>
      </c>
      <c r="B29" t="inlineStr">
        <is>
          <t>Ana Sophia Nascimento</t>
        </is>
      </c>
      <c r="C29" s="6" t="n">
        <v>0.3826</v>
      </c>
      <c r="D29" s="6" t="n">
        <v>0.5293</v>
      </c>
      <c r="E29" s="6" t="n">
        <v>0.5101</v>
      </c>
      <c r="F29" s="6" t="n">
        <v>0.4367</v>
      </c>
      <c r="G29" s="6" t="n">
        <v>0.7156</v>
      </c>
      <c r="H29" s="6" t="n">
        <v>0.7393999999999999</v>
      </c>
      <c r="I29" s="6" t="n">
        <v>0.6999</v>
      </c>
      <c r="J29" s="6" t="n">
        <v>0.8958</v>
      </c>
      <c r="K29" s="6" t="n">
        <v>0.6657</v>
      </c>
      <c r="L29" s="7">
        <f>Mecanismos!B2*C29</f>
        <v/>
      </c>
      <c r="M29" s="7">
        <f>Mecanismos!B7*D29</f>
        <v/>
      </c>
      <c r="N29" s="7">
        <f>Mecanismos!B4*(1-E29)</f>
        <v/>
      </c>
      <c r="O29" s="7">
        <f>Mecanismos!B5*(1-F29)</f>
        <v/>
      </c>
      <c r="P29" s="7">
        <f>Mecanismos!B6*(1-I29)</f>
        <v/>
      </c>
      <c r="Q29" s="7">
        <f>Mecanismos!B9*(1-G29)</f>
        <v/>
      </c>
      <c r="R29" s="7">
        <f>Mecanismos!B3*(1-D29)</f>
        <v/>
      </c>
      <c r="S29" s="7">
        <f>Mecanismos!B9*(1-J29)</f>
        <v/>
      </c>
      <c r="T29" s="7">
        <f>Mecanismos!B8*H29</f>
        <v/>
      </c>
      <c r="U29" s="7">
        <f>Mecanismos!B10*H29</f>
        <v/>
      </c>
      <c r="V29" s="7">
        <f>Mecanismos!B8*K29</f>
        <v/>
      </c>
      <c r="W29" s="7">
        <f>SUM(L29:S29)</f>
        <v/>
      </c>
      <c r="X29" s="7">
        <f>SUM(T29:V29)</f>
        <v/>
      </c>
      <c r="Y29" s="8">
        <f>MAX(0,MIN(1,Parametros!B2-W29*Parametros!B3+X29*Parametros!B4))</f>
        <v/>
      </c>
    </row>
    <row r="30">
      <c r="A30" t="inlineStr">
        <is>
          <t>tkas9o</t>
        </is>
      </c>
      <c r="B30" t="inlineStr">
        <is>
          <t>Ana Sophia Rocha</t>
        </is>
      </c>
      <c r="C30" s="6" t="n">
        <v>0.5473</v>
      </c>
      <c r="D30" s="6" t="n">
        <v>0.2928</v>
      </c>
      <c r="E30" s="6" t="n">
        <v>0.6952</v>
      </c>
      <c r="F30" s="6" t="n">
        <v>0.4635</v>
      </c>
      <c r="G30" s="6" t="n">
        <v>0.4481</v>
      </c>
      <c r="H30" s="6" t="n">
        <v>0.5276</v>
      </c>
      <c r="I30" s="6" t="n">
        <v>0.6712</v>
      </c>
      <c r="J30" s="6" t="n">
        <v>0.8159</v>
      </c>
      <c r="K30" s="6" t="n">
        <v>0.4069</v>
      </c>
      <c r="L30" s="7">
        <f>Mecanismos!B2*C30</f>
        <v/>
      </c>
      <c r="M30" s="7">
        <f>Mecanismos!B7*D30</f>
        <v/>
      </c>
      <c r="N30" s="7">
        <f>Mecanismos!B4*(1-E30)</f>
        <v/>
      </c>
      <c r="O30" s="7">
        <f>Mecanismos!B5*(1-F30)</f>
        <v/>
      </c>
      <c r="P30" s="7">
        <f>Mecanismos!B6*(1-I30)</f>
        <v/>
      </c>
      <c r="Q30" s="7">
        <f>Mecanismos!B9*(1-G30)</f>
        <v/>
      </c>
      <c r="R30" s="7">
        <f>Mecanismos!B3*(1-D30)</f>
        <v/>
      </c>
      <c r="S30" s="7">
        <f>Mecanismos!B9*(1-J30)</f>
        <v/>
      </c>
      <c r="T30" s="7">
        <f>Mecanismos!B8*H30</f>
        <v/>
      </c>
      <c r="U30" s="7">
        <f>Mecanismos!B10*H30</f>
        <v/>
      </c>
      <c r="V30" s="7">
        <f>Mecanismos!B8*K30</f>
        <v/>
      </c>
      <c r="W30" s="7">
        <f>SUM(L30:S30)</f>
        <v/>
      </c>
      <c r="X30" s="7">
        <f>SUM(T30:V30)</f>
        <v/>
      </c>
      <c r="Y30" s="8">
        <f>MAX(0,MIN(1,Parametros!B2-W30*Parametros!B3+X30*Parametros!B4))</f>
        <v/>
      </c>
    </row>
    <row r="31">
      <c r="A31" t="inlineStr">
        <is>
          <t>lnskvf</t>
        </is>
      </c>
      <c r="B31" t="inlineStr">
        <is>
          <t>Ana Sophia Silva</t>
        </is>
      </c>
      <c r="C31" s="6" t="n">
        <v>0.6032999999999999</v>
      </c>
      <c r="D31" s="6" t="n">
        <v>0.5706</v>
      </c>
      <c r="E31" s="6" t="n">
        <v>0.5738</v>
      </c>
      <c r="F31" s="6" t="n">
        <v>0.6856</v>
      </c>
      <c r="G31" s="6" t="n">
        <v>0.625</v>
      </c>
      <c r="H31" s="6" t="n">
        <v>0.6358</v>
      </c>
      <c r="I31" s="6" t="n">
        <v>0.737</v>
      </c>
      <c r="J31" s="6" t="n">
        <v>0.8136</v>
      </c>
      <c r="K31" s="6" t="n">
        <v>0.9127</v>
      </c>
      <c r="L31" s="7">
        <f>Mecanismos!B2*C31</f>
        <v/>
      </c>
      <c r="M31" s="7">
        <f>Mecanismos!B7*D31</f>
        <v/>
      </c>
      <c r="N31" s="7">
        <f>Mecanismos!B4*(1-E31)</f>
        <v/>
      </c>
      <c r="O31" s="7">
        <f>Mecanismos!B5*(1-F31)</f>
        <v/>
      </c>
      <c r="P31" s="7">
        <f>Mecanismos!B6*(1-I31)</f>
        <v/>
      </c>
      <c r="Q31" s="7">
        <f>Mecanismos!B9*(1-G31)</f>
        <v/>
      </c>
      <c r="R31" s="7">
        <f>Mecanismos!B3*(1-D31)</f>
        <v/>
      </c>
      <c r="S31" s="7">
        <f>Mecanismos!B9*(1-J31)</f>
        <v/>
      </c>
      <c r="T31" s="7">
        <f>Mecanismos!B8*H31</f>
        <v/>
      </c>
      <c r="U31" s="7">
        <f>Mecanismos!B10*H31</f>
        <v/>
      </c>
      <c r="V31" s="7">
        <f>Mecanismos!B8*K31</f>
        <v/>
      </c>
      <c r="W31" s="7">
        <f>SUM(L31:S31)</f>
        <v/>
      </c>
      <c r="X31" s="7">
        <f>SUM(T31:V31)</f>
        <v/>
      </c>
      <c r="Y31" s="8">
        <f>MAX(0,MIN(1,Parametros!B2-W31*Parametros!B3+X31*Parametros!B4))</f>
        <v/>
      </c>
    </row>
    <row r="32">
      <c r="A32" t="inlineStr">
        <is>
          <t>bycjlg</t>
        </is>
      </c>
      <c r="B32" t="inlineStr">
        <is>
          <t>Ana Vitória Leão</t>
        </is>
      </c>
      <c r="C32" s="6" t="n">
        <v>0.3706</v>
      </c>
      <c r="D32" s="6" t="n">
        <v>0.7252999999999999</v>
      </c>
      <c r="E32" s="6" t="n">
        <v>0.2394</v>
      </c>
      <c r="F32" s="6" t="n">
        <v>0.653</v>
      </c>
      <c r="G32" s="6" t="n">
        <v>0.6151</v>
      </c>
      <c r="H32" s="6" t="n">
        <v>0.5171</v>
      </c>
      <c r="I32" s="6" t="n">
        <v>0.8532999999999999</v>
      </c>
      <c r="J32" s="6" t="n">
        <v>0.8808</v>
      </c>
      <c r="K32" s="6" t="n">
        <v>0.8521</v>
      </c>
      <c r="L32" s="7">
        <f>Mecanismos!B2*C32</f>
        <v/>
      </c>
      <c r="M32" s="7">
        <f>Mecanismos!B7*D32</f>
        <v/>
      </c>
      <c r="N32" s="7">
        <f>Mecanismos!B4*(1-E32)</f>
        <v/>
      </c>
      <c r="O32" s="7">
        <f>Mecanismos!B5*(1-F32)</f>
        <v/>
      </c>
      <c r="P32" s="7">
        <f>Mecanismos!B6*(1-I32)</f>
        <v/>
      </c>
      <c r="Q32" s="7">
        <f>Mecanismos!B9*(1-G32)</f>
        <v/>
      </c>
      <c r="R32" s="7">
        <f>Mecanismos!B3*(1-D32)</f>
        <v/>
      </c>
      <c r="S32" s="7">
        <f>Mecanismos!B9*(1-J32)</f>
        <v/>
      </c>
      <c r="T32" s="7">
        <f>Mecanismos!B8*H32</f>
        <v/>
      </c>
      <c r="U32" s="7">
        <f>Mecanismos!B10*H32</f>
        <v/>
      </c>
      <c r="V32" s="7">
        <f>Mecanismos!B8*K32</f>
        <v/>
      </c>
      <c r="W32" s="7">
        <f>SUM(L32:S32)</f>
        <v/>
      </c>
      <c r="X32" s="7">
        <f>SUM(T32:V32)</f>
        <v/>
      </c>
      <c r="Y32" s="8">
        <f>MAX(0,MIN(1,Parametros!B2-W32*Parametros!B3+X32*Parametros!B4))</f>
        <v/>
      </c>
    </row>
    <row r="33">
      <c r="A33" t="inlineStr">
        <is>
          <t>tlv0r3</t>
        </is>
      </c>
      <c r="B33" t="inlineStr">
        <is>
          <t>Ana Vitória Novais</t>
        </is>
      </c>
      <c r="C33" s="6" t="n">
        <v>0.792</v>
      </c>
      <c r="D33" s="6" t="n">
        <v>0.6549</v>
      </c>
      <c r="E33" s="6" t="n">
        <v>0.5235</v>
      </c>
      <c r="F33" s="6" t="n">
        <v>0.7449</v>
      </c>
      <c r="G33" s="6" t="n">
        <v>0.5798</v>
      </c>
      <c r="H33" s="6" t="n">
        <v>0.4968</v>
      </c>
      <c r="I33" s="6" t="n">
        <v>0.717</v>
      </c>
      <c r="J33" s="6" t="n">
        <v>0.8845</v>
      </c>
      <c r="K33" s="6" t="n">
        <v>0.7549</v>
      </c>
      <c r="L33" s="7">
        <f>Mecanismos!B2*C33</f>
        <v/>
      </c>
      <c r="M33" s="7">
        <f>Mecanismos!B7*D33</f>
        <v/>
      </c>
      <c r="N33" s="7">
        <f>Mecanismos!B4*(1-E33)</f>
        <v/>
      </c>
      <c r="O33" s="7">
        <f>Mecanismos!B5*(1-F33)</f>
        <v/>
      </c>
      <c r="P33" s="7">
        <f>Mecanismos!B6*(1-I33)</f>
        <v/>
      </c>
      <c r="Q33" s="7">
        <f>Mecanismos!B9*(1-G33)</f>
        <v/>
      </c>
      <c r="R33" s="7">
        <f>Mecanismos!B3*(1-D33)</f>
        <v/>
      </c>
      <c r="S33" s="7">
        <f>Mecanismos!B9*(1-J33)</f>
        <v/>
      </c>
      <c r="T33" s="7">
        <f>Mecanismos!B8*H33</f>
        <v/>
      </c>
      <c r="U33" s="7">
        <f>Mecanismos!B10*H33</f>
        <v/>
      </c>
      <c r="V33" s="7">
        <f>Mecanismos!B8*K33</f>
        <v/>
      </c>
      <c r="W33" s="7">
        <f>SUM(L33:S33)</f>
        <v/>
      </c>
      <c r="X33" s="7">
        <f>SUM(T33:V33)</f>
        <v/>
      </c>
      <c r="Y33" s="8">
        <f>MAX(0,MIN(1,Parametros!B2-W33*Parametros!B3+X33*Parametros!B4))</f>
        <v/>
      </c>
    </row>
    <row r="34">
      <c r="A34" t="inlineStr">
        <is>
          <t>cefy7g</t>
        </is>
      </c>
      <c r="B34" t="inlineStr">
        <is>
          <t>Anna Liz Cirino</t>
        </is>
      </c>
      <c r="C34" s="6" t="n">
        <v>0.6093</v>
      </c>
      <c r="D34" s="6" t="n">
        <v>0.4317</v>
      </c>
      <c r="E34" s="6" t="n">
        <v>0.3123</v>
      </c>
      <c r="F34" s="6" t="n">
        <v>0.4777</v>
      </c>
      <c r="G34" s="6" t="n">
        <v>0.4084</v>
      </c>
      <c r="H34" s="6" t="n">
        <v>0.7045</v>
      </c>
      <c r="I34" s="6" t="n">
        <v>0.8122</v>
      </c>
      <c r="J34" s="6" t="n">
        <v>0.7806</v>
      </c>
      <c r="K34" s="6" t="n">
        <v>0.5385</v>
      </c>
      <c r="L34" s="7">
        <f>Mecanismos!B2*C34</f>
        <v/>
      </c>
      <c r="M34" s="7">
        <f>Mecanismos!B7*D34</f>
        <v/>
      </c>
      <c r="N34" s="7">
        <f>Mecanismos!B4*(1-E34)</f>
        <v/>
      </c>
      <c r="O34" s="7">
        <f>Mecanismos!B5*(1-F34)</f>
        <v/>
      </c>
      <c r="P34" s="7">
        <f>Mecanismos!B6*(1-I34)</f>
        <v/>
      </c>
      <c r="Q34" s="7">
        <f>Mecanismos!B9*(1-G34)</f>
        <v/>
      </c>
      <c r="R34" s="7">
        <f>Mecanismos!B3*(1-D34)</f>
        <v/>
      </c>
      <c r="S34" s="7">
        <f>Mecanismos!B9*(1-J34)</f>
        <v/>
      </c>
      <c r="T34" s="7">
        <f>Mecanismos!B8*H34</f>
        <v/>
      </c>
      <c r="U34" s="7">
        <f>Mecanismos!B10*H34</f>
        <v/>
      </c>
      <c r="V34" s="7">
        <f>Mecanismos!B8*K34</f>
        <v/>
      </c>
      <c r="W34" s="7">
        <f>SUM(L34:S34)</f>
        <v/>
      </c>
      <c r="X34" s="7">
        <f>SUM(T34:V34)</f>
        <v/>
      </c>
      <c r="Y34" s="8">
        <f>MAX(0,MIN(1,Parametros!B2-W34*Parametros!B3+X34*Parametros!B4))</f>
        <v/>
      </c>
    </row>
    <row r="35">
      <c r="A35" t="inlineStr">
        <is>
          <t>046c56</t>
        </is>
      </c>
      <c r="B35" t="inlineStr">
        <is>
          <t>Anna Liz Machado</t>
        </is>
      </c>
      <c r="C35" s="6" t="n">
        <v>0.428</v>
      </c>
      <c r="D35" s="6" t="n">
        <v>0.6072</v>
      </c>
      <c r="E35" s="6" t="n">
        <v>0.5755</v>
      </c>
      <c r="F35" s="6" t="n">
        <v>0.6143999999999999</v>
      </c>
      <c r="G35" s="6" t="n">
        <v>0.4749</v>
      </c>
      <c r="H35" s="6" t="n">
        <v>0.7059</v>
      </c>
      <c r="I35" s="6" t="n">
        <v>0.8791</v>
      </c>
      <c r="J35" s="6" t="n">
        <v>0.8352000000000001</v>
      </c>
      <c r="K35" s="6" t="n">
        <v>0.5581</v>
      </c>
      <c r="L35" s="7">
        <f>Mecanismos!B2*C35</f>
        <v/>
      </c>
      <c r="M35" s="7">
        <f>Mecanismos!B7*D35</f>
        <v/>
      </c>
      <c r="N35" s="7">
        <f>Mecanismos!B4*(1-E35)</f>
        <v/>
      </c>
      <c r="O35" s="7">
        <f>Mecanismos!B5*(1-F35)</f>
        <v/>
      </c>
      <c r="P35" s="7">
        <f>Mecanismos!B6*(1-I35)</f>
        <v/>
      </c>
      <c r="Q35" s="7">
        <f>Mecanismos!B9*(1-G35)</f>
        <v/>
      </c>
      <c r="R35" s="7">
        <f>Mecanismos!B3*(1-D35)</f>
        <v/>
      </c>
      <c r="S35" s="7">
        <f>Mecanismos!B9*(1-J35)</f>
        <v/>
      </c>
      <c r="T35" s="7">
        <f>Mecanismos!B8*H35</f>
        <v/>
      </c>
      <c r="U35" s="7">
        <f>Mecanismos!B10*H35</f>
        <v/>
      </c>
      <c r="V35" s="7">
        <f>Mecanismos!B8*K35</f>
        <v/>
      </c>
      <c r="W35" s="7">
        <f>SUM(L35:S35)</f>
        <v/>
      </c>
      <c r="X35" s="7">
        <f>SUM(T35:V35)</f>
        <v/>
      </c>
      <c r="Y35" s="8">
        <f>MAX(0,MIN(1,Parametros!B2-W35*Parametros!B3+X35*Parametros!B4))</f>
        <v/>
      </c>
    </row>
    <row r="36">
      <c r="A36" t="inlineStr">
        <is>
          <t>7k0knj</t>
        </is>
      </c>
      <c r="B36" t="inlineStr">
        <is>
          <t>Anthony Abreu</t>
        </is>
      </c>
      <c r="C36" s="6" t="n">
        <v>0.5636</v>
      </c>
      <c r="D36" s="6" t="n">
        <v>0.7009</v>
      </c>
      <c r="E36" s="6" t="n">
        <v>0.664</v>
      </c>
      <c r="F36" s="6" t="n">
        <v>0.7736</v>
      </c>
      <c r="G36" s="6" t="n">
        <v>0.5988</v>
      </c>
      <c r="H36" s="6" t="n">
        <v>0.8451</v>
      </c>
      <c r="I36" s="6" t="n">
        <v>0.4493</v>
      </c>
      <c r="J36" s="6" t="n">
        <v>0.8821</v>
      </c>
      <c r="K36" s="6" t="n">
        <v>0.4559</v>
      </c>
      <c r="L36" s="7">
        <f>Mecanismos!B2*C36</f>
        <v/>
      </c>
      <c r="M36" s="7">
        <f>Mecanismos!B7*D36</f>
        <v/>
      </c>
      <c r="N36" s="7">
        <f>Mecanismos!B4*(1-E36)</f>
        <v/>
      </c>
      <c r="O36" s="7">
        <f>Mecanismos!B5*(1-F36)</f>
        <v/>
      </c>
      <c r="P36" s="7">
        <f>Mecanismos!B6*(1-I36)</f>
        <v/>
      </c>
      <c r="Q36" s="7">
        <f>Mecanismos!B9*(1-G36)</f>
        <v/>
      </c>
      <c r="R36" s="7">
        <f>Mecanismos!B3*(1-D36)</f>
        <v/>
      </c>
      <c r="S36" s="7">
        <f>Mecanismos!B9*(1-J36)</f>
        <v/>
      </c>
      <c r="T36" s="7">
        <f>Mecanismos!B8*H36</f>
        <v/>
      </c>
      <c r="U36" s="7">
        <f>Mecanismos!B10*H36</f>
        <v/>
      </c>
      <c r="V36" s="7">
        <f>Mecanismos!B8*K36</f>
        <v/>
      </c>
      <c r="W36" s="7">
        <f>SUM(L36:S36)</f>
        <v/>
      </c>
      <c r="X36" s="7">
        <f>SUM(T36:V36)</f>
        <v/>
      </c>
      <c r="Y36" s="8">
        <f>MAX(0,MIN(1,Parametros!B2-W36*Parametros!B3+X36*Parametros!B4))</f>
        <v/>
      </c>
    </row>
    <row r="37">
      <c r="A37" t="inlineStr">
        <is>
          <t>3xpc10</t>
        </is>
      </c>
      <c r="B37" t="inlineStr">
        <is>
          <t>Anthony Gabriel Pimenta</t>
        </is>
      </c>
      <c r="C37" s="6" t="n">
        <v>0.8889</v>
      </c>
      <c r="D37" s="6" t="n">
        <v>0.5508</v>
      </c>
      <c r="E37" s="6" t="n">
        <v>0.6847</v>
      </c>
      <c r="F37" s="6" t="n">
        <v>0.4937</v>
      </c>
      <c r="G37" s="6" t="n">
        <v>0.2592</v>
      </c>
      <c r="H37" s="6" t="n">
        <v>0.5793</v>
      </c>
      <c r="I37" s="6" t="n">
        <v>0.3691</v>
      </c>
      <c r="J37" s="6" t="n">
        <v>0.752</v>
      </c>
      <c r="K37" s="6" t="n">
        <v>0.7699</v>
      </c>
      <c r="L37" s="7">
        <f>Mecanismos!B2*C37</f>
        <v/>
      </c>
      <c r="M37" s="7">
        <f>Mecanismos!B7*D37</f>
        <v/>
      </c>
      <c r="N37" s="7">
        <f>Mecanismos!B4*(1-E37)</f>
        <v/>
      </c>
      <c r="O37" s="7">
        <f>Mecanismos!B5*(1-F37)</f>
        <v/>
      </c>
      <c r="P37" s="7">
        <f>Mecanismos!B6*(1-I37)</f>
        <v/>
      </c>
      <c r="Q37" s="7">
        <f>Mecanismos!B9*(1-G37)</f>
        <v/>
      </c>
      <c r="R37" s="7">
        <f>Mecanismos!B3*(1-D37)</f>
        <v/>
      </c>
      <c r="S37" s="7">
        <f>Mecanismos!B9*(1-J37)</f>
        <v/>
      </c>
      <c r="T37" s="7">
        <f>Mecanismos!B8*H37</f>
        <v/>
      </c>
      <c r="U37" s="7">
        <f>Mecanismos!B10*H37</f>
        <v/>
      </c>
      <c r="V37" s="7">
        <f>Mecanismos!B8*K37</f>
        <v/>
      </c>
      <c r="W37" s="7">
        <f>SUM(L37:S37)</f>
        <v/>
      </c>
      <c r="X37" s="7">
        <f>SUM(T37:V37)</f>
        <v/>
      </c>
      <c r="Y37" s="8">
        <f>MAX(0,MIN(1,Parametros!B2-W37*Parametros!B3+X37*Parametros!B4))</f>
        <v/>
      </c>
    </row>
    <row r="38">
      <c r="A38" t="inlineStr">
        <is>
          <t>jojhfk</t>
        </is>
      </c>
      <c r="B38" t="inlineStr">
        <is>
          <t>Anthony Gabriel Porto</t>
        </is>
      </c>
      <c r="C38" s="6" t="n">
        <v>0.5141</v>
      </c>
      <c r="D38" s="6" t="n">
        <v>0.4879</v>
      </c>
      <c r="E38" s="6" t="n">
        <v>0.3232</v>
      </c>
      <c r="F38" s="6" t="n">
        <v>0.7076</v>
      </c>
      <c r="G38" s="6" t="n">
        <v>0.6327</v>
      </c>
      <c r="H38" s="6" t="n">
        <v>0.6287</v>
      </c>
      <c r="I38" s="6" t="n">
        <v>0.299</v>
      </c>
      <c r="J38" s="6" t="n">
        <v>0.9349</v>
      </c>
      <c r="K38" s="6" t="n">
        <v>0.5221</v>
      </c>
      <c r="L38" s="7">
        <f>Mecanismos!B2*C38</f>
        <v/>
      </c>
      <c r="M38" s="7">
        <f>Mecanismos!B7*D38</f>
        <v/>
      </c>
      <c r="N38" s="7">
        <f>Mecanismos!B4*(1-E38)</f>
        <v/>
      </c>
      <c r="O38" s="7">
        <f>Mecanismos!B5*(1-F38)</f>
        <v/>
      </c>
      <c r="P38" s="7">
        <f>Mecanismos!B6*(1-I38)</f>
        <v/>
      </c>
      <c r="Q38" s="7">
        <f>Mecanismos!B9*(1-G38)</f>
        <v/>
      </c>
      <c r="R38" s="7">
        <f>Mecanismos!B3*(1-D38)</f>
        <v/>
      </c>
      <c r="S38" s="7">
        <f>Mecanismos!B9*(1-J38)</f>
        <v/>
      </c>
      <c r="T38" s="7">
        <f>Mecanismos!B8*H38</f>
        <v/>
      </c>
      <c r="U38" s="7">
        <f>Mecanismos!B10*H38</f>
        <v/>
      </c>
      <c r="V38" s="7">
        <f>Mecanismos!B8*K38</f>
        <v/>
      </c>
      <c r="W38" s="7">
        <f>SUM(L38:S38)</f>
        <v/>
      </c>
      <c r="X38" s="7">
        <f>SUM(T38:V38)</f>
        <v/>
      </c>
      <c r="Y38" s="8">
        <f>MAX(0,MIN(1,Parametros!B2-W38*Parametros!B3+X38*Parametros!B4))</f>
        <v/>
      </c>
    </row>
    <row r="39">
      <c r="A39" t="inlineStr">
        <is>
          <t>tfym8o</t>
        </is>
      </c>
      <c r="B39" t="inlineStr">
        <is>
          <t>Anthony Vieira</t>
        </is>
      </c>
      <c r="C39" s="6" t="n">
        <v>0.5372</v>
      </c>
      <c r="D39" s="6" t="n">
        <v>0.5576</v>
      </c>
      <c r="E39" s="6" t="n">
        <v>0.4255</v>
      </c>
      <c r="F39" s="6" t="n">
        <v>0.3443</v>
      </c>
      <c r="G39" s="6" t="n">
        <v>0.6178</v>
      </c>
      <c r="H39" s="6" t="n">
        <v>0.4644</v>
      </c>
      <c r="I39" s="6" t="n">
        <v>0.5911999999999999</v>
      </c>
      <c r="J39" s="6" t="n">
        <v>0.7356</v>
      </c>
      <c r="K39" s="6" t="n">
        <v>0.2946</v>
      </c>
      <c r="L39" s="7">
        <f>Mecanismos!B2*C39</f>
        <v/>
      </c>
      <c r="M39" s="7">
        <f>Mecanismos!B7*D39</f>
        <v/>
      </c>
      <c r="N39" s="7">
        <f>Mecanismos!B4*(1-E39)</f>
        <v/>
      </c>
      <c r="O39" s="7">
        <f>Mecanismos!B5*(1-F39)</f>
        <v/>
      </c>
      <c r="P39" s="7">
        <f>Mecanismos!B6*(1-I39)</f>
        <v/>
      </c>
      <c r="Q39" s="7">
        <f>Mecanismos!B9*(1-G39)</f>
        <v/>
      </c>
      <c r="R39" s="7">
        <f>Mecanismos!B3*(1-D39)</f>
        <v/>
      </c>
      <c r="S39" s="7">
        <f>Mecanismos!B9*(1-J39)</f>
        <v/>
      </c>
      <c r="T39" s="7">
        <f>Mecanismos!B8*H39</f>
        <v/>
      </c>
      <c r="U39" s="7">
        <f>Mecanismos!B10*H39</f>
        <v/>
      </c>
      <c r="V39" s="7">
        <f>Mecanismos!B8*K39</f>
        <v/>
      </c>
      <c r="W39" s="7">
        <f>SUM(L39:S39)</f>
        <v/>
      </c>
      <c r="X39" s="7">
        <f>SUM(T39:V39)</f>
        <v/>
      </c>
      <c r="Y39" s="8">
        <f>MAX(0,MIN(1,Parametros!B2-W39*Parametros!B3+X39*Parametros!B4))</f>
        <v/>
      </c>
    </row>
    <row r="40">
      <c r="A40" t="inlineStr">
        <is>
          <t>2rub73</t>
        </is>
      </c>
      <c r="B40" t="inlineStr">
        <is>
          <t>Antonella da Cruz</t>
        </is>
      </c>
      <c r="C40" s="6" t="n">
        <v>0.6084000000000001</v>
      </c>
      <c r="D40" s="6" t="n">
        <v>0.6544</v>
      </c>
      <c r="E40" s="6" t="n">
        <v>0.7235</v>
      </c>
      <c r="F40" s="6" t="n">
        <v>0.6455</v>
      </c>
      <c r="G40" s="6" t="n">
        <v>0.4353</v>
      </c>
      <c r="H40" s="6" t="n">
        <v>0.5366</v>
      </c>
      <c r="I40" s="6" t="n">
        <v>0.5555</v>
      </c>
      <c r="J40" s="6" t="n">
        <v>0.7694</v>
      </c>
      <c r="K40" s="6" t="n">
        <v>0.2525</v>
      </c>
      <c r="L40" s="7">
        <f>Mecanismos!B2*C40</f>
        <v/>
      </c>
      <c r="M40" s="7">
        <f>Mecanismos!B7*D40</f>
        <v/>
      </c>
      <c r="N40" s="7">
        <f>Mecanismos!B4*(1-E40)</f>
        <v/>
      </c>
      <c r="O40" s="7">
        <f>Mecanismos!B5*(1-F40)</f>
        <v/>
      </c>
      <c r="P40" s="7">
        <f>Mecanismos!B6*(1-I40)</f>
        <v/>
      </c>
      <c r="Q40" s="7">
        <f>Mecanismos!B9*(1-G40)</f>
        <v/>
      </c>
      <c r="R40" s="7">
        <f>Mecanismos!B3*(1-D40)</f>
        <v/>
      </c>
      <c r="S40" s="7">
        <f>Mecanismos!B9*(1-J40)</f>
        <v/>
      </c>
      <c r="T40" s="7">
        <f>Mecanismos!B8*H40</f>
        <v/>
      </c>
      <c r="U40" s="7">
        <f>Mecanismos!B10*H40</f>
        <v/>
      </c>
      <c r="V40" s="7">
        <f>Mecanismos!B8*K40</f>
        <v/>
      </c>
      <c r="W40" s="7">
        <f>SUM(L40:S40)</f>
        <v/>
      </c>
      <c r="X40" s="7">
        <f>SUM(T40:V40)</f>
        <v/>
      </c>
      <c r="Y40" s="8">
        <f>MAX(0,MIN(1,Parametros!B2-W40*Parametros!B3+X40*Parametros!B4))</f>
        <v/>
      </c>
    </row>
    <row r="41">
      <c r="A41" t="inlineStr">
        <is>
          <t>fy4z6b</t>
        </is>
      </c>
      <c r="B41" t="inlineStr">
        <is>
          <t>Antony Carvalho</t>
        </is>
      </c>
      <c r="C41" s="6" t="n">
        <v>0.4191</v>
      </c>
      <c r="D41" s="6" t="n">
        <v>0.4223</v>
      </c>
      <c r="E41" s="6" t="n">
        <v>0.6448</v>
      </c>
      <c r="F41" s="6" t="n">
        <v>0.4533</v>
      </c>
      <c r="G41" s="6" t="n">
        <v>0.3146</v>
      </c>
      <c r="H41" s="6" t="n">
        <v>0.5795</v>
      </c>
      <c r="I41" s="6" t="n">
        <v>0.5443</v>
      </c>
      <c r="J41" s="6" t="n">
        <v>0.9162</v>
      </c>
      <c r="K41" s="6" t="n">
        <v>0.6272</v>
      </c>
      <c r="L41" s="7">
        <f>Mecanismos!B2*C41</f>
        <v/>
      </c>
      <c r="M41" s="7">
        <f>Mecanismos!B7*D41</f>
        <v/>
      </c>
      <c r="N41" s="7">
        <f>Mecanismos!B4*(1-E41)</f>
        <v/>
      </c>
      <c r="O41" s="7">
        <f>Mecanismos!B5*(1-F41)</f>
        <v/>
      </c>
      <c r="P41" s="7">
        <f>Mecanismos!B6*(1-I41)</f>
        <v/>
      </c>
      <c r="Q41" s="7">
        <f>Mecanismos!B9*(1-G41)</f>
        <v/>
      </c>
      <c r="R41" s="7">
        <f>Mecanismos!B3*(1-D41)</f>
        <v/>
      </c>
      <c r="S41" s="7">
        <f>Mecanismos!B9*(1-J41)</f>
        <v/>
      </c>
      <c r="T41" s="7">
        <f>Mecanismos!B8*H41</f>
        <v/>
      </c>
      <c r="U41" s="7">
        <f>Mecanismos!B10*H41</f>
        <v/>
      </c>
      <c r="V41" s="7">
        <f>Mecanismos!B8*K41</f>
        <v/>
      </c>
      <c r="W41" s="7">
        <f>SUM(L41:S41)</f>
        <v/>
      </c>
      <c r="X41" s="7">
        <f>SUM(T41:V41)</f>
        <v/>
      </c>
      <c r="Y41" s="8">
        <f>MAX(0,MIN(1,Parametros!B2-W41*Parametros!B3+X41*Parametros!B4))</f>
        <v/>
      </c>
    </row>
    <row r="42">
      <c r="A42" t="inlineStr">
        <is>
          <t>1cuuqz</t>
        </is>
      </c>
      <c r="B42" t="inlineStr">
        <is>
          <t>Antony Costa</t>
        </is>
      </c>
      <c r="C42" s="6" t="n">
        <v>0.6264999999999999</v>
      </c>
      <c r="D42" s="6" t="n">
        <v>0.6172</v>
      </c>
      <c r="E42" s="6" t="n">
        <v>0.4852</v>
      </c>
      <c r="F42" s="6" t="n">
        <v>0.8444</v>
      </c>
      <c r="G42" s="6" t="n">
        <v>0.4281</v>
      </c>
      <c r="H42" s="6" t="n">
        <v>0.4571</v>
      </c>
      <c r="I42" s="6" t="n">
        <v>0.7838000000000001</v>
      </c>
      <c r="J42" s="6" t="n">
        <v>0.7523</v>
      </c>
      <c r="K42" s="6" t="n">
        <v>0.5075</v>
      </c>
      <c r="L42" s="7">
        <f>Mecanismos!B2*C42</f>
        <v/>
      </c>
      <c r="M42" s="7">
        <f>Mecanismos!B7*D42</f>
        <v/>
      </c>
      <c r="N42" s="7">
        <f>Mecanismos!B4*(1-E42)</f>
        <v/>
      </c>
      <c r="O42" s="7">
        <f>Mecanismos!B5*(1-F42)</f>
        <v/>
      </c>
      <c r="P42" s="7">
        <f>Mecanismos!B6*(1-I42)</f>
        <v/>
      </c>
      <c r="Q42" s="7">
        <f>Mecanismos!B9*(1-G42)</f>
        <v/>
      </c>
      <c r="R42" s="7">
        <f>Mecanismos!B3*(1-D42)</f>
        <v/>
      </c>
      <c r="S42" s="7">
        <f>Mecanismos!B9*(1-J42)</f>
        <v/>
      </c>
      <c r="T42" s="7">
        <f>Mecanismos!B8*H42</f>
        <v/>
      </c>
      <c r="U42" s="7">
        <f>Mecanismos!B10*H42</f>
        <v/>
      </c>
      <c r="V42" s="7">
        <f>Mecanismos!B8*K42</f>
        <v/>
      </c>
      <c r="W42" s="7">
        <f>SUM(L42:S42)</f>
        <v/>
      </c>
      <c r="X42" s="7">
        <f>SUM(T42:V42)</f>
        <v/>
      </c>
      <c r="Y42" s="8">
        <f>MAX(0,MIN(1,Parametros!B2-W42*Parametros!B3+X42*Parametros!B4))</f>
        <v/>
      </c>
    </row>
    <row r="43">
      <c r="A43" t="inlineStr">
        <is>
          <t>hysgra</t>
        </is>
      </c>
      <c r="B43" t="inlineStr">
        <is>
          <t>Antônio Fernandes</t>
        </is>
      </c>
      <c r="C43" s="6" t="n">
        <v>0.6845</v>
      </c>
      <c r="D43" s="6" t="n">
        <v>0.7141999999999999</v>
      </c>
      <c r="E43" s="6" t="n">
        <v>0.4157</v>
      </c>
      <c r="F43" s="6" t="n">
        <v>0.614</v>
      </c>
      <c r="G43" s="6" t="n">
        <v>0.4252</v>
      </c>
      <c r="H43" s="6" t="n">
        <v>0.6934</v>
      </c>
      <c r="I43" s="6" t="n">
        <v>0.7446</v>
      </c>
      <c r="J43" s="6" t="n">
        <v>0.8368</v>
      </c>
      <c r="K43" s="6" t="n">
        <v>0.4699</v>
      </c>
      <c r="L43" s="7">
        <f>Mecanismos!B2*C43</f>
        <v/>
      </c>
      <c r="M43" s="7">
        <f>Mecanismos!B7*D43</f>
        <v/>
      </c>
      <c r="N43" s="7">
        <f>Mecanismos!B4*(1-E43)</f>
        <v/>
      </c>
      <c r="O43" s="7">
        <f>Mecanismos!B5*(1-F43)</f>
        <v/>
      </c>
      <c r="P43" s="7">
        <f>Mecanismos!B6*(1-I43)</f>
        <v/>
      </c>
      <c r="Q43" s="7">
        <f>Mecanismos!B9*(1-G43)</f>
        <v/>
      </c>
      <c r="R43" s="7">
        <f>Mecanismos!B3*(1-D43)</f>
        <v/>
      </c>
      <c r="S43" s="7">
        <f>Mecanismos!B9*(1-J43)</f>
        <v/>
      </c>
      <c r="T43" s="7">
        <f>Mecanismos!B8*H43</f>
        <v/>
      </c>
      <c r="U43" s="7">
        <f>Mecanismos!B10*H43</f>
        <v/>
      </c>
      <c r="V43" s="7">
        <f>Mecanismos!B8*K43</f>
        <v/>
      </c>
      <c r="W43" s="7">
        <f>SUM(L43:S43)</f>
        <v/>
      </c>
      <c r="X43" s="7">
        <f>SUM(T43:V43)</f>
        <v/>
      </c>
      <c r="Y43" s="8">
        <f>MAX(0,MIN(1,Parametros!B2-W43*Parametros!B3+X43*Parametros!B4))</f>
        <v/>
      </c>
    </row>
    <row r="44">
      <c r="A44" t="inlineStr">
        <is>
          <t>n4ujdc</t>
        </is>
      </c>
      <c r="B44" t="inlineStr">
        <is>
          <t>Arthur Andrade</t>
        </is>
      </c>
      <c r="C44" s="6" t="n">
        <v>0.6447000000000001</v>
      </c>
      <c r="D44" s="6" t="n">
        <v>0.5548</v>
      </c>
      <c r="E44" s="6" t="n">
        <v>0.2737</v>
      </c>
      <c r="F44" s="6" t="n">
        <v>0.6021</v>
      </c>
      <c r="G44" s="6" t="n">
        <v>0.4034</v>
      </c>
      <c r="H44" s="6" t="n">
        <v>0.832</v>
      </c>
      <c r="I44" s="6" t="n">
        <v>0.3756</v>
      </c>
      <c r="J44" s="6" t="n">
        <v>0.7184</v>
      </c>
      <c r="K44" s="6" t="n">
        <v>0.5528999999999999</v>
      </c>
      <c r="L44" s="7">
        <f>Mecanismos!B2*C44</f>
        <v/>
      </c>
      <c r="M44" s="7">
        <f>Mecanismos!B7*D44</f>
        <v/>
      </c>
      <c r="N44" s="7">
        <f>Mecanismos!B4*(1-E44)</f>
        <v/>
      </c>
      <c r="O44" s="7">
        <f>Mecanismos!B5*(1-F44)</f>
        <v/>
      </c>
      <c r="P44" s="7">
        <f>Mecanismos!B6*(1-I44)</f>
        <v/>
      </c>
      <c r="Q44" s="7">
        <f>Mecanismos!B9*(1-G44)</f>
        <v/>
      </c>
      <c r="R44" s="7">
        <f>Mecanismos!B3*(1-D44)</f>
        <v/>
      </c>
      <c r="S44" s="7">
        <f>Mecanismos!B9*(1-J44)</f>
        <v/>
      </c>
      <c r="T44" s="7">
        <f>Mecanismos!B8*H44</f>
        <v/>
      </c>
      <c r="U44" s="7">
        <f>Mecanismos!B10*H44</f>
        <v/>
      </c>
      <c r="V44" s="7">
        <f>Mecanismos!B8*K44</f>
        <v/>
      </c>
      <c r="W44" s="7">
        <f>SUM(L44:S44)</f>
        <v/>
      </c>
      <c r="X44" s="7">
        <f>SUM(T44:V44)</f>
        <v/>
      </c>
      <c r="Y44" s="8">
        <f>MAX(0,MIN(1,Parametros!B2-W44*Parametros!B3+X44*Parametros!B4))</f>
        <v/>
      </c>
    </row>
    <row r="45">
      <c r="A45" t="inlineStr">
        <is>
          <t>86hosa</t>
        </is>
      </c>
      <c r="B45" t="inlineStr">
        <is>
          <t>Arthur Brito</t>
        </is>
      </c>
      <c r="C45" s="6" t="n">
        <v>0.3785</v>
      </c>
      <c r="D45" s="6" t="n">
        <v>0.5278</v>
      </c>
      <c r="E45" s="6" t="n">
        <v>0.5058</v>
      </c>
      <c r="F45" s="6" t="n">
        <v>0.5301</v>
      </c>
      <c r="G45" s="6" t="n">
        <v>0.5619</v>
      </c>
      <c r="H45" s="6" t="n">
        <v>0.4793</v>
      </c>
      <c r="I45" s="6" t="n">
        <v>0.4738</v>
      </c>
      <c r="J45" s="6" t="n">
        <v>0.8715000000000001</v>
      </c>
      <c r="K45" s="6" t="n">
        <v>0.677</v>
      </c>
      <c r="L45" s="7">
        <f>Mecanismos!B2*C45</f>
        <v/>
      </c>
      <c r="M45" s="7">
        <f>Mecanismos!B7*D45</f>
        <v/>
      </c>
      <c r="N45" s="7">
        <f>Mecanismos!B4*(1-E45)</f>
        <v/>
      </c>
      <c r="O45" s="7">
        <f>Mecanismos!B5*(1-F45)</f>
        <v/>
      </c>
      <c r="P45" s="7">
        <f>Mecanismos!B6*(1-I45)</f>
        <v/>
      </c>
      <c r="Q45" s="7">
        <f>Mecanismos!B9*(1-G45)</f>
        <v/>
      </c>
      <c r="R45" s="7">
        <f>Mecanismos!B3*(1-D45)</f>
        <v/>
      </c>
      <c r="S45" s="7">
        <f>Mecanismos!B9*(1-J45)</f>
        <v/>
      </c>
      <c r="T45" s="7">
        <f>Mecanismos!B8*H45</f>
        <v/>
      </c>
      <c r="U45" s="7">
        <f>Mecanismos!B10*H45</f>
        <v/>
      </c>
      <c r="V45" s="7">
        <f>Mecanismos!B8*K45</f>
        <v/>
      </c>
      <c r="W45" s="7">
        <f>SUM(L45:S45)</f>
        <v/>
      </c>
      <c r="X45" s="7">
        <f>SUM(T45:V45)</f>
        <v/>
      </c>
      <c r="Y45" s="8">
        <f>MAX(0,MIN(1,Parametros!B2-W45*Parametros!B3+X45*Parametros!B4))</f>
        <v/>
      </c>
    </row>
    <row r="46">
      <c r="A46" t="inlineStr">
        <is>
          <t>p34r2n</t>
        </is>
      </c>
      <c r="B46" t="inlineStr">
        <is>
          <t>Arthur Gabriel Farias</t>
        </is>
      </c>
      <c r="C46" s="6" t="n">
        <v>0.6252</v>
      </c>
      <c r="D46" s="6" t="n">
        <v>0.6437</v>
      </c>
      <c r="E46" s="6" t="n">
        <v>0.6123</v>
      </c>
      <c r="F46" s="6" t="n">
        <v>0.4079</v>
      </c>
      <c r="G46" s="6" t="n">
        <v>0.3713</v>
      </c>
      <c r="H46" s="6" t="n">
        <v>0.5198</v>
      </c>
      <c r="I46" s="6" t="n">
        <v>0.2177</v>
      </c>
      <c r="J46" s="6" t="n">
        <v>0.6415999999999999</v>
      </c>
      <c r="K46" s="6" t="n">
        <v>0.3803</v>
      </c>
      <c r="L46" s="7">
        <f>Mecanismos!B2*C46</f>
        <v/>
      </c>
      <c r="M46" s="7">
        <f>Mecanismos!B7*D46</f>
        <v/>
      </c>
      <c r="N46" s="7">
        <f>Mecanismos!B4*(1-E46)</f>
        <v/>
      </c>
      <c r="O46" s="7">
        <f>Mecanismos!B5*(1-F46)</f>
        <v/>
      </c>
      <c r="P46" s="7">
        <f>Mecanismos!B6*(1-I46)</f>
        <v/>
      </c>
      <c r="Q46" s="7">
        <f>Mecanismos!B9*(1-G46)</f>
        <v/>
      </c>
      <c r="R46" s="7">
        <f>Mecanismos!B3*(1-D46)</f>
        <v/>
      </c>
      <c r="S46" s="7">
        <f>Mecanismos!B9*(1-J46)</f>
        <v/>
      </c>
      <c r="T46" s="7">
        <f>Mecanismos!B8*H46</f>
        <v/>
      </c>
      <c r="U46" s="7">
        <f>Mecanismos!B10*H46</f>
        <v/>
      </c>
      <c r="V46" s="7">
        <f>Mecanismos!B8*K46</f>
        <v/>
      </c>
      <c r="W46" s="7">
        <f>SUM(L46:S46)</f>
        <v/>
      </c>
      <c r="X46" s="7">
        <f>SUM(T46:V46)</f>
        <v/>
      </c>
      <c r="Y46" s="8">
        <f>MAX(0,MIN(1,Parametros!B2-W46*Parametros!B3+X46*Parametros!B4))</f>
        <v/>
      </c>
    </row>
    <row r="47">
      <c r="A47" t="inlineStr">
        <is>
          <t>iphpo7</t>
        </is>
      </c>
      <c r="B47" t="inlineStr">
        <is>
          <t>Arthur Gabriel Sales</t>
        </is>
      </c>
      <c r="C47" s="6" t="n">
        <v>0.5334</v>
      </c>
      <c r="D47" s="6" t="n">
        <v>0.7367</v>
      </c>
      <c r="E47" s="6" t="n">
        <v>0.4204</v>
      </c>
      <c r="F47" s="6" t="n">
        <v>0.4735</v>
      </c>
      <c r="G47" s="6" t="n">
        <v>0.5612</v>
      </c>
      <c r="H47" s="6" t="n">
        <v>0.4114</v>
      </c>
      <c r="I47" s="6" t="n">
        <v>0.858</v>
      </c>
      <c r="J47" s="6" t="n">
        <v>0.6743</v>
      </c>
      <c r="K47" s="6" t="n">
        <v>0.5859</v>
      </c>
      <c r="L47" s="7">
        <f>Mecanismos!B2*C47</f>
        <v/>
      </c>
      <c r="M47" s="7">
        <f>Mecanismos!B7*D47</f>
        <v/>
      </c>
      <c r="N47" s="7">
        <f>Mecanismos!B4*(1-E47)</f>
        <v/>
      </c>
      <c r="O47" s="7">
        <f>Mecanismos!B5*(1-F47)</f>
        <v/>
      </c>
      <c r="P47" s="7">
        <f>Mecanismos!B6*(1-I47)</f>
        <v/>
      </c>
      <c r="Q47" s="7">
        <f>Mecanismos!B9*(1-G47)</f>
        <v/>
      </c>
      <c r="R47" s="7">
        <f>Mecanismos!B3*(1-D47)</f>
        <v/>
      </c>
      <c r="S47" s="7">
        <f>Mecanismos!B9*(1-J47)</f>
        <v/>
      </c>
      <c r="T47" s="7">
        <f>Mecanismos!B8*H47</f>
        <v/>
      </c>
      <c r="U47" s="7">
        <f>Mecanismos!B10*H47</f>
        <v/>
      </c>
      <c r="V47" s="7">
        <f>Mecanismos!B8*K47</f>
        <v/>
      </c>
      <c r="W47" s="7">
        <f>SUM(L47:S47)</f>
        <v/>
      </c>
      <c r="X47" s="7">
        <f>SUM(T47:V47)</f>
        <v/>
      </c>
      <c r="Y47" s="8">
        <f>MAX(0,MIN(1,Parametros!B2-W47*Parametros!B3+X47*Parametros!B4))</f>
        <v/>
      </c>
    </row>
    <row r="48">
      <c r="A48" t="inlineStr">
        <is>
          <t>94bbaw</t>
        </is>
      </c>
      <c r="B48" t="inlineStr">
        <is>
          <t>Arthur Gabriel Teixeira</t>
        </is>
      </c>
      <c r="C48" s="6" t="n">
        <v>0.7604</v>
      </c>
      <c r="D48" s="6" t="n">
        <v>0.3196</v>
      </c>
      <c r="E48" s="6" t="n">
        <v>0.8025</v>
      </c>
      <c r="F48" s="6" t="n">
        <v>0.2665</v>
      </c>
      <c r="G48" s="6" t="n">
        <v>0.2533</v>
      </c>
      <c r="H48" s="6" t="n">
        <v>0.6611</v>
      </c>
      <c r="I48" s="6" t="n">
        <v>0.2776</v>
      </c>
      <c r="J48" s="6" t="n">
        <v>0.6574</v>
      </c>
      <c r="K48" s="6" t="n">
        <v>0.2228</v>
      </c>
      <c r="L48" s="7">
        <f>Mecanismos!B2*C48</f>
        <v/>
      </c>
      <c r="M48" s="7">
        <f>Mecanismos!B7*D48</f>
        <v/>
      </c>
      <c r="N48" s="7">
        <f>Mecanismos!B4*(1-E48)</f>
        <v/>
      </c>
      <c r="O48" s="7">
        <f>Mecanismos!B5*(1-F48)</f>
        <v/>
      </c>
      <c r="P48" s="7">
        <f>Mecanismos!B6*(1-I48)</f>
        <v/>
      </c>
      <c r="Q48" s="7">
        <f>Mecanismos!B9*(1-G48)</f>
        <v/>
      </c>
      <c r="R48" s="7">
        <f>Mecanismos!B3*(1-D48)</f>
        <v/>
      </c>
      <c r="S48" s="7">
        <f>Mecanismos!B9*(1-J48)</f>
        <v/>
      </c>
      <c r="T48" s="7">
        <f>Mecanismos!B8*H48</f>
        <v/>
      </c>
      <c r="U48" s="7">
        <f>Mecanismos!B10*H48</f>
        <v/>
      </c>
      <c r="V48" s="7">
        <f>Mecanismos!B8*K48</f>
        <v/>
      </c>
      <c r="W48" s="7">
        <f>SUM(L48:S48)</f>
        <v/>
      </c>
      <c r="X48" s="7">
        <f>SUM(T48:V48)</f>
        <v/>
      </c>
      <c r="Y48" s="8">
        <f>MAX(0,MIN(1,Parametros!B2-W48*Parametros!B3+X48*Parametros!B4))</f>
        <v/>
      </c>
    </row>
    <row r="49">
      <c r="A49" t="inlineStr">
        <is>
          <t>7bfugj</t>
        </is>
      </c>
      <c r="B49" t="inlineStr">
        <is>
          <t>Arthur Gabriel da Conceição</t>
        </is>
      </c>
      <c r="C49" s="6" t="n">
        <v>0.6636</v>
      </c>
      <c r="D49" s="6" t="n">
        <v>0.4242</v>
      </c>
      <c r="E49" s="6" t="n">
        <v>0.5938</v>
      </c>
      <c r="F49" s="6" t="n">
        <v>0.4762</v>
      </c>
      <c r="G49" s="6" t="n">
        <v>0.5247000000000001</v>
      </c>
      <c r="H49" s="6" t="n">
        <v>0.3639</v>
      </c>
      <c r="I49" s="6" t="n">
        <v>0.3083</v>
      </c>
      <c r="J49" s="6" t="n">
        <v>0.8112</v>
      </c>
      <c r="K49" s="6" t="n">
        <v>0.4905</v>
      </c>
      <c r="L49" s="7">
        <f>Mecanismos!B2*C49</f>
        <v/>
      </c>
      <c r="M49" s="7">
        <f>Mecanismos!B7*D49</f>
        <v/>
      </c>
      <c r="N49" s="7">
        <f>Mecanismos!B4*(1-E49)</f>
        <v/>
      </c>
      <c r="O49" s="7">
        <f>Mecanismos!B5*(1-F49)</f>
        <v/>
      </c>
      <c r="P49" s="7">
        <f>Mecanismos!B6*(1-I49)</f>
        <v/>
      </c>
      <c r="Q49" s="7">
        <f>Mecanismos!B9*(1-G49)</f>
        <v/>
      </c>
      <c r="R49" s="7">
        <f>Mecanismos!B3*(1-D49)</f>
        <v/>
      </c>
      <c r="S49" s="7">
        <f>Mecanismos!B9*(1-J49)</f>
        <v/>
      </c>
      <c r="T49" s="7">
        <f>Mecanismos!B8*H49</f>
        <v/>
      </c>
      <c r="U49" s="7">
        <f>Mecanismos!B10*H49</f>
        <v/>
      </c>
      <c r="V49" s="7">
        <f>Mecanismos!B8*K49</f>
        <v/>
      </c>
      <c r="W49" s="7">
        <f>SUM(L49:S49)</f>
        <v/>
      </c>
      <c r="X49" s="7">
        <f>SUM(T49:V49)</f>
        <v/>
      </c>
      <c r="Y49" s="8">
        <f>MAX(0,MIN(1,Parametros!B2-W49*Parametros!B3+X49*Parametros!B4))</f>
        <v/>
      </c>
    </row>
    <row r="50">
      <c r="A50" t="inlineStr">
        <is>
          <t>872p5i</t>
        </is>
      </c>
      <c r="B50" t="inlineStr">
        <is>
          <t>Arthur Gabriel da Mata</t>
        </is>
      </c>
      <c r="C50" s="6" t="n">
        <v>0.7577</v>
      </c>
      <c r="D50" s="6" t="n">
        <v>0.4349</v>
      </c>
      <c r="E50" s="6" t="n">
        <v>0.4172</v>
      </c>
      <c r="F50" s="6" t="n">
        <v>0.7464</v>
      </c>
      <c r="G50" s="6" t="n">
        <v>0.4909</v>
      </c>
      <c r="H50" s="6" t="n">
        <v>0.501</v>
      </c>
      <c r="I50" s="6" t="n">
        <v>0.7141999999999999</v>
      </c>
      <c r="J50" s="6" t="n">
        <v>0.8594000000000001</v>
      </c>
      <c r="K50" s="6" t="n">
        <v>0.1705</v>
      </c>
      <c r="L50" s="7">
        <f>Mecanismos!B2*C50</f>
        <v/>
      </c>
      <c r="M50" s="7">
        <f>Mecanismos!B7*D50</f>
        <v/>
      </c>
      <c r="N50" s="7">
        <f>Mecanismos!B4*(1-E50)</f>
        <v/>
      </c>
      <c r="O50" s="7">
        <f>Mecanismos!B5*(1-F50)</f>
        <v/>
      </c>
      <c r="P50" s="7">
        <f>Mecanismos!B6*(1-I50)</f>
        <v/>
      </c>
      <c r="Q50" s="7">
        <f>Mecanismos!B9*(1-G50)</f>
        <v/>
      </c>
      <c r="R50" s="7">
        <f>Mecanismos!B3*(1-D50)</f>
        <v/>
      </c>
      <c r="S50" s="7">
        <f>Mecanismos!B9*(1-J50)</f>
        <v/>
      </c>
      <c r="T50" s="7">
        <f>Mecanismos!B8*H50</f>
        <v/>
      </c>
      <c r="U50" s="7">
        <f>Mecanismos!B10*H50</f>
        <v/>
      </c>
      <c r="V50" s="7">
        <f>Mecanismos!B8*K50</f>
        <v/>
      </c>
      <c r="W50" s="7">
        <f>SUM(L50:S50)</f>
        <v/>
      </c>
      <c r="X50" s="7">
        <f>SUM(T50:V50)</f>
        <v/>
      </c>
      <c r="Y50" s="8">
        <f>MAX(0,MIN(1,Parametros!B2-W50*Parametros!B3+X50*Parametros!B4))</f>
        <v/>
      </c>
    </row>
    <row r="51">
      <c r="A51" t="inlineStr">
        <is>
          <t>wnu627</t>
        </is>
      </c>
      <c r="B51" t="inlineStr">
        <is>
          <t>Arthur Gabriel da Paz</t>
        </is>
      </c>
      <c r="C51" s="6" t="n">
        <v>0.4651</v>
      </c>
      <c r="D51" s="6" t="n">
        <v>0.5366</v>
      </c>
      <c r="E51" s="6" t="n">
        <v>0.6867</v>
      </c>
      <c r="F51" s="6" t="n">
        <v>0.6515</v>
      </c>
      <c r="G51" s="6" t="n">
        <v>0.3666</v>
      </c>
      <c r="H51" s="6" t="n">
        <v>0.5135</v>
      </c>
      <c r="I51" s="6" t="n">
        <v>0.4151</v>
      </c>
      <c r="J51" s="6" t="n">
        <v>0.7924</v>
      </c>
      <c r="K51" s="6" t="n">
        <v>0.5115</v>
      </c>
      <c r="L51" s="7">
        <f>Mecanismos!B2*C51</f>
        <v/>
      </c>
      <c r="M51" s="7">
        <f>Mecanismos!B7*D51</f>
        <v/>
      </c>
      <c r="N51" s="7">
        <f>Mecanismos!B4*(1-E51)</f>
        <v/>
      </c>
      <c r="O51" s="7">
        <f>Mecanismos!B5*(1-F51)</f>
        <v/>
      </c>
      <c r="P51" s="7">
        <f>Mecanismos!B6*(1-I51)</f>
        <v/>
      </c>
      <c r="Q51" s="7">
        <f>Mecanismos!B9*(1-G51)</f>
        <v/>
      </c>
      <c r="R51" s="7">
        <f>Mecanismos!B3*(1-D51)</f>
        <v/>
      </c>
      <c r="S51" s="7">
        <f>Mecanismos!B9*(1-J51)</f>
        <v/>
      </c>
      <c r="T51" s="7">
        <f>Mecanismos!B8*H51</f>
        <v/>
      </c>
      <c r="U51" s="7">
        <f>Mecanismos!B10*H51</f>
        <v/>
      </c>
      <c r="V51" s="7">
        <f>Mecanismos!B8*K51</f>
        <v/>
      </c>
      <c r="W51" s="7">
        <f>SUM(L51:S51)</f>
        <v/>
      </c>
      <c r="X51" s="7">
        <f>SUM(T51:V51)</f>
        <v/>
      </c>
      <c r="Y51" s="8">
        <f>MAX(0,MIN(1,Parametros!B2-W51*Parametros!B3+X51*Parametros!B4))</f>
        <v/>
      </c>
    </row>
    <row r="52">
      <c r="A52" t="inlineStr">
        <is>
          <t>ofabh1</t>
        </is>
      </c>
      <c r="B52" t="inlineStr">
        <is>
          <t>Arthur Macedo</t>
        </is>
      </c>
      <c r="C52" s="6" t="n">
        <v>0.5305</v>
      </c>
      <c r="D52" s="6" t="n">
        <v>0.6626</v>
      </c>
      <c r="E52" s="6" t="n">
        <v>0.4081</v>
      </c>
      <c r="F52" s="6" t="n">
        <v>0.4848</v>
      </c>
      <c r="G52" s="6" t="n">
        <v>0.3356</v>
      </c>
      <c r="H52" s="6" t="n">
        <v>0.7124</v>
      </c>
      <c r="I52" s="6" t="n">
        <v>0.5397</v>
      </c>
      <c r="J52" s="6" t="n">
        <v>0.62</v>
      </c>
      <c r="K52" s="6" t="n">
        <v>0.4494</v>
      </c>
      <c r="L52" s="7">
        <f>Mecanismos!B2*C52</f>
        <v/>
      </c>
      <c r="M52" s="7">
        <f>Mecanismos!B7*D52</f>
        <v/>
      </c>
      <c r="N52" s="7">
        <f>Mecanismos!B4*(1-E52)</f>
        <v/>
      </c>
      <c r="O52" s="7">
        <f>Mecanismos!B5*(1-F52)</f>
        <v/>
      </c>
      <c r="P52" s="7">
        <f>Mecanismos!B6*(1-I52)</f>
        <v/>
      </c>
      <c r="Q52" s="7">
        <f>Mecanismos!B9*(1-G52)</f>
        <v/>
      </c>
      <c r="R52" s="7">
        <f>Mecanismos!B3*(1-D52)</f>
        <v/>
      </c>
      <c r="S52" s="7">
        <f>Mecanismos!B9*(1-J52)</f>
        <v/>
      </c>
      <c r="T52" s="7">
        <f>Mecanismos!B8*H52</f>
        <v/>
      </c>
      <c r="U52" s="7">
        <f>Mecanismos!B10*H52</f>
        <v/>
      </c>
      <c r="V52" s="7">
        <f>Mecanismos!B8*K52</f>
        <v/>
      </c>
      <c r="W52" s="7">
        <f>SUM(L52:S52)</f>
        <v/>
      </c>
      <c r="X52" s="7">
        <f>SUM(T52:V52)</f>
        <v/>
      </c>
      <c r="Y52" s="8">
        <f>MAX(0,MIN(1,Parametros!B2-W52*Parametros!B3+X52*Parametros!B4))</f>
        <v/>
      </c>
    </row>
    <row r="53">
      <c r="A53" t="inlineStr">
        <is>
          <t>9joc5w</t>
        </is>
      </c>
      <c r="B53" t="inlineStr">
        <is>
          <t>Arthur Mendonça</t>
        </is>
      </c>
      <c r="C53" s="6" t="n">
        <v>0.4548</v>
      </c>
      <c r="D53" s="6" t="n">
        <v>0.4672</v>
      </c>
      <c r="E53" s="6" t="n">
        <v>0.5787</v>
      </c>
      <c r="F53" s="6" t="n">
        <v>0.4499</v>
      </c>
      <c r="G53" s="6" t="n">
        <v>0.5804</v>
      </c>
      <c r="H53" s="6" t="n">
        <v>0.5583</v>
      </c>
      <c r="I53" s="6" t="n">
        <v>0.4495</v>
      </c>
      <c r="J53" s="6" t="n">
        <v>0.5338000000000001</v>
      </c>
      <c r="K53" s="6" t="n">
        <v>0.7113</v>
      </c>
      <c r="L53" s="7">
        <f>Mecanismos!B2*C53</f>
        <v/>
      </c>
      <c r="M53" s="7">
        <f>Mecanismos!B7*D53</f>
        <v/>
      </c>
      <c r="N53" s="7">
        <f>Mecanismos!B4*(1-E53)</f>
        <v/>
      </c>
      <c r="O53" s="7">
        <f>Mecanismos!B5*(1-F53)</f>
        <v/>
      </c>
      <c r="P53" s="7">
        <f>Mecanismos!B6*(1-I53)</f>
        <v/>
      </c>
      <c r="Q53" s="7">
        <f>Mecanismos!B9*(1-G53)</f>
        <v/>
      </c>
      <c r="R53" s="7">
        <f>Mecanismos!B3*(1-D53)</f>
        <v/>
      </c>
      <c r="S53" s="7">
        <f>Mecanismos!B9*(1-J53)</f>
        <v/>
      </c>
      <c r="T53" s="7">
        <f>Mecanismos!B8*H53</f>
        <v/>
      </c>
      <c r="U53" s="7">
        <f>Mecanismos!B10*H53</f>
        <v/>
      </c>
      <c r="V53" s="7">
        <f>Mecanismos!B8*K53</f>
        <v/>
      </c>
      <c r="W53" s="7">
        <f>SUM(L53:S53)</f>
        <v/>
      </c>
      <c r="X53" s="7">
        <f>SUM(T53:V53)</f>
        <v/>
      </c>
      <c r="Y53" s="8">
        <f>MAX(0,MIN(1,Parametros!B2-W53*Parametros!B3+X53*Parametros!B4))</f>
        <v/>
      </c>
    </row>
    <row r="54">
      <c r="A54" t="inlineStr">
        <is>
          <t>0bw7lx</t>
        </is>
      </c>
      <c r="B54" t="inlineStr">
        <is>
          <t>Asafe Casa Grande</t>
        </is>
      </c>
      <c r="C54" s="6" t="n">
        <v>0.5506</v>
      </c>
      <c r="D54" s="6" t="n">
        <v>0.5962</v>
      </c>
      <c r="E54" s="6" t="n">
        <v>0.6634</v>
      </c>
      <c r="F54" s="6" t="n">
        <v>0.4336</v>
      </c>
      <c r="G54" s="6" t="n">
        <v>0.3127</v>
      </c>
      <c r="H54" s="6" t="n">
        <v>0.6588000000000001</v>
      </c>
      <c r="I54" s="6" t="n">
        <v>0.5800999999999999</v>
      </c>
      <c r="J54" s="6" t="n">
        <v>0.7452</v>
      </c>
      <c r="K54" s="6" t="n">
        <v>0.4173</v>
      </c>
      <c r="L54" s="7">
        <f>Mecanismos!B2*C54</f>
        <v/>
      </c>
      <c r="M54" s="7">
        <f>Mecanismos!B7*D54</f>
        <v/>
      </c>
      <c r="N54" s="7">
        <f>Mecanismos!B4*(1-E54)</f>
        <v/>
      </c>
      <c r="O54" s="7">
        <f>Mecanismos!B5*(1-F54)</f>
        <v/>
      </c>
      <c r="P54" s="7">
        <f>Mecanismos!B6*(1-I54)</f>
        <v/>
      </c>
      <c r="Q54" s="7">
        <f>Mecanismos!B9*(1-G54)</f>
        <v/>
      </c>
      <c r="R54" s="7">
        <f>Mecanismos!B3*(1-D54)</f>
        <v/>
      </c>
      <c r="S54" s="7">
        <f>Mecanismos!B9*(1-J54)</f>
        <v/>
      </c>
      <c r="T54" s="7">
        <f>Mecanismos!B8*H54</f>
        <v/>
      </c>
      <c r="U54" s="7">
        <f>Mecanismos!B10*H54</f>
        <v/>
      </c>
      <c r="V54" s="7">
        <f>Mecanismos!B8*K54</f>
        <v/>
      </c>
      <c r="W54" s="7">
        <f>SUM(L54:S54)</f>
        <v/>
      </c>
      <c r="X54" s="7">
        <f>SUM(T54:V54)</f>
        <v/>
      </c>
      <c r="Y54" s="8">
        <f>MAX(0,MIN(1,Parametros!B2-W54*Parametros!B3+X54*Parametros!B4))</f>
        <v/>
      </c>
    </row>
    <row r="55">
      <c r="A55" t="inlineStr">
        <is>
          <t>vd2fjq</t>
        </is>
      </c>
      <c r="B55" t="inlineStr">
        <is>
          <t>Asafe Mendonça</t>
        </is>
      </c>
      <c r="C55" s="6" t="n">
        <v>0.4267</v>
      </c>
      <c r="D55" s="6" t="n">
        <v>0.602</v>
      </c>
      <c r="E55" s="6" t="n">
        <v>0.5898</v>
      </c>
      <c r="F55" s="6" t="n">
        <v>0.3891</v>
      </c>
      <c r="G55" s="6" t="n">
        <v>0.2354</v>
      </c>
      <c r="H55" s="6" t="n">
        <v>0.3125</v>
      </c>
      <c r="I55" s="6" t="n">
        <v>0.2254</v>
      </c>
      <c r="J55" s="6" t="n">
        <v>0.787</v>
      </c>
      <c r="K55" s="6" t="n">
        <v>0.7444</v>
      </c>
      <c r="L55" s="7">
        <f>Mecanismos!B2*C55</f>
        <v/>
      </c>
      <c r="M55" s="7">
        <f>Mecanismos!B7*D55</f>
        <v/>
      </c>
      <c r="N55" s="7">
        <f>Mecanismos!B4*(1-E55)</f>
        <v/>
      </c>
      <c r="O55" s="7">
        <f>Mecanismos!B5*(1-F55)</f>
        <v/>
      </c>
      <c r="P55" s="7">
        <f>Mecanismos!B6*(1-I55)</f>
        <v/>
      </c>
      <c r="Q55" s="7">
        <f>Mecanismos!B9*(1-G55)</f>
        <v/>
      </c>
      <c r="R55" s="7">
        <f>Mecanismos!B3*(1-D55)</f>
        <v/>
      </c>
      <c r="S55" s="7">
        <f>Mecanismos!B9*(1-J55)</f>
        <v/>
      </c>
      <c r="T55" s="7">
        <f>Mecanismos!B8*H55</f>
        <v/>
      </c>
      <c r="U55" s="7">
        <f>Mecanismos!B10*H55</f>
        <v/>
      </c>
      <c r="V55" s="7">
        <f>Mecanismos!B8*K55</f>
        <v/>
      </c>
      <c r="W55" s="7">
        <f>SUM(L55:S55)</f>
        <v/>
      </c>
      <c r="X55" s="7">
        <f>SUM(T55:V55)</f>
        <v/>
      </c>
      <c r="Y55" s="8">
        <f>MAX(0,MIN(1,Parametros!B2-W55*Parametros!B3+X55*Parametros!B4))</f>
        <v/>
      </c>
    </row>
    <row r="56">
      <c r="A56" t="inlineStr">
        <is>
          <t>iu2r2k</t>
        </is>
      </c>
      <c r="B56" t="inlineStr">
        <is>
          <t>Augusto Fogaça</t>
        </is>
      </c>
      <c r="C56" s="6" t="n">
        <v>0.9189000000000001</v>
      </c>
      <c r="D56" s="6" t="n">
        <v>0.5249</v>
      </c>
      <c r="E56" s="6" t="n">
        <v>0.7524</v>
      </c>
      <c r="F56" s="6" t="n">
        <v>0.468</v>
      </c>
      <c r="G56" s="6" t="n">
        <v>0.4344</v>
      </c>
      <c r="H56" s="6" t="n">
        <v>0.6105</v>
      </c>
      <c r="I56" s="6" t="n">
        <v>0.2055</v>
      </c>
      <c r="J56" s="6" t="n">
        <v>0.4767</v>
      </c>
      <c r="K56" s="6" t="n">
        <v>0.5215</v>
      </c>
      <c r="L56" s="7">
        <f>Mecanismos!B2*C56</f>
        <v/>
      </c>
      <c r="M56" s="7">
        <f>Mecanismos!B7*D56</f>
        <v/>
      </c>
      <c r="N56" s="7">
        <f>Mecanismos!B4*(1-E56)</f>
        <v/>
      </c>
      <c r="O56" s="7">
        <f>Mecanismos!B5*(1-F56)</f>
        <v/>
      </c>
      <c r="P56" s="7">
        <f>Mecanismos!B6*(1-I56)</f>
        <v/>
      </c>
      <c r="Q56" s="7">
        <f>Mecanismos!B9*(1-G56)</f>
        <v/>
      </c>
      <c r="R56" s="7">
        <f>Mecanismos!B3*(1-D56)</f>
        <v/>
      </c>
      <c r="S56" s="7">
        <f>Mecanismos!B9*(1-J56)</f>
        <v/>
      </c>
      <c r="T56" s="7">
        <f>Mecanismos!B8*H56</f>
        <v/>
      </c>
      <c r="U56" s="7">
        <f>Mecanismos!B10*H56</f>
        <v/>
      </c>
      <c r="V56" s="7">
        <f>Mecanismos!B8*K56</f>
        <v/>
      </c>
      <c r="W56" s="7">
        <f>SUM(L56:S56)</f>
        <v/>
      </c>
      <c r="X56" s="7">
        <f>SUM(T56:V56)</f>
        <v/>
      </c>
      <c r="Y56" s="8">
        <f>MAX(0,MIN(1,Parametros!B2-W56*Parametros!B3+X56*Parametros!B4))</f>
        <v/>
      </c>
    </row>
    <row r="57">
      <c r="A57" t="inlineStr">
        <is>
          <t>b27m5n</t>
        </is>
      </c>
      <c r="B57" t="inlineStr">
        <is>
          <t>Ayla Mendonça</t>
        </is>
      </c>
      <c r="C57" s="6" t="n">
        <v>0.3823</v>
      </c>
      <c r="D57" s="6" t="n">
        <v>0.456</v>
      </c>
      <c r="E57" s="6" t="n">
        <v>0.5211</v>
      </c>
      <c r="F57" s="6" t="n">
        <v>0.4729</v>
      </c>
      <c r="G57" s="6" t="n">
        <v>0.3434</v>
      </c>
      <c r="H57" s="6" t="n">
        <v>0.6832</v>
      </c>
      <c r="I57" s="6" t="n">
        <v>0.6827</v>
      </c>
      <c r="J57" s="6" t="n">
        <v>0.8996</v>
      </c>
      <c r="K57" s="6" t="n">
        <v>0.4686</v>
      </c>
      <c r="L57" s="7">
        <f>Mecanismos!B2*C57</f>
        <v/>
      </c>
      <c r="M57" s="7">
        <f>Mecanismos!B7*D57</f>
        <v/>
      </c>
      <c r="N57" s="7">
        <f>Mecanismos!B4*(1-E57)</f>
        <v/>
      </c>
      <c r="O57" s="7">
        <f>Mecanismos!B5*(1-F57)</f>
        <v/>
      </c>
      <c r="P57" s="7">
        <f>Mecanismos!B6*(1-I57)</f>
        <v/>
      </c>
      <c r="Q57" s="7">
        <f>Mecanismos!B9*(1-G57)</f>
        <v/>
      </c>
      <c r="R57" s="7">
        <f>Mecanismos!B3*(1-D57)</f>
        <v/>
      </c>
      <c r="S57" s="7">
        <f>Mecanismos!B9*(1-J57)</f>
        <v/>
      </c>
      <c r="T57" s="7">
        <f>Mecanismos!B8*H57</f>
        <v/>
      </c>
      <c r="U57" s="7">
        <f>Mecanismos!B10*H57</f>
        <v/>
      </c>
      <c r="V57" s="7">
        <f>Mecanismos!B8*K57</f>
        <v/>
      </c>
      <c r="W57" s="7">
        <f>SUM(L57:S57)</f>
        <v/>
      </c>
      <c r="X57" s="7">
        <f>SUM(T57:V57)</f>
        <v/>
      </c>
      <c r="Y57" s="8">
        <f>MAX(0,MIN(1,Parametros!B2-W57*Parametros!B3+X57*Parametros!B4))</f>
        <v/>
      </c>
    </row>
    <row r="58">
      <c r="A58" t="inlineStr">
        <is>
          <t>pe0ibe</t>
        </is>
      </c>
      <c r="B58" t="inlineStr">
        <is>
          <t>Ayla Rocha</t>
        </is>
      </c>
      <c r="C58" s="6" t="n">
        <v>0.5651</v>
      </c>
      <c r="D58" s="6" t="n">
        <v>0.804</v>
      </c>
      <c r="E58" s="6" t="n">
        <v>0.467</v>
      </c>
      <c r="F58" s="6" t="n">
        <v>0.6735</v>
      </c>
      <c r="G58" s="6" t="n">
        <v>0.4253</v>
      </c>
      <c r="H58" s="6" t="n">
        <v>0.7144</v>
      </c>
      <c r="I58" s="6" t="n">
        <v>0.6921</v>
      </c>
      <c r="J58" s="6" t="n">
        <v>0.7268</v>
      </c>
      <c r="K58" s="6" t="n">
        <v>0.7039</v>
      </c>
      <c r="L58" s="7">
        <f>Mecanismos!B2*C58</f>
        <v/>
      </c>
      <c r="M58" s="7">
        <f>Mecanismos!B7*D58</f>
        <v/>
      </c>
      <c r="N58" s="7">
        <f>Mecanismos!B4*(1-E58)</f>
        <v/>
      </c>
      <c r="O58" s="7">
        <f>Mecanismos!B5*(1-F58)</f>
        <v/>
      </c>
      <c r="P58" s="7">
        <f>Mecanismos!B6*(1-I58)</f>
        <v/>
      </c>
      <c r="Q58" s="7">
        <f>Mecanismos!B9*(1-G58)</f>
        <v/>
      </c>
      <c r="R58" s="7">
        <f>Mecanismos!B3*(1-D58)</f>
        <v/>
      </c>
      <c r="S58" s="7">
        <f>Mecanismos!B9*(1-J58)</f>
        <v/>
      </c>
      <c r="T58" s="7">
        <f>Mecanismos!B8*H58</f>
        <v/>
      </c>
      <c r="U58" s="7">
        <f>Mecanismos!B10*H58</f>
        <v/>
      </c>
      <c r="V58" s="7">
        <f>Mecanismos!B8*K58</f>
        <v/>
      </c>
      <c r="W58" s="7">
        <f>SUM(L58:S58)</f>
        <v/>
      </c>
      <c r="X58" s="7">
        <f>SUM(T58:V58)</f>
        <v/>
      </c>
      <c r="Y58" s="8">
        <f>MAX(0,MIN(1,Parametros!B2-W58*Parametros!B3+X58*Parametros!B4))</f>
        <v/>
      </c>
    </row>
    <row r="59">
      <c r="A59" t="inlineStr">
        <is>
          <t>4t6zl5</t>
        </is>
      </c>
      <c r="B59" t="inlineStr">
        <is>
          <t>Aylla Fernandes</t>
        </is>
      </c>
      <c r="C59" s="6" t="n">
        <v>0.4491</v>
      </c>
      <c r="D59" s="6" t="n">
        <v>0.6209</v>
      </c>
      <c r="E59" s="6" t="n">
        <v>0.617</v>
      </c>
      <c r="F59" s="6" t="n">
        <v>0.5505</v>
      </c>
      <c r="G59" s="6" t="n">
        <v>0.5838</v>
      </c>
      <c r="H59" s="6" t="n">
        <v>0.6948</v>
      </c>
      <c r="I59" s="6" t="n">
        <v>0.4012</v>
      </c>
      <c r="J59" s="6" t="n">
        <v>0.8687</v>
      </c>
      <c r="K59" s="6" t="n">
        <v>0.4205</v>
      </c>
      <c r="L59" s="7">
        <f>Mecanismos!B2*C59</f>
        <v/>
      </c>
      <c r="M59" s="7">
        <f>Mecanismos!B7*D59</f>
        <v/>
      </c>
      <c r="N59" s="7">
        <f>Mecanismos!B4*(1-E59)</f>
        <v/>
      </c>
      <c r="O59" s="7">
        <f>Mecanismos!B5*(1-F59)</f>
        <v/>
      </c>
      <c r="P59" s="7">
        <f>Mecanismos!B6*(1-I59)</f>
        <v/>
      </c>
      <c r="Q59" s="7">
        <f>Mecanismos!B9*(1-G59)</f>
        <v/>
      </c>
      <c r="R59" s="7">
        <f>Mecanismos!B3*(1-D59)</f>
        <v/>
      </c>
      <c r="S59" s="7">
        <f>Mecanismos!B9*(1-J59)</f>
        <v/>
      </c>
      <c r="T59" s="7">
        <f>Mecanismos!B8*H59</f>
        <v/>
      </c>
      <c r="U59" s="7">
        <f>Mecanismos!B10*H59</f>
        <v/>
      </c>
      <c r="V59" s="7">
        <f>Mecanismos!B8*K59</f>
        <v/>
      </c>
      <c r="W59" s="7">
        <f>SUM(L59:S59)</f>
        <v/>
      </c>
      <c r="X59" s="7">
        <f>SUM(T59:V59)</f>
        <v/>
      </c>
      <c r="Y59" s="8">
        <f>MAX(0,MIN(1,Parametros!B2-W59*Parametros!B3+X59*Parametros!B4))</f>
        <v/>
      </c>
    </row>
    <row r="60">
      <c r="A60" t="inlineStr">
        <is>
          <t>jtodc9</t>
        </is>
      </c>
      <c r="B60" t="inlineStr">
        <is>
          <t>Aylla Pastor</t>
        </is>
      </c>
      <c r="C60" s="6" t="n">
        <v>0.5399</v>
      </c>
      <c r="D60" s="6" t="n">
        <v>0.5531</v>
      </c>
      <c r="E60" s="6" t="n">
        <v>0.4066</v>
      </c>
      <c r="F60" s="6" t="n">
        <v>0.246</v>
      </c>
      <c r="G60" s="6" t="n">
        <v>0.5345</v>
      </c>
      <c r="H60" s="6" t="n">
        <v>0.6562</v>
      </c>
      <c r="I60" s="6" t="n">
        <v>0.6801</v>
      </c>
      <c r="J60" s="6" t="n">
        <v>0.8692</v>
      </c>
      <c r="K60" s="6" t="n">
        <v>0.7358</v>
      </c>
      <c r="L60" s="7">
        <f>Mecanismos!B2*C60</f>
        <v/>
      </c>
      <c r="M60" s="7">
        <f>Mecanismos!B7*D60</f>
        <v/>
      </c>
      <c r="N60" s="7">
        <f>Mecanismos!B4*(1-E60)</f>
        <v/>
      </c>
      <c r="O60" s="7">
        <f>Mecanismos!B5*(1-F60)</f>
        <v/>
      </c>
      <c r="P60" s="7">
        <f>Mecanismos!B6*(1-I60)</f>
        <v/>
      </c>
      <c r="Q60" s="7">
        <f>Mecanismos!B9*(1-G60)</f>
        <v/>
      </c>
      <c r="R60" s="7">
        <f>Mecanismos!B3*(1-D60)</f>
        <v/>
      </c>
      <c r="S60" s="7">
        <f>Mecanismos!B9*(1-J60)</f>
        <v/>
      </c>
      <c r="T60" s="7">
        <f>Mecanismos!B8*H60</f>
        <v/>
      </c>
      <c r="U60" s="7">
        <f>Mecanismos!B10*H60</f>
        <v/>
      </c>
      <c r="V60" s="7">
        <f>Mecanismos!B8*K60</f>
        <v/>
      </c>
      <c r="W60" s="7">
        <f>SUM(L60:S60)</f>
        <v/>
      </c>
      <c r="X60" s="7">
        <f>SUM(T60:V60)</f>
        <v/>
      </c>
      <c r="Y60" s="8">
        <f>MAX(0,MIN(1,Parametros!B2-W60*Parametros!B3+X60*Parametros!B4))</f>
        <v/>
      </c>
    </row>
    <row r="61">
      <c r="A61" t="inlineStr">
        <is>
          <t>m0l98u</t>
        </is>
      </c>
      <c r="B61" t="inlineStr">
        <is>
          <t>Beatriz Duarte</t>
        </is>
      </c>
      <c r="C61" s="6" t="n">
        <v>0.4425</v>
      </c>
      <c r="D61" s="6" t="n">
        <v>0.2935</v>
      </c>
      <c r="E61" s="6" t="n">
        <v>0.7884</v>
      </c>
      <c r="F61" s="6" t="n">
        <v>0.3982</v>
      </c>
      <c r="G61" s="6" t="n">
        <v>0.4403</v>
      </c>
      <c r="H61" s="6" t="n">
        <v>0.7941</v>
      </c>
      <c r="I61" s="6" t="n">
        <v>0.2815</v>
      </c>
      <c r="J61" s="6" t="n">
        <v>0.8022</v>
      </c>
      <c r="K61" s="6" t="n">
        <v>0.8218</v>
      </c>
      <c r="L61" s="7">
        <f>Mecanismos!B2*C61</f>
        <v/>
      </c>
      <c r="M61" s="7">
        <f>Mecanismos!B7*D61</f>
        <v/>
      </c>
      <c r="N61" s="7">
        <f>Mecanismos!B4*(1-E61)</f>
        <v/>
      </c>
      <c r="O61" s="7">
        <f>Mecanismos!B5*(1-F61)</f>
        <v/>
      </c>
      <c r="P61" s="7">
        <f>Mecanismos!B6*(1-I61)</f>
        <v/>
      </c>
      <c r="Q61" s="7">
        <f>Mecanismos!B9*(1-G61)</f>
        <v/>
      </c>
      <c r="R61" s="7">
        <f>Mecanismos!B3*(1-D61)</f>
        <v/>
      </c>
      <c r="S61" s="7">
        <f>Mecanismos!B9*(1-J61)</f>
        <v/>
      </c>
      <c r="T61" s="7">
        <f>Mecanismos!B8*H61</f>
        <v/>
      </c>
      <c r="U61" s="7">
        <f>Mecanismos!B10*H61</f>
        <v/>
      </c>
      <c r="V61" s="7">
        <f>Mecanismos!B8*K61</f>
        <v/>
      </c>
      <c r="W61" s="7">
        <f>SUM(L61:S61)</f>
        <v/>
      </c>
      <c r="X61" s="7">
        <f>SUM(T61:V61)</f>
        <v/>
      </c>
      <c r="Y61" s="8">
        <f>MAX(0,MIN(1,Parametros!B2-W61*Parametros!B3+X61*Parametros!B4))</f>
        <v/>
      </c>
    </row>
    <row r="62">
      <c r="A62" t="inlineStr">
        <is>
          <t>4g4cap</t>
        </is>
      </c>
      <c r="B62" t="inlineStr">
        <is>
          <t>Bella Duarte</t>
        </is>
      </c>
      <c r="C62" s="6" t="n">
        <v>0.4366</v>
      </c>
      <c r="D62" s="6" t="n">
        <v>0.4693</v>
      </c>
      <c r="E62" s="6" t="n">
        <v>0.6048</v>
      </c>
      <c r="F62" s="6" t="n">
        <v>0.5263</v>
      </c>
      <c r="G62" s="6" t="n">
        <v>0.5856</v>
      </c>
      <c r="H62" s="6" t="n">
        <v>0.5259</v>
      </c>
      <c r="I62" s="6" t="n">
        <v>0.5512</v>
      </c>
      <c r="J62" s="6" t="n">
        <v>0.8067</v>
      </c>
      <c r="K62" s="6" t="n">
        <v>0.2671</v>
      </c>
      <c r="L62" s="7">
        <f>Mecanismos!B2*C62</f>
        <v/>
      </c>
      <c r="M62" s="7">
        <f>Mecanismos!B7*D62</f>
        <v/>
      </c>
      <c r="N62" s="7">
        <f>Mecanismos!B4*(1-E62)</f>
        <v/>
      </c>
      <c r="O62" s="7">
        <f>Mecanismos!B5*(1-F62)</f>
        <v/>
      </c>
      <c r="P62" s="7">
        <f>Mecanismos!B6*(1-I62)</f>
        <v/>
      </c>
      <c r="Q62" s="7">
        <f>Mecanismos!B9*(1-G62)</f>
        <v/>
      </c>
      <c r="R62" s="7">
        <f>Mecanismos!B3*(1-D62)</f>
        <v/>
      </c>
      <c r="S62" s="7">
        <f>Mecanismos!B9*(1-J62)</f>
        <v/>
      </c>
      <c r="T62" s="7">
        <f>Mecanismos!B8*H62</f>
        <v/>
      </c>
      <c r="U62" s="7">
        <f>Mecanismos!B10*H62</f>
        <v/>
      </c>
      <c r="V62" s="7">
        <f>Mecanismos!B8*K62</f>
        <v/>
      </c>
      <c r="W62" s="7">
        <f>SUM(L62:S62)</f>
        <v/>
      </c>
      <c r="X62" s="7">
        <f>SUM(T62:V62)</f>
        <v/>
      </c>
      <c r="Y62" s="8">
        <f>MAX(0,MIN(1,Parametros!B2-W62*Parametros!B3+X62*Parametros!B4))</f>
        <v/>
      </c>
    </row>
    <row r="63">
      <c r="A63" t="inlineStr">
        <is>
          <t>q2he40</t>
        </is>
      </c>
      <c r="B63" t="inlineStr">
        <is>
          <t>Bella Fernandes</t>
        </is>
      </c>
      <c r="C63" s="6" t="n">
        <v>0.6031</v>
      </c>
      <c r="D63" s="6" t="n">
        <v>0.5664</v>
      </c>
      <c r="E63" s="6" t="n">
        <v>0.3789</v>
      </c>
      <c r="F63" s="6" t="n">
        <v>0.7275</v>
      </c>
      <c r="G63" s="6" t="n">
        <v>0.4191</v>
      </c>
      <c r="H63" s="6" t="n">
        <v>0.465</v>
      </c>
      <c r="I63" s="6" t="n">
        <v>0.3478</v>
      </c>
      <c r="J63" s="6" t="n">
        <v>0.8249</v>
      </c>
      <c r="K63" s="6" t="n">
        <v>0.4018</v>
      </c>
      <c r="L63" s="7">
        <f>Mecanismos!B2*C63</f>
        <v/>
      </c>
      <c r="M63" s="7">
        <f>Mecanismos!B7*D63</f>
        <v/>
      </c>
      <c r="N63" s="7">
        <f>Mecanismos!B4*(1-E63)</f>
        <v/>
      </c>
      <c r="O63" s="7">
        <f>Mecanismos!B5*(1-F63)</f>
        <v/>
      </c>
      <c r="P63" s="7">
        <f>Mecanismos!B6*(1-I63)</f>
        <v/>
      </c>
      <c r="Q63" s="7">
        <f>Mecanismos!B9*(1-G63)</f>
        <v/>
      </c>
      <c r="R63" s="7">
        <f>Mecanismos!B3*(1-D63)</f>
        <v/>
      </c>
      <c r="S63" s="7">
        <f>Mecanismos!B9*(1-J63)</f>
        <v/>
      </c>
      <c r="T63" s="7">
        <f>Mecanismos!B8*H63</f>
        <v/>
      </c>
      <c r="U63" s="7">
        <f>Mecanismos!B10*H63</f>
        <v/>
      </c>
      <c r="V63" s="7">
        <f>Mecanismos!B8*K63</f>
        <v/>
      </c>
      <c r="W63" s="7">
        <f>SUM(L63:S63)</f>
        <v/>
      </c>
      <c r="X63" s="7">
        <f>SUM(T63:V63)</f>
        <v/>
      </c>
      <c r="Y63" s="8">
        <f>MAX(0,MIN(1,Parametros!B2-W63*Parametros!B3+X63*Parametros!B4))</f>
        <v/>
      </c>
    </row>
    <row r="64">
      <c r="A64" t="inlineStr">
        <is>
          <t>c66tnq</t>
        </is>
      </c>
      <c r="B64" t="inlineStr">
        <is>
          <t>Bella da Rocha</t>
        </is>
      </c>
      <c r="C64" s="6" t="n">
        <v>0.8492</v>
      </c>
      <c r="D64" s="6" t="n">
        <v>0.4404</v>
      </c>
      <c r="E64" s="6" t="n">
        <v>0.5409</v>
      </c>
      <c r="F64" s="6" t="n">
        <v>0.5266999999999999</v>
      </c>
      <c r="G64" s="6" t="n">
        <v>0.5116000000000001</v>
      </c>
      <c r="H64" s="6" t="n">
        <v>0.2897</v>
      </c>
      <c r="I64" s="6" t="n">
        <v>0.1144</v>
      </c>
      <c r="J64" s="6" t="n">
        <v>0.8054</v>
      </c>
      <c r="K64" s="6" t="n">
        <v>0.5792</v>
      </c>
      <c r="L64" s="7">
        <f>Mecanismos!B2*C64</f>
        <v/>
      </c>
      <c r="M64" s="7">
        <f>Mecanismos!B7*D64</f>
        <v/>
      </c>
      <c r="N64" s="7">
        <f>Mecanismos!B4*(1-E64)</f>
        <v/>
      </c>
      <c r="O64" s="7">
        <f>Mecanismos!B5*(1-F64)</f>
        <v/>
      </c>
      <c r="P64" s="7">
        <f>Mecanismos!B6*(1-I64)</f>
        <v/>
      </c>
      <c r="Q64" s="7">
        <f>Mecanismos!B9*(1-G64)</f>
        <v/>
      </c>
      <c r="R64" s="7">
        <f>Mecanismos!B3*(1-D64)</f>
        <v/>
      </c>
      <c r="S64" s="7">
        <f>Mecanismos!B9*(1-J64)</f>
        <v/>
      </c>
      <c r="T64" s="7">
        <f>Mecanismos!B8*H64</f>
        <v/>
      </c>
      <c r="U64" s="7">
        <f>Mecanismos!B10*H64</f>
        <v/>
      </c>
      <c r="V64" s="7">
        <f>Mecanismos!B8*K64</f>
        <v/>
      </c>
      <c r="W64" s="7">
        <f>SUM(L64:S64)</f>
        <v/>
      </c>
      <c r="X64" s="7">
        <f>SUM(T64:V64)</f>
        <v/>
      </c>
      <c r="Y64" s="8">
        <f>MAX(0,MIN(1,Parametros!B2-W64*Parametros!B3+X64*Parametros!B4))</f>
        <v/>
      </c>
    </row>
    <row r="65">
      <c r="A65" t="inlineStr">
        <is>
          <t>e507xq</t>
        </is>
      </c>
      <c r="B65" t="inlineStr">
        <is>
          <t>Benjamim Pimenta</t>
        </is>
      </c>
      <c r="C65" s="6" t="n">
        <v>0.4397</v>
      </c>
      <c r="D65" s="6" t="n">
        <v>0.6955</v>
      </c>
      <c r="E65" s="6" t="n">
        <v>0.3442</v>
      </c>
      <c r="F65" s="6" t="n">
        <v>0.5955</v>
      </c>
      <c r="G65" s="6" t="n">
        <v>0.5145999999999999</v>
      </c>
      <c r="H65" s="6" t="n">
        <v>0.4407</v>
      </c>
      <c r="I65" s="6" t="n">
        <v>0.3251</v>
      </c>
      <c r="J65" s="6" t="n">
        <v>0.5515</v>
      </c>
      <c r="K65" s="6" t="n">
        <v>0.2201</v>
      </c>
      <c r="L65" s="7">
        <f>Mecanismos!B2*C65</f>
        <v/>
      </c>
      <c r="M65" s="7">
        <f>Mecanismos!B7*D65</f>
        <v/>
      </c>
      <c r="N65" s="7">
        <f>Mecanismos!B4*(1-E65)</f>
        <v/>
      </c>
      <c r="O65" s="7">
        <f>Mecanismos!B5*(1-F65)</f>
        <v/>
      </c>
      <c r="P65" s="7">
        <f>Mecanismos!B6*(1-I65)</f>
        <v/>
      </c>
      <c r="Q65" s="7">
        <f>Mecanismos!B9*(1-G65)</f>
        <v/>
      </c>
      <c r="R65" s="7">
        <f>Mecanismos!B3*(1-D65)</f>
        <v/>
      </c>
      <c r="S65" s="7">
        <f>Mecanismos!B9*(1-J65)</f>
        <v/>
      </c>
      <c r="T65" s="7">
        <f>Mecanismos!B8*H65</f>
        <v/>
      </c>
      <c r="U65" s="7">
        <f>Mecanismos!B10*H65</f>
        <v/>
      </c>
      <c r="V65" s="7">
        <f>Mecanismos!B8*K65</f>
        <v/>
      </c>
      <c r="W65" s="7">
        <f>SUM(L65:S65)</f>
        <v/>
      </c>
      <c r="X65" s="7">
        <f>SUM(T65:V65)</f>
        <v/>
      </c>
      <c r="Y65" s="8">
        <f>MAX(0,MIN(1,Parametros!B2-W65*Parametros!B3+X65*Parametros!B4))</f>
        <v/>
      </c>
    </row>
    <row r="66">
      <c r="A66" t="inlineStr">
        <is>
          <t>j8uo0a</t>
        </is>
      </c>
      <c r="B66" t="inlineStr">
        <is>
          <t>Benjamim Rodrigues</t>
        </is>
      </c>
      <c r="C66" s="6" t="n">
        <v>0.5646</v>
      </c>
      <c r="D66" s="6" t="n">
        <v>0.4506</v>
      </c>
      <c r="E66" s="6" t="n">
        <v>0.7208</v>
      </c>
      <c r="F66" s="6" t="n">
        <v>0.5469000000000001</v>
      </c>
      <c r="G66" s="6" t="n">
        <v>0.4304</v>
      </c>
      <c r="H66" s="6" t="n">
        <v>0.4269</v>
      </c>
      <c r="I66" s="6" t="n">
        <v>0.2166</v>
      </c>
      <c r="J66" s="6" t="n">
        <v>0.8976</v>
      </c>
      <c r="K66" s="6" t="n">
        <v>0.3546</v>
      </c>
      <c r="L66" s="7">
        <f>Mecanismos!B2*C66</f>
        <v/>
      </c>
      <c r="M66" s="7">
        <f>Mecanismos!B7*D66</f>
        <v/>
      </c>
      <c r="N66" s="7">
        <f>Mecanismos!B4*(1-E66)</f>
        <v/>
      </c>
      <c r="O66" s="7">
        <f>Mecanismos!B5*(1-F66)</f>
        <v/>
      </c>
      <c r="P66" s="7">
        <f>Mecanismos!B6*(1-I66)</f>
        <v/>
      </c>
      <c r="Q66" s="7">
        <f>Mecanismos!B9*(1-G66)</f>
        <v/>
      </c>
      <c r="R66" s="7">
        <f>Mecanismos!B3*(1-D66)</f>
        <v/>
      </c>
      <c r="S66" s="7">
        <f>Mecanismos!B9*(1-J66)</f>
        <v/>
      </c>
      <c r="T66" s="7">
        <f>Mecanismos!B8*H66</f>
        <v/>
      </c>
      <c r="U66" s="7">
        <f>Mecanismos!B10*H66</f>
        <v/>
      </c>
      <c r="V66" s="7">
        <f>Mecanismos!B8*K66</f>
        <v/>
      </c>
      <c r="W66" s="7">
        <f>SUM(L66:S66)</f>
        <v/>
      </c>
      <c r="X66" s="7">
        <f>SUM(T66:V66)</f>
        <v/>
      </c>
      <c r="Y66" s="8">
        <f>MAX(0,MIN(1,Parametros!B2-W66*Parametros!B3+X66*Parametros!B4))</f>
        <v/>
      </c>
    </row>
    <row r="67">
      <c r="A67" t="inlineStr">
        <is>
          <t>mjuams</t>
        </is>
      </c>
      <c r="B67" t="inlineStr">
        <is>
          <t>Benjamim Vargas</t>
        </is>
      </c>
      <c r="C67" s="6" t="n">
        <v>0.5752</v>
      </c>
      <c r="D67" s="6" t="n">
        <v>0.4696</v>
      </c>
      <c r="E67" s="6" t="n">
        <v>0.4946</v>
      </c>
      <c r="F67" s="6" t="n">
        <v>0.5760999999999999</v>
      </c>
      <c r="G67" s="6" t="n">
        <v>0.4711</v>
      </c>
      <c r="H67" s="6" t="n">
        <v>0.6277</v>
      </c>
      <c r="I67" s="6" t="n">
        <v>0.6963</v>
      </c>
      <c r="J67" s="6" t="n">
        <v>0.9735</v>
      </c>
      <c r="K67" s="6" t="n">
        <v>0.83</v>
      </c>
      <c r="L67" s="7">
        <f>Mecanismos!B2*C67</f>
        <v/>
      </c>
      <c r="M67" s="7">
        <f>Mecanismos!B7*D67</f>
        <v/>
      </c>
      <c r="N67" s="7">
        <f>Mecanismos!B4*(1-E67)</f>
        <v/>
      </c>
      <c r="O67" s="7">
        <f>Mecanismos!B5*(1-F67)</f>
        <v/>
      </c>
      <c r="P67" s="7">
        <f>Mecanismos!B6*(1-I67)</f>
        <v/>
      </c>
      <c r="Q67" s="7">
        <f>Mecanismos!B9*(1-G67)</f>
        <v/>
      </c>
      <c r="R67" s="7">
        <f>Mecanismos!B3*(1-D67)</f>
        <v/>
      </c>
      <c r="S67" s="7">
        <f>Mecanismos!B9*(1-J67)</f>
        <v/>
      </c>
      <c r="T67" s="7">
        <f>Mecanismos!B8*H67</f>
        <v/>
      </c>
      <c r="U67" s="7">
        <f>Mecanismos!B10*H67</f>
        <v/>
      </c>
      <c r="V67" s="7">
        <f>Mecanismos!B8*K67</f>
        <v/>
      </c>
      <c r="W67" s="7">
        <f>SUM(L67:S67)</f>
        <v/>
      </c>
      <c r="X67" s="7">
        <f>SUM(T67:V67)</f>
        <v/>
      </c>
      <c r="Y67" s="8">
        <f>MAX(0,MIN(1,Parametros!B2-W67*Parametros!B3+X67*Parametros!B4))</f>
        <v/>
      </c>
    </row>
    <row r="68">
      <c r="A68" t="inlineStr">
        <is>
          <t>1gcrjr</t>
        </is>
      </c>
      <c r="B68" t="inlineStr">
        <is>
          <t>Bento Fogaça</t>
        </is>
      </c>
      <c r="C68" s="6" t="n">
        <v>0.6694</v>
      </c>
      <c r="D68" s="6" t="n">
        <v>0.6328</v>
      </c>
      <c r="E68" s="6" t="n">
        <v>0.2894</v>
      </c>
      <c r="F68" s="6" t="n">
        <v>0.7491</v>
      </c>
      <c r="G68" s="6" t="n">
        <v>0.5049</v>
      </c>
      <c r="H68" s="6" t="n">
        <v>0.4768</v>
      </c>
      <c r="I68" s="6" t="n">
        <v>0.3029</v>
      </c>
      <c r="J68" s="6" t="n">
        <v>0.9205</v>
      </c>
      <c r="K68" s="6" t="n">
        <v>0.5957</v>
      </c>
      <c r="L68" s="7">
        <f>Mecanismos!B2*C68</f>
        <v/>
      </c>
      <c r="M68" s="7">
        <f>Mecanismos!B7*D68</f>
        <v/>
      </c>
      <c r="N68" s="7">
        <f>Mecanismos!B4*(1-E68)</f>
        <v/>
      </c>
      <c r="O68" s="7">
        <f>Mecanismos!B5*(1-F68)</f>
        <v/>
      </c>
      <c r="P68" s="7">
        <f>Mecanismos!B6*(1-I68)</f>
        <v/>
      </c>
      <c r="Q68" s="7">
        <f>Mecanismos!B9*(1-G68)</f>
        <v/>
      </c>
      <c r="R68" s="7">
        <f>Mecanismos!B3*(1-D68)</f>
        <v/>
      </c>
      <c r="S68" s="7">
        <f>Mecanismos!B9*(1-J68)</f>
        <v/>
      </c>
      <c r="T68" s="7">
        <f>Mecanismos!B8*H68</f>
        <v/>
      </c>
      <c r="U68" s="7">
        <f>Mecanismos!B10*H68</f>
        <v/>
      </c>
      <c r="V68" s="7">
        <f>Mecanismos!B8*K68</f>
        <v/>
      </c>
      <c r="W68" s="7">
        <f>SUM(L68:S68)</f>
        <v/>
      </c>
      <c r="X68" s="7">
        <f>SUM(T68:V68)</f>
        <v/>
      </c>
      <c r="Y68" s="8">
        <f>MAX(0,MIN(1,Parametros!B2-W68*Parametros!B3+X68*Parametros!B4))</f>
        <v/>
      </c>
    </row>
    <row r="69">
      <c r="A69" t="inlineStr">
        <is>
          <t>uw3p6q</t>
        </is>
      </c>
      <c r="B69" t="inlineStr">
        <is>
          <t>Bernardo Guerra</t>
        </is>
      </c>
      <c r="C69" s="6" t="n">
        <v>0.5003</v>
      </c>
      <c r="D69" s="6" t="n">
        <v>0.5291</v>
      </c>
      <c r="E69" s="6" t="n">
        <v>0.5564</v>
      </c>
      <c r="F69" s="6" t="n">
        <v>0.553</v>
      </c>
      <c r="G69" s="6" t="n">
        <v>0.2178</v>
      </c>
      <c r="H69" s="6" t="n">
        <v>0.4522</v>
      </c>
      <c r="I69" s="6" t="n">
        <v>0.6218</v>
      </c>
      <c r="J69" s="6" t="n">
        <v>0.7931</v>
      </c>
      <c r="K69" s="6" t="n">
        <v>0.7315</v>
      </c>
      <c r="L69" s="7">
        <f>Mecanismos!B2*C69</f>
        <v/>
      </c>
      <c r="M69" s="7">
        <f>Mecanismos!B7*D69</f>
        <v/>
      </c>
      <c r="N69" s="7">
        <f>Mecanismos!B4*(1-E69)</f>
        <v/>
      </c>
      <c r="O69" s="7">
        <f>Mecanismos!B5*(1-F69)</f>
        <v/>
      </c>
      <c r="P69" s="7">
        <f>Mecanismos!B6*(1-I69)</f>
        <v/>
      </c>
      <c r="Q69" s="7">
        <f>Mecanismos!B9*(1-G69)</f>
        <v/>
      </c>
      <c r="R69" s="7">
        <f>Mecanismos!B3*(1-D69)</f>
        <v/>
      </c>
      <c r="S69" s="7">
        <f>Mecanismos!B9*(1-J69)</f>
        <v/>
      </c>
      <c r="T69" s="7">
        <f>Mecanismos!B8*H69</f>
        <v/>
      </c>
      <c r="U69" s="7">
        <f>Mecanismos!B10*H69</f>
        <v/>
      </c>
      <c r="V69" s="7">
        <f>Mecanismos!B8*K69</f>
        <v/>
      </c>
      <c r="W69" s="7">
        <f>SUM(L69:S69)</f>
        <v/>
      </c>
      <c r="X69" s="7">
        <f>SUM(T69:V69)</f>
        <v/>
      </c>
      <c r="Y69" s="8">
        <f>MAX(0,MIN(1,Parametros!B2-W69*Parametros!B3+X69*Parametros!B4))</f>
        <v/>
      </c>
    </row>
    <row r="70">
      <c r="A70" t="inlineStr">
        <is>
          <t>aiecp9</t>
        </is>
      </c>
      <c r="B70" t="inlineStr">
        <is>
          <t>Bernardo Rezende</t>
        </is>
      </c>
      <c r="C70" s="6" t="n">
        <v>0.499</v>
      </c>
      <c r="D70" s="6" t="n">
        <v>0.5974</v>
      </c>
      <c r="E70" s="6" t="n">
        <v>0.4018</v>
      </c>
      <c r="F70" s="6" t="n">
        <v>0.3706</v>
      </c>
      <c r="G70" s="6" t="n">
        <v>0.415</v>
      </c>
      <c r="H70" s="6" t="n">
        <v>0.6623</v>
      </c>
      <c r="I70" s="6" t="n">
        <v>0.5004999999999999</v>
      </c>
      <c r="J70" s="6" t="n">
        <v>0.8841</v>
      </c>
      <c r="K70" s="6" t="n">
        <v>0.7874</v>
      </c>
      <c r="L70" s="7">
        <f>Mecanismos!B2*C70</f>
        <v/>
      </c>
      <c r="M70" s="7">
        <f>Mecanismos!B7*D70</f>
        <v/>
      </c>
      <c r="N70" s="7">
        <f>Mecanismos!B4*(1-E70)</f>
        <v/>
      </c>
      <c r="O70" s="7">
        <f>Mecanismos!B5*(1-F70)</f>
        <v/>
      </c>
      <c r="P70" s="7">
        <f>Mecanismos!B6*(1-I70)</f>
        <v/>
      </c>
      <c r="Q70" s="7">
        <f>Mecanismos!B9*(1-G70)</f>
        <v/>
      </c>
      <c r="R70" s="7">
        <f>Mecanismos!B3*(1-D70)</f>
        <v/>
      </c>
      <c r="S70" s="7">
        <f>Mecanismos!B9*(1-J70)</f>
        <v/>
      </c>
      <c r="T70" s="7">
        <f>Mecanismos!B8*H70</f>
        <v/>
      </c>
      <c r="U70" s="7">
        <f>Mecanismos!B10*H70</f>
        <v/>
      </c>
      <c r="V70" s="7">
        <f>Mecanismos!B8*K70</f>
        <v/>
      </c>
      <c r="W70" s="7">
        <f>SUM(L70:S70)</f>
        <v/>
      </c>
      <c r="X70" s="7">
        <f>SUM(T70:V70)</f>
        <v/>
      </c>
      <c r="Y70" s="8">
        <f>MAX(0,MIN(1,Parametros!B2-W70*Parametros!B3+X70*Parametros!B4))</f>
        <v/>
      </c>
    </row>
    <row r="71">
      <c r="A71" t="inlineStr">
        <is>
          <t>uc3o01</t>
        </is>
      </c>
      <c r="B71" t="inlineStr">
        <is>
          <t>Bernardo Souza</t>
        </is>
      </c>
      <c r="C71" s="6" t="n">
        <v>0.4627</v>
      </c>
      <c r="D71" s="6" t="n">
        <v>0.4897</v>
      </c>
      <c r="E71" s="6" t="n">
        <v>0.5142</v>
      </c>
      <c r="F71" s="6" t="n">
        <v>0.2564</v>
      </c>
      <c r="G71" s="6" t="n">
        <v>0.2324</v>
      </c>
      <c r="H71" s="6" t="n">
        <v>0.771</v>
      </c>
      <c r="I71" s="6" t="n">
        <v>0.3676</v>
      </c>
      <c r="J71" s="6" t="n">
        <v>0.5649999999999999</v>
      </c>
      <c r="K71" s="6" t="n">
        <v>0.6798</v>
      </c>
      <c r="L71" s="7">
        <f>Mecanismos!B2*C71</f>
        <v/>
      </c>
      <c r="M71" s="7">
        <f>Mecanismos!B7*D71</f>
        <v/>
      </c>
      <c r="N71" s="7">
        <f>Mecanismos!B4*(1-E71)</f>
        <v/>
      </c>
      <c r="O71" s="7">
        <f>Mecanismos!B5*(1-F71)</f>
        <v/>
      </c>
      <c r="P71" s="7">
        <f>Mecanismos!B6*(1-I71)</f>
        <v/>
      </c>
      <c r="Q71" s="7">
        <f>Mecanismos!B9*(1-G71)</f>
        <v/>
      </c>
      <c r="R71" s="7">
        <f>Mecanismos!B3*(1-D71)</f>
        <v/>
      </c>
      <c r="S71" s="7">
        <f>Mecanismos!B9*(1-J71)</f>
        <v/>
      </c>
      <c r="T71" s="7">
        <f>Mecanismos!B8*H71</f>
        <v/>
      </c>
      <c r="U71" s="7">
        <f>Mecanismos!B10*H71</f>
        <v/>
      </c>
      <c r="V71" s="7">
        <f>Mecanismos!B8*K71</f>
        <v/>
      </c>
      <c r="W71" s="7">
        <f>SUM(L71:S71)</f>
        <v/>
      </c>
      <c r="X71" s="7">
        <f>SUM(T71:V71)</f>
        <v/>
      </c>
      <c r="Y71" s="8">
        <f>MAX(0,MIN(1,Parametros!B2-W71*Parametros!B3+X71*Parametros!B4))</f>
        <v/>
      </c>
    </row>
    <row r="72">
      <c r="A72" t="inlineStr">
        <is>
          <t>757zng</t>
        </is>
      </c>
      <c r="B72" t="inlineStr">
        <is>
          <t>Bianca Correia</t>
        </is>
      </c>
      <c r="C72" s="6" t="n">
        <v>0.5551</v>
      </c>
      <c r="D72" s="6" t="n">
        <v>0.4049</v>
      </c>
      <c r="E72" s="6" t="n">
        <v>0.7881</v>
      </c>
      <c r="F72" s="6" t="n">
        <v>0.9225</v>
      </c>
      <c r="G72" s="6" t="n">
        <v>0.36</v>
      </c>
      <c r="H72" s="6" t="n">
        <v>0.7768</v>
      </c>
      <c r="I72" s="6" t="n">
        <v>0.6932</v>
      </c>
      <c r="J72" s="6" t="n">
        <v>0.7195</v>
      </c>
      <c r="K72" s="6" t="n">
        <v>0.7071</v>
      </c>
      <c r="L72" s="7">
        <f>Mecanismos!B2*C72</f>
        <v/>
      </c>
      <c r="M72" s="7">
        <f>Mecanismos!B7*D72</f>
        <v/>
      </c>
      <c r="N72" s="7">
        <f>Mecanismos!B4*(1-E72)</f>
        <v/>
      </c>
      <c r="O72" s="7">
        <f>Mecanismos!B5*(1-F72)</f>
        <v/>
      </c>
      <c r="P72" s="7">
        <f>Mecanismos!B6*(1-I72)</f>
        <v/>
      </c>
      <c r="Q72" s="7">
        <f>Mecanismos!B9*(1-G72)</f>
        <v/>
      </c>
      <c r="R72" s="7">
        <f>Mecanismos!B3*(1-D72)</f>
        <v/>
      </c>
      <c r="S72" s="7">
        <f>Mecanismos!B9*(1-J72)</f>
        <v/>
      </c>
      <c r="T72" s="7">
        <f>Mecanismos!B8*H72</f>
        <v/>
      </c>
      <c r="U72" s="7">
        <f>Mecanismos!B10*H72</f>
        <v/>
      </c>
      <c r="V72" s="7">
        <f>Mecanismos!B8*K72</f>
        <v/>
      </c>
      <c r="W72" s="7">
        <f>SUM(L72:S72)</f>
        <v/>
      </c>
      <c r="X72" s="7">
        <f>SUM(T72:V72)</f>
        <v/>
      </c>
      <c r="Y72" s="8">
        <f>MAX(0,MIN(1,Parametros!B2-W72*Parametros!B3+X72*Parametros!B4))</f>
        <v/>
      </c>
    </row>
    <row r="73">
      <c r="A73" t="inlineStr">
        <is>
          <t>hlyspf</t>
        </is>
      </c>
      <c r="B73" t="inlineStr">
        <is>
          <t>Bianca Jesus</t>
        </is>
      </c>
      <c r="C73" s="6" t="n">
        <v>0.5576</v>
      </c>
      <c r="D73" s="6" t="n">
        <v>0.5535</v>
      </c>
      <c r="E73" s="6" t="n">
        <v>0.3685</v>
      </c>
      <c r="F73" s="6" t="n">
        <v>0.7265</v>
      </c>
      <c r="G73" s="6" t="n">
        <v>0.2852</v>
      </c>
      <c r="H73" s="6" t="n">
        <v>0.7356</v>
      </c>
      <c r="I73" s="6" t="n">
        <v>0.4911</v>
      </c>
      <c r="J73" s="6" t="n">
        <v>0.5998</v>
      </c>
      <c r="K73" s="6" t="n">
        <v>0.7056</v>
      </c>
      <c r="L73" s="7">
        <f>Mecanismos!B2*C73</f>
        <v/>
      </c>
      <c r="M73" s="7">
        <f>Mecanismos!B7*D73</f>
        <v/>
      </c>
      <c r="N73" s="7">
        <f>Mecanismos!B4*(1-E73)</f>
        <v/>
      </c>
      <c r="O73" s="7">
        <f>Mecanismos!B5*(1-F73)</f>
        <v/>
      </c>
      <c r="P73" s="7">
        <f>Mecanismos!B6*(1-I73)</f>
        <v/>
      </c>
      <c r="Q73" s="7">
        <f>Mecanismos!B9*(1-G73)</f>
        <v/>
      </c>
      <c r="R73" s="7">
        <f>Mecanismos!B3*(1-D73)</f>
        <v/>
      </c>
      <c r="S73" s="7">
        <f>Mecanismos!B9*(1-J73)</f>
        <v/>
      </c>
      <c r="T73" s="7">
        <f>Mecanismos!B8*H73</f>
        <v/>
      </c>
      <c r="U73" s="7">
        <f>Mecanismos!B10*H73</f>
        <v/>
      </c>
      <c r="V73" s="7">
        <f>Mecanismos!B8*K73</f>
        <v/>
      </c>
      <c r="W73" s="7">
        <f>SUM(L73:S73)</f>
        <v/>
      </c>
      <c r="X73" s="7">
        <f>SUM(T73:V73)</f>
        <v/>
      </c>
      <c r="Y73" s="8">
        <f>MAX(0,MIN(1,Parametros!B2-W73*Parametros!B3+X73*Parametros!B4))</f>
        <v/>
      </c>
    </row>
    <row r="74">
      <c r="A74" t="inlineStr">
        <is>
          <t>zw8unn</t>
        </is>
      </c>
      <c r="B74" t="inlineStr">
        <is>
          <t>Bianca Viana</t>
        </is>
      </c>
      <c r="C74" s="6" t="n">
        <v>0.4631</v>
      </c>
      <c r="D74" s="6" t="n">
        <v>0.3141</v>
      </c>
      <c r="E74" s="6" t="n">
        <v>0.5165999999999999</v>
      </c>
      <c r="F74" s="6" t="n">
        <v>0.6084000000000001</v>
      </c>
      <c r="G74" s="6" t="n">
        <v>0.6421</v>
      </c>
      <c r="H74" s="6" t="n">
        <v>0.5641</v>
      </c>
      <c r="I74" s="6" t="n">
        <v>0.875</v>
      </c>
      <c r="J74" s="6" t="n">
        <v>0.7994</v>
      </c>
      <c r="K74" s="6" t="n">
        <v>0.4664</v>
      </c>
      <c r="L74" s="7">
        <f>Mecanismos!B2*C74</f>
        <v/>
      </c>
      <c r="M74" s="7">
        <f>Mecanismos!B7*D74</f>
        <v/>
      </c>
      <c r="N74" s="7">
        <f>Mecanismos!B4*(1-E74)</f>
        <v/>
      </c>
      <c r="O74" s="7">
        <f>Mecanismos!B5*(1-F74)</f>
        <v/>
      </c>
      <c r="P74" s="7">
        <f>Mecanismos!B6*(1-I74)</f>
        <v/>
      </c>
      <c r="Q74" s="7">
        <f>Mecanismos!B9*(1-G74)</f>
        <v/>
      </c>
      <c r="R74" s="7">
        <f>Mecanismos!B3*(1-D74)</f>
        <v/>
      </c>
      <c r="S74" s="7">
        <f>Mecanismos!B9*(1-J74)</f>
        <v/>
      </c>
      <c r="T74" s="7">
        <f>Mecanismos!B8*H74</f>
        <v/>
      </c>
      <c r="U74" s="7">
        <f>Mecanismos!B10*H74</f>
        <v/>
      </c>
      <c r="V74" s="7">
        <f>Mecanismos!B8*K74</f>
        <v/>
      </c>
      <c r="W74" s="7">
        <f>SUM(L74:S74)</f>
        <v/>
      </c>
      <c r="X74" s="7">
        <f>SUM(T74:V74)</f>
        <v/>
      </c>
      <c r="Y74" s="8">
        <f>MAX(0,MIN(1,Parametros!B2-W74*Parametros!B3+X74*Parametros!B4))</f>
        <v/>
      </c>
    </row>
    <row r="75">
      <c r="A75" t="inlineStr">
        <is>
          <t>18lpo7</t>
        </is>
      </c>
      <c r="B75" t="inlineStr">
        <is>
          <t>Bianca da Mota</t>
        </is>
      </c>
      <c r="C75" s="6" t="n">
        <v>0.4275</v>
      </c>
      <c r="D75" s="6" t="n">
        <v>0.5012</v>
      </c>
      <c r="E75" s="6" t="n">
        <v>0.2771</v>
      </c>
      <c r="F75" s="6" t="n">
        <v>0.7087</v>
      </c>
      <c r="G75" s="6" t="n">
        <v>0.2936</v>
      </c>
      <c r="H75" s="6" t="n">
        <v>0.8148</v>
      </c>
      <c r="I75" s="6" t="n">
        <v>0.6964</v>
      </c>
      <c r="J75" s="6" t="n">
        <v>0.7786999999999999</v>
      </c>
      <c r="K75" s="6" t="n">
        <v>0.3737</v>
      </c>
      <c r="L75" s="7">
        <f>Mecanismos!B2*C75</f>
        <v/>
      </c>
      <c r="M75" s="7">
        <f>Mecanismos!B7*D75</f>
        <v/>
      </c>
      <c r="N75" s="7">
        <f>Mecanismos!B4*(1-E75)</f>
        <v/>
      </c>
      <c r="O75" s="7">
        <f>Mecanismos!B5*(1-F75)</f>
        <v/>
      </c>
      <c r="P75" s="7">
        <f>Mecanismos!B6*(1-I75)</f>
        <v/>
      </c>
      <c r="Q75" s="7">
        <f>Mecanismos!B9*(1-G75)</f>
        <v/>
      </c>
      <c r="R75" s="7">
        <f>Mecanismos!B3*(1-D75)</f>
        <v/>
      </c>
      <c r="S75" s="7">
        <f>Mecanismos!B9*(1-J75)</f>
        <v/>
      </c>
      <c r="T75" s="7">
        <f>Mecanismos!B8*H75</f>
        <v/>
      </c>
      <c r="U75" s="7">
        <f>Mecanismos!B10*H75</f>
        <v/>
      </c>
      <c r="V75" s="7">
        <f>Mecanismos!B8*K75</f>
        <v/>
      </c>
      <c r="W75" s="7">
        <f>SUM(L75:S75)</f>
        <v/>
      </c>
      <c r="X75" s="7">
        <f>SUM(T75:V75)</f>
        <v/>
      </c>
      <c r="Y75" s="8">
        <f>MAX(0,MIN(1,Parametros!B2-W75*Parametros!B3+X75*Parametros!B4))</f>
        <v/>
      </c>
    </row>
    <row r="76">
      <c r="A76" t="inlineStr">
        <is>
          <t>w7g3d0</t>
        </is>
      </c>
      <c r="B76" t="inlineStr">
        <is>
          <t>Brayan Pinto</t>
        </is>
      </c>
      <c r="C76" s="6" t="n">
        <v>0.5726</v>
      </c>
      <c r="D76" s="6" t="n">
        <v>0.5263</v>
      </c>
      <c r="E76" s="6" t="n">
        <v>0.4389</v>
      </c>
      <c r="F76" s="6" t="n">
        <v>0.6894</v>
      </c>
      <c r="G76" s="6" t="n">
        <v>0.4454</v>
      </c>
      <c r="H76" s="6" t="n">
        <v>0.8277</v>
      </c>
      <c r="I76" s="6" t="n">
        <v>0.4756</v>
      </c>
      <c r="J76" s="6" t="n">
        <v>0.8599</v>
      </c>
      <c r="K76" s="6" t="n">
        <v>0.1664</v>
      </c>
      <c r="L76" s="7">
        <f>Mecanismos!B2*C76</f>
        <v/>
      </c>
      <c r="M76" s="7">
        <f>Mecanismos!B7*D76</f>
        <v/>
      </c>
      <c r="N76" s="7">
        <f>Mecanismos!B4*(1-E76)</f>
        <v/>
      </c>
      <c r="O76" s="7">
        <f>Mecanismos!B5*(1-F76)</f>
        <v/>
      </c>
      <c r="P76" s="7">
        <f>Mecanismos!B6*(1-I76)</f>
        <v/>
      </c>
      <c r="Q76" s="7">
        <f>Mecanismos!B9*(1-G76)</f>
        <v/>
      </c>
      <c r="R76" s="7">
        <f>Mecanismos!B3*(1-D76)</f>
        <v/>
      </c>
      <c r="S76" s="7">
        <f>Mecanismos!B9*(1-J76)</f>
        <v/>
      </c>
      <c r="T76" s="7">
        <f>Mecanismos!B8*H76</f>
        <v/>
      </c>
      <c r="U76" s="7">
        <f>Mecanismos!B10*H76</f>
        <v/>
      </c>
      <c r="V76" s="7">
        <f>Mecanismos!B8*K76</f>
        <v/>
      </c>
      <c r="W76" s="7">
        <f>SUM(L76:S76)</f>
        <v/>
      </c>
      <c r="X76" s="7">
        <f>SUM(T76:V76)</f>
        <v/>
      </c>
      <c r="Y76" s="8">
        <f>MAX(0,MIN(1,Parametros!B2-W76*Parametros!B3+X76*Parametros!B4))</f>
        <v/>
      </c>
    </row>
    <row r="77">
      <c r="A77" t="inlineStr">
        <is>
          <t>zb3c3d</t>
        </is>
      </c>
      <c r="B77" t="inlineStr">
        <is>
          <t>Brayan Rezende</t>
        </is>
      </c>
      <c r="C77" s="6" t="n">
        <v>0.7187</v>
      </c>
      <c r="D77" s="6" t="n">
        <v>0.7117</v>
      </c>
      <c r="E77" s="6" t="n">
        <v>0.544</v>
      </c>
      <c r="F77" s="6" t="n">
        <v>0.8307</v>
      </c>
      <c r="G77" s="6" t="n">
        <v>0.3696</v>
      </c>
      <c r="H77" s="6" t="n">
        <v>0.525</v>
      </c>
      <c r="I77" s="6" t="n">
        <v>0.7005</v>
      </c>
      <c r="J77" s="6" t="n">
        <v>0.8403</v>
      </c>
      <c r="K77" s="6" t="n">
        <v>0.8768</v>
      </c>
      <c r="L77" s="7">
        <f>Mecanismos!B2*C77</f>
        <v/>
      </c>
      <c r="M77" s="7">
        <f>Mecanismos!B7*D77</f>
        <v/>
      </c>
      <c r="N77" s="7">
        <f>Mecanismos!B4*(1-E77)</f>
        <v/>
      </c>
      <c r="O77" s="7">
        <f>Mecanismos!B5*(1-F77)</f>
        <v/>
      </c>
      <c r="P77" s="7">
        <f>Mecanismos!B6*(1-I77)</f>
        <v/>
      </c>
      <c r="Q77" s="7">
        <f>Mecanismos!B9*(1-G77)</f>
        <v/>
      </c>
      <c r="R77" s="7">
        <f>Mecanismos!B3*(1-D77)</f>
        <v/>
      </c>
      <c r="S77" s="7">
        <f>Mecanismos!B9*(1-J77)</f>
        <v/>
      </c>
      <c r="T77" s="7">
        <f>Mecanismos!B8*H77</f>
        <v/>
      </c>
      <c r="U77" s="7">
        <f>Mecanismos!B10*H77</f>
        <v/>
      </c>
      <c r="V77" s="7">
        <f>Mecanismos!B8*K77</f>
        <v/>
      </c>
      <c r="W77" s="7">
        <f>SUM(L77:S77)</f>
        <v/>
      </c>
      <c r="X77" s="7">
        <f>SUM(T77:V77)</f>
        <v/>
      </c>
      <c r="Y77" s="8">
        <f>MAX(0,MIN(1,Parametros!B2-W77*Parametros!B3+X77*Parametros!B4))</f>
        <v/>
      </c>
    </row>
    <row r="78">
      <c r="A78" t="inlineStr">
        <is>
          <t>fz55xj</t>
        </is>
      </c>
      <c r="B78" t="inlineStr">
        <is>
          <t>Bruna Cunha</t>
        </is>
      </c>
      <c r="C78" s="6" t="n">
        <v>0.55</v>
      </c>
      <c r="D78" s="6" t="n">
        <v>0.6556999999999999</v>
      </c>
      <c r="E78" s="6" t="n">
        <v>0.6407</v>
      </c>
      <c r="F78" s="6" t="n">
        <v>0.2548</v>
      </c>
      <c r="G78" s="6" t="n">
        <v>0.3511</v>
      </c>
      <c r="H78" s="6" t="n">
        <v>0.6934</v>
      </c>
      <c r="I78" s="6" t="n">
        <v>0.2947</v>
      </c>
      <c r="J78" s="6" t="n">
        <v>0.6578000000000001</v>
      </c>
      <c r="K78" s="6" t="n">
        <v>0.7277</v>
      </c>
      <c r="L78" s="7">
        <f>Mecanismos!B2*C78</f>
        <v/>
      </c>
      <c r="M78" s="7">
        <f>Mecanismos!B7*D78</f>
        <v/>
      </c>
      <c r="N78" s="7">
        <f>Mecanismos!B4*(1-E78)</f>
        <v/>
      </c>
      <c r="O78" s="7">
        <f>Mecanismos!B5*(1-F78)</f>
        <v/>
      </c>
      <c r="P78" s="7">
        <f>Mecanismos!B6*(1-I78)</f>
        <v/>
      </c>
      <c r="Q78" s="7">
        <f>Mecanismos!B9*(1-G78)</f>
        <v/>
      </c>
      <c r="R78" s="7">
        <f>Mecanismos!B3*(1-D78)</f>
        <v/>
      </c>
      <c r="S78" s="7">
        <f>Mecanismos!B9*(1-J78)</f>
        <v/>
      </c>
      <c r="T78" s="7">
        <f>Mecanismos!B8*H78</f>
        <v/>
      </c>
      <c r="U78" s="7">
        <f>Mecanismos!B10*H78</f>
        <v/>
      </c>
      <c r="V78" s="7">
        <f>Mecanismos!B8*K78</f>
        <v/>
      </c>
      <c r="W78" s="7">
        <f>SUM(L78:S78)</f>
        <v/>
      </c>
      <c r="X78" s="7">
        <f>SUM(T78:V78)</f>
        <v/>
      </c>
      <c r="Y78" s="8">
        <f>MAX(0,MIN(1,Parametros!B2-W78*Parametros!B3+X78*Parametros!B4))</f>
        <v/>
      </c>
    </row>
    <row r="79">
      <c r="A79" t="inlineStr">
        <is>
          <t>ipkvx4</t>
        </is>
      </c>
      <c r="B79" t="inlineStr">
        <is>
          <t>Bruna Guerra</t>
        </is>
      </c>
      <c r="C79" s="6" t="n">
        <v>0.6011</v>
      </c>
      <c r="D79" s="6" t="n">
        <v>0.5718</v>
      </c>
      <c r="E79" s="6" t="n">
        <v>0.6677999999999999</v>
      </c>
      <c r="F79" s="6" t="n">
        <v>0.5492</v>
      </c>
      <c r="G79" s="6" t="n">
        <v>0.5392</v>
      </c>
      <c r="H79" s="6" t="n">
        <v>0.5128</v>
      </c>
      <c r="I79" s="6" t="n">
        <v>0.5274</v>
      </c>
      <c r="J79" s="6" t="n">
        <v>0.7826</v>
      </c>
      <c r="K79" s="6" t="n">
        <v>0.5577</v>
      </c>
      <c r="L79" s="7">
        <f>Mecanismos!B2*C79</f>
        <v/>
      </c>
      <c r="M79" s="7">
        <f>Mecanismos!B7*D79</f>
        <v/>
      </c>
      <c r="N79" s="7">
        <f>Mecanismos!B4*(1-E79)</f>
        <v/>
      </c>
      <c r="O79" s="7">
        <f>Mecanismos!B5*(1-F79)</f>
        <v/>
      </c>
      <c r="P79" s="7">
        <f>Mecanismos!B6*(1-I79)</f>
        <v/>
      </c>
      <c r="Q79" s="7">
        <f>Mecanismos!B9*(1-G79)</f>
        <v/>
      </c>
      <c r="R79" s="7">
        <f>Mecanismos!B3*(1-D79)</f>
        <v/>
      </c>
      <c r="S79" s="7">
        <f>Mecanismos!B9*(1-J79)</f>
        <v/>
      </c>
      <c r="T79" s="7">
        <f>Mecanismos!B8*H79</f>
        <v/>
      </c>
      <c r="U79" s="7">
        <f>Mecanismos!B10*H79</f>
        <v/>
      </c>
      <c r="V79" s="7">
        <f>Mecanismos!B8*K79</f>
        <v/>
      </c>
      <c r="W79" s="7">
        <f>SUM(L79:S79)</f>
        <v/>
      </c>
      <c r="X79" s="7">
        <f>SUM(T79:V79)</f>
        <v/>
      </c>
      <c r="Y79" s="8">
        <f>MAX(0,MIN(1,Parametros!B2-W79*Parametros!B3+X79*Parametros!B4))</f>
        <v/>
      </c>
    </row>
    <row r="80">
      <c r="A80" t="inlineStr">
        <is>
          <t>gb5ppk</t>
        </is>
      </c>
      <c r="B80" t="inlineStr">
        <is>
          <t>Bruna Mendonça</t>
        </is>
      </c>
      <c r="C80" s="6" t="n">
        <v>0.5989</v>
      </c>
      <c r="D80" s="6" t="n">
        <v>0.6627</v>
      </c>
      <c r="E80" s="6" t="n">
        <v>0.6082</v>
      </c>
      <c r="F80" s="6" t="n">
        <v>0.5021</v>
      </c>
      <c r="G80" s="6" t="n">
        <v>0.5821</v>
      </c>
      <c r="H80" s="6" t="n">
        <v>0.7409</v>
      </c>
      <c r="I80" s="6" t="n">
        <v>0.5167</v>
      </c>
      <c r="J80" s="6" t="n">
        <v>0.5891</v>
      </c>
      <c r="K80" s="6" t="n">
        <v>0.8393</v>
      </c>
      <c r="L80" s="7">
        <f>Mecanismos!B2*C80</f>
        <v/>
      </c>
      <c r="M80" s="7">
        <f>Mecanismos!B7*D80</f>
        <v/>
      </c>
      <c r="N80" s="7">
        <f>Mecanismos!B4*(1-E80)</f>
        <v/>
      </c>
      <c r="O80" s="7">
        <f>Mecanismos!B5*(1-F80)</f>
        <v/>
      </c>
      <c r="P80" s="7">
        <f>Mecanismos!B6*(1-I80)</f>
        <v/>
      </c>
      <c r="Q80" s="7">
        <f>Mecanismos!B9*(1-G80)</f>
        <v/>
      </c>
      <c r="R80" s="7">
        <f>Mecanismos!B3*(1-D80)</f>
        <v/>
      </c>
      <c r="S80" s="7">
        <f>Mecanismos!B9*(1-J80)</f>
        <v/>
      </c>
      <c r="T80" s="7">
        <f>Mecanismos!B8*H80</f>
        <v/>
      </c>
      <c r="U80" s="7">
        <f>Mecanismos!B10*H80</f>
        <v/>
      </c>
      <c r="V80" s="7">
        <f>Mecanismos!B8*K80</f>
        <v/>
      </c>
      <c r="W80" s="7">
        <f>SUM(L80:S80)</f>
        <v/>
      </c>
      <c r="X80" s="7">
        <f>SUM(T80:V80)</f>
        <v/>
      </c>
      <c r="Y80" s="8">
        <f>MAX(0,MIN(1,Parametros!B2-W80*Parametros!B3+X80*Parametros!B4))</f>
        <v/>
      </c>
    </row>
    <row r="81">
      <c r="A81" t="inlineStr">
        <is>
          <t>2rb586</t>
        </is>
      </c>
      <c r="B81" t="inlineStr">
        <is>
          <t>Bruna Rezende</t>
        </is>
      </c>
      <c r="C81" s="6" t="n">
        <v>0.536</v>
      </c>
      <c r="D81" s="6" t="n">
        <v>0.5769</v>
      </c>
      <c r="E81" s="6" t="n">
        <v>0.4954</v>
      </c>
      <c r="F81" s="6" t="n">
        <v>0.7013</v>
      </c>
      <c r="G81" s="6" t="n">
        <v>0.5528999999999999</v>
      </c>
      <c r="H81" s="6" t="n">
        <v>0.7091</v>
      </c>
      <c r="I81" s="6" t="n">
        <v>0.7494</v>
      </c>
      <c r="J81" s="6" t="n">
        <v>0.7833</v>
      </c>
      <c r="K81" s="6" t="n">
        <v>0.8508</v>
      </c>
      <c r="L81" s="7">
        <f>Mecanismos!B2*C81</f>
        <v/>
      </c>
      <c r="M81" s="7">
        <f>Mecanismos!B7*D81</f>
        <v/>
      </c>
      <c r="N81" s="7">
        <f>Mecanismos!B4*(1-E81)</f>
        <v/>
      </c>
      <c r="O81" s="7">
        <f>Mecanismos!B5*(1-F81)</f>
        <v/>
      </c>
      <c r="P81" s="7">
        <f>Mecanismos!B6*(1-I81)</f>
        <v/>
      </c>
      <c r="Q81" s="7">
        <f>Mecanismos!B9*(1-G81)</f>
        <v/>
      </c>
      <c r="R81" s="7">
        <f>Mecanismos!B3*(1-D81)</f>
        <v/>
      </c>
      <c r="S81" s="7">
        <f>Mecanismos!B9*(1-J81)</f>
        <v/>
      </c>
      <c r="T81" s="7">
        <f>Mecanismos!B8*H81</f>
        <v/>
      </c>
      <c r="U81" s="7">
        <f>Mecanismos!B10*H81</f>
        <v/>
      </c>
      <c r="V81" s="7">
        <f>Mecanismos!B8*K81</f>
        <v/>
      </c>
      <c r="W81" s="7">
        <f>SUM(L81:S81)</f>
        <v/>
      </c>
      <c r="X81" s="7">
        <f>SUM(T81:V81)</f>
        <v/>
      </c>
      <c r="Y81" s="8">
        <f>MAX(0,MIN(1,Parametros!B2-W81*Parametros!B3+X81*Parametros!B4))</f>
        <v/>
      </c>
    </row>
    <row r="82">
      <c r="A82" t="inlineStr">
        <is>
          <t>60hzby</t>
        </is>
      </c>
      <c r="B82" t="inlineStr">
        <is>
          <t>Bruno Lima</t>
        </is>
      </c>
      <c r="C82" s="6" t="n">
        <v>0.4378</v>
      </c>
      <c r="D82" s="6" t="n">
        <v>0.6579</v>
      </c>
      <c r="E82" s="6" t="n">
        <v>0.3234</v>
      </c>
      <c r="F82" s="6" t="n">
        <v>0.8492</v>
      </c>
      <c r="G82" s="6" t="n">
        <v>0.5874</v>
      </c>
      <c r="H82" s="6" t="n">
        <v>0.4569</v>
      </c>
      <c r="I82" s="6" t="n">
        <v>0.309</v>
      </c>
      <c r="J82" s="6" t="n">
        <v>0.8037</v>
      </c>
      <c r="K82" s="6" t="n">
        <v>0.8635</v>
      </c>
      <c r="L82" s="7">
        <f>Mecanismos!B2*C82</f>
        <v/>
      </c>
      <c r="M82" s="7">
        <f>Mecanismos!B7*D82</f>
        <v/>
      </c>
      <c r="N82" s="7">
        <f>Mecanismos!B4*(1-E82)</f>
        <v/>
      </c>
      <c r="O82" s="7">
        <f>Mecanismos!B5*(1-F82)</f>
        <v/>
      </c>
      <c r="P82" s="7">
        <f>Mecanismos!B6*(1-I82)</f>
        <v/>
      </c>
      <c r="Q82" s="7">
        <f>Mecanismos!B9*(1-G82)</f>
        <v/>
      </c>
      <c r="R82" s="7">
        <f>Mecanismos!B3*(1-D82)</f>
        <v/>
      </c>
      <c r="S82" s="7">
        <f>Mecanismos!B9*(1-J82)</f>
        <v/>
      </c>
      <c r="T82" s="7">
        <f>Mecanismos!B8*H82</f>
        <v/>
      </c>
      <c r="U82" s="7">
        <f>Mecanismos!B10*H82</f>
        <v/>
      </c>
      <c r="V82" s="7">
        <f>Mecanismos!B8*K82</f>
        <v/>
      </c>
      <c r="W82" s="7">
        <f>SUM(L82:S82)</f>
        <v/>
      </c>
      <c r="X82" s="7">
        <f>SUM(T82:V82)</f>
        <v/>
      </c>
      <c r="Y82" s="8">
        <f>MAX(0,MIN(1,Parametros!B2-W82*Parametros!B3+X82*Parametros!B4))</f>
        <v/>
      </c>
    </row>
    <row r="83">
      <c r="A83" t="inlineStr">
        <is>
          <t>wdtwyi</t>
        </is>
      </c>
      <c r="B83" t="inlineStr">
        <is>
          <t>Bryan Siqueira</t>
        </is>
      </c>
      <c r="C83" s="6" t="n">
        <v>0.5896</v>
      </c>
      <c r="D83" s="6" t="n">
        <v>0.6908</v>
      </c>
      <c r="E83" s="6" t="n">
        <v>0.6817</v>
      </c>
      <c r="F83" s="6" t="n">
        <v>0.5580000000000001</v>
      </c>
      <c r="G83" s="6" t="n">
        <v>0.3712</v>
      </c>
      <c r="H83" s="6" t="n">
        <v>0.6473</v>
      </c>
      <c r="I83" s="6" t="n">
        <v>0.7105</v>
      </c>
      <c r="J83" s="6" t="n">
        <v>0.8292</v>
      </c>
      <c r="K83" s="6" t="n">
        <v>0.9438</v>
      </c>
      <c r="L83" s="7">
        <f>Mecanismos!B2*C83</f>
        <v/>
      </c>
      <c r="M83" s="7">
        <f>Mecanismos!B7*D83</f>
        <v/>
      </c>
      <c r="N83" s="7">
        <f>Mecanismos!B4*(1-E83)</f>
        <v/>
      </c>
      <c r="O83" s="7">
        <f>Mecanismos!B5*(1-F83)</f>
        <v/>
      </c>
      <c r="P83" s="7">
        <f>Mecanismos!B6*(1-I83)</f>
        <v/>
      </c>
      <c r="Q83" s="7">
        <f>Mecanismos!B9*(1-G83)</f>
        <v/>
      </c>
      <c r="R83" s="7">
        <f>Mecanismos!B3*(1-D83)</f>
        <v/>
      </c>
      <c r="S83" s="7">
        <f>Mecanismos!B9*(1-J83)</f>
        <v/>
      </c>
      <c r="T83" s="7">
        <f>Mecanismos!B8*H83</f>
        <v/>
      </c>
      <c r="U83" s="7">
        <f>Mecanismos!B10*H83</f>
        <v/>
      </c>
      <c r="V83" s="7">
        <f>Mecanismos!B8*K83</f>
        <v/>
      </c>
      <c r="W83" s="7">
        <f>SUM(L83:S83)</f>
        <v/>
      </c>
      <c r="X83" s="7">
        <f>SUM(T83:V83)</f>
        <v/>
      </c>
      <c r="Y83" s="8">
        <f>MAX(0,MIN(1,Parametros!B2-W83*Parametros!B3+X83*Parametros!B4))</f>
        <v/>
      </c>
    </row>
    <row r="84">
      <c r="A84" t="inlineStr">
        <is>
          <t>m3601h</t>
        </is>
      </c>
      <c r="B84" t="inlineStr">
        <is>
          <t>Bárbara Macedo</t>
        </is>
      </c>
      <c r="C84" s="6" t="n">
        <v>0.2959</v>
      </c>
      <c r="D84" s="6" t="n">
        <v>0.5157</v>
      </c>
      <c r="E84" s="6" t="n">
        <v>0.6464</v>
      </c>
      <c r="F84" s="6" t="n">
        <v>0.4625</v>
      </c>
      <c r="G84" s="6" t="n">
        <v>0.3897</v>
      </c>
      <c r="H84" s="6" t="n">
        <v>0.5732</v>
      </c>
      <c r="I84" s="6" t="n">
        <v>0.4214</v>
      </c>
      <c r="J84" s="6" t="n">
        <v>0.8511</v>
      </c>
      <c r="K84" s="6" t="n">
        <v>0.6679</v>
      </c>
      <c r="L84" s="7">
        <f>Mecanismos!B2*C84</f>
        <v/>
      </c>
      <c r="M84" s="7">
        <f>Mecanismos!B7*D84</f>
        <v/>
      </c>
      <c r="N84" s="7">
        <f>Mecanismos!B4*(1-E84)</f>
        <v/>
      </c>
      <c r="O84" s="7">
        <f>Mecanismos!B5*(1-F84)</f>
        <v/>
      </c>
      <c r="P84" s="7">
        <f>Mecanismos!B6*(1-I84)</f>
        <v/>
      </c>
      <c r="Q84" s="7">
        <f>Mecanismos!B9*(1-G84)</f>
        <v/>
      </c>
      <c r="R84" s="7">
        <f>Mecanismos!B3*(1-D84)</f>
        <v/>
      </c>
      <c r="S84" s="7">
        <f>Mecanismos!B9*(1-J84)</f>
        <v/>
      </c>
      <c r="T84" s="7">
        <f>Mecanismos!B8*H84</f>
        <v/>
      </c>
      <c r="U84" s="7">
        <f>Mecanismos!B10*H84</f>
        <v/>
      </c>
      <c r="V84" s="7">
        <f>Mecanismos!B8*K84</f>
        <v/>
      </c>
      <c r="W84" s="7">
        <f>SUM(L84:S84)</f>
        <v/>
      </c>
      <c r="X84" s="7">
        <f>SUM(T84:V84)</f>
        <v/>
      </c>
      <c r="Y84" s="8">
        <f>MAX(0,MIN(1,Parametros!B2-W84*Parametros!B3+X84*Parametros!B4))</f>
        <v/>
      </c>
    </row>
    <row r="85">
      <c r="A85" t="inlineStr">
        <is>
          <t>pwky6k</t>
        </is>
      </c>
      <c r="B85" t="inlineStr">
        <is>
          <t>Caio Garcia</t>
        </is>
      </c>
      <c r="C85" s="6" t="n">
        <v>0.6149</v>
      </c>
      <c r="D85" s="6" t="n">
        <v>0.532</v>
      </c>
      <c r="E85" s="6" t="n">
        <v>0.4742</v>
      </c>
      <c r="F85" s="6" t="n">
        <v>0.2674</v>
      </c>
      <c r="G85" s="6" t="n">
        <v>0.3429</v>
      </c>
      <c r="H85" s="6" t="n">
        <v>0.7849</v>
      </c>
      <c r="I85" s="6" t="n">
        <v>0.5993000000000001</v>
      </c>
      <c r="J85" s="6" t="n">
        <v>0.7576000000000001</v>
      </c>
      <c r="K85" s="6" t="n">
        <v>0.5445</v>
      </c>
      <c r="L85" s="7">
        <f>Mecanismos!B2*C85</f>
        <v/>
      </c>
      <c r="M85" s="7">
        <f>Mecanismos!B7*D85</f>
        <v/>
      </c>
      <c r="N85" s="7">
        <f>Mecanismos!B4*(1-E85)</f>
        <v/>
      </c>
      <c r="O85" s="7">
        <f>Mecanismos!B5*(1-F85)</f>
        <v/>
      </c>
      <c r="P85" s="7">
        <f>Mecanismos!B6*(1-I85)</f>
        <v/>
      </c>
      <c r="Q85" s="7">
        <f>Mecanismos!B9*(1-G85)</f>
        <v/>
      </c>
      <c r="R85" s="7">
        <f>Mecanismos!B3*(1-D85)</f>
        <v/>
      </c>
      <c r="S85" s="7">
        <f>Mecanismos!B9*(1-J85)</f>
        <v/>
      </c>
      <c r="T85" s="7">
        <f>Mecanismos!B8*H85</f>
        <v/>
      </c>
      <c r="U85" s="7">
        <f>Mecanismos!B10*H85</f>
        <v/>
      </c>
      <c r="V85" s="7">
        <f>Mecanismos!B8*K85</f>
        <v/>
      </c>
      <c r="W85" s="7">
        <f>SUM(L85:S85)</f>
        <v/>
      </c>
      <c r="X85" s="7">
        <f>SUM(T85:V85)</f>
        <v/>
      </c>
      <c r="Y85" s="8">
        <f>MAX(0,MIN(1,Parametros!B2-W85*Parametros!B3+X85*Parametros!B4))</f>
        <v/>
      </c>
    </row>
    <row r="86">
      <c r="A86" t="inlineStr">
        <is>
          <t>yagnmb</t>
        </is>
      </c>
      <c r="B86" t="inlineStr">
        <is>
          <t>Caio Nunes</t>
        </is>
      </c>
      <c r="C86" s="6" t="n">
        <v>0.706</v>
      </c>
      <c r="D86" s="6" t="n">
        <v>0.2249</v>
      </c>
      <c r="E86" s="6" t="n">
        <v>0.5227000000000001</v>
      </c>
      <c r="F86" s="6" t="n">
        <v>0.8026</v>
      </c>
      <c r="G86" s="6" t="n">
        <v>0.3962</v>
      </c>
      <c r="H86" s="6" t="n">
        <v>0.5404</v>
      </c>
      <c r="I86" s="6" t="n">
        <v>0.6263</v>
      </c>
      <c r="J86" s="6" t="n">
        <v>0.9125</v>
      </c>
      <c r="K86" s="6" t="n">
        <v>0.3084</v>
      </c>
      <c r="L86" s="7">
        <f>Mecanismos!B2*C86</f>
        <v/>
      </c>
      <c r="M86" s="7">
        <f>Mecanismos!B7*D86</f>
        <v/>
      </c>
      <c r="N86" s="7">
        <f>Mecanismos!B4*(1-E86)</f>
        <v/>
      </c>
      <c r="O86" s="7">
        <f>Mecanismos!B5*(1-F86)</f>
        <v/>
      </c>
      <c r="P86" s="7">
        <f>Mecanismos!B6*(1-I86)</f>
        <v/>
      </c>
      <c r="Q86" s="7">
        <f>Mecanismos!B9*(1-G86)</f>
        <v/>
      </c>
      <c r="R86" s="7">
        <f>Mecanismos!B3*(1-D86)</f>
        <v/>
      </c>
      <c r="S86" s="7">
        <f>Mecanismos!B9*(1-J86)</f>
        <v/>
      </c>
      <c r="T86" s="7">
        <f>Mecanismos!B8*H86</f>
        <v/>
      </c>
      <c r="U86" s="7">
        <f>Mecanismos!B10*H86</f>
        <v/>
      </c>
      <c r="V86" s="7">
        <f>Mecanismos!B8*K86</f>
        <v/>
      </c>
      <c r="W86" s="7">
        <f>SUM(L86:S86)</f>
        <v/>
      </c>
      <c r="X86" s="7">
        <f>SUM(T86:V86)</f>
        <v/>
      </c>
      <c r="Y86" s="8">
        <f>MAX(0,MIN(1,Parametros!B2-W86*Parametros!B3+X86*Parametros!B4))</f>
        <v/>
      </c>
    </row>
    <row r="87">
      <c r="A87" t="inlineStr">
        <is>
          <t>vr8zvb</t>
        </is>
      </c>
      <c r="B87" t="inlineStr">
        <is>
          <t>Caleb Barbosa</t>
        </is>
      </c>
      <c r="C87" s="6" t="n">
        <v>0.615</v>
      </c>
      <c r="D87" s="6" t="n">
        <v>0.5232</v>
      </c>
      <c r="E87" s="6" t="n">
        <v>0.4807</v>
      </c>
      <c r="F87" s="6" t="n">
        <v>0.4193</v>
      </c>
      <c r="G87" s="6" t="n">
        <v>0.4091</v>
      </c>
      <c r="H87" s="6" t="n">
        <v>0.5437</v>
      </c>
      <c r="I87" s="6" t="n">
        <v>0.7416</v>
      </c>
      <c r="J87" s="6" t="n">
        <v>0.9678</v>
      </c>
      <c r="K87" s="6" t="n">
        <v>0.3206</v>
      </c>
      <c r="L87" s="7">
        <f>Mecanismos!B2*C87</f>
        <v/>
      </c>
      <c r="M87" s="7">
        <f>Mecanismos!B7*D87</f>
        <v/>
      </c>
      <c r="N87" s="7">
        <f>Mecanismos!B4*(1-E87)</f>
        <v/>
      </c>
      <c r="O87" s="7">
        <f>Mecanismos!B5*(1-F87)</f>
        <v/>
      </c>
      <c r="P87" s="7">
        <f>Mecanismos!B6*(1-I87)</f>
        <v/>
      </c>
      <c r="Q87" s="7">
        <f>Mecanismos!B9*(1-G87)</f>
        <v/>
      </c>
      <c r="R87" s="7">
        <f>Mecanismos!B3*(1-D87)</f>
        <v/>
      </c>
      <c r="S87" s="7">
        <f>Mecanismos!B9*(1-J87)</f>
        <v/>
      </c>
      <c r="T87" s="7">
        <f>Mecanismos!B8*H87</f>
        <v/>
      </c>
      <c r="U87" s="7">
        <f>Mecanismos!B10*H87</f>
        <v/>
      </c>
      <c r="V87" s="7">
        <f>Mecanismos!B8*K87</f>
        <v/>
      </c>
      <c r="W87" s="7">
        <f>SUM(L87:S87)</f>
        <v/>
      </c>
      <c r="X87" s="7">
        <f>SUM(T87:V87)</f>
        <v/>
      </c>
      <c r="Y87" s="8">
        <f>MAX(0,MIN(1,Parametros!B2-W87*Parametros!B3+X87*Parametros!B4))</f>
        <v/>
      </c>
    </row>
    <row r="88">
      <c r="A88" t="inlineStr">
        <is>
          <t>9lv9vq</t>
        </is>
      </c>
      <c r="B88" t="inlineStr">
        <is>
          <t>Caleb Pires</t>
        </is>
      </c>
      <c r="C88" s="6" t="n">
        <v>0.6977</v>
      </c>
      <c r="D88" s="6" t="n">
        <v>0.323</v>
      </c>
      <c r="E88" s="6" t="n">
        <v>0.5329</v>
      </c>
      <c r="F88" s="6" t="n">
        <v>0.5299</v>
      </c>
      <c r="G88" s="6" t="n">
        <v>0.2367</v>
      </c>
      <c r="H88" s="6" t="n">
        <v>0.6945</v>
      </c>
      <c r="I88" s="6" t="n">
        <v>0.3764</v>
      </c>
      <c r="J88" s="6" t="n">
        <v>0.4653</v>
      </c>
      <c r="K88" s="6" t="n">
        <v>0.3557</v>
      </c>
      <c r="L88" s="7">
        <f>Mecanismos!B2*C88</f>
        <v/>
      </c>
      <c r="M88" s="7">
        <f>Mecanismos!B7*D88</f>
        <v/>
      </c>
      <c r="N88" s="7">
        <f>Mecanismos!B4*(1-E88)</f>
        <v/>
      </c>
      <c r="O88" s="7">
        <f>Mecanismos!B5*(1-F88)</f>
        <v/>
      </c>
      <c r="P88" s="7">
        <f>Mecanismos!B6*(1-I88)</f>
        <v/>
      </c>
      <c r="Q88" s="7">
        <f>Mecanismos!B9*(1-G88)</f>
        <v/>
      </c>
      <c r="R88" s="7">
        <f>Mecanismos!B3*(1-D88)</f>
        <v/>
      </c>
      <c r="S88" s="7">
        <f>Mecanismos!B9*(1-J88)</f>
        <v/>
      </c>
      <c r="T88" s="7">
        <f>Mecanismos!B8*H88</f>
        <v/>
      </c>
      <c r="U88" s="7">
        <f>Mecanismos!B10*H88</f>
        <v/>
      </c>
      <c r="V88" s="7">
        <f>Mecanismos!B8*K88</f>
        <v/>
      </c>
      <c r="W88" s="7">
        <f>SUM(L88:S88)</f>
        <v/>
      </c>
      <c r="X88" s="7">
        <f>SUM(T88:V88)</f>
        <v/>
      </c>
      <c r="Y88" s="8">
        <f>MAX(0,MIN(1,Parametros!B2-W88*Parametros!B3+X88*Parametros!B4))</f>
        <v/>
      </c>
    </row>
    <row r="89">
      <c r="A89" t="inlineStr">
        <is>
          <t>3arslw</t>
        </is>
      </c>
      <c r="B89" t="inlineStr">
        <is>
          <t>Caleb Porto</t>
        </is>
      </c>
      <c r="C89" s="6" t="n">
        <v>0.4982</v>
      </c>
      <c r="D89" s="6" t="n">
        <v>0.4401</v>
      </c>
      <c r="E89" s="6" t="n">
        <v>0.5642</v>
      </c>
      <c r="F89" s="6" t="n">
        <v>0.6239</v>
      </c>
      <c r="G89" s="6" t="n">
        <v>0.5296999999999999</v>
      </c>
      <c r="H89" s="6" t="n">
        <v>0.5241</v>
      </c>
      <c r="I89" s="6" t="n">
        <v>0.2044</v>
      </c>
      <c r="J89" s="6" t="n">
        <v>0.9386</v>
      </c>
      <c r="K89" s="6" t="n">
        <v>0.4796</v>
      </c>
      <c r="L89" s="7">
        <f>Mecanismos!B2*C89</f>
        <v/>
      </c>
      <c r="M89" s="7">
        <f>Mecanismos!B7*D89</f>
        <v/>
      </c>
      <c r="N89" s="7">
        <f>Mecanismos!B4*(1-E89)</f>
        <v/>
      </c>
      <c r="O89" s="7">
        <f>Mecanismos!B5*(1-F89)</f>
        <v/>
      </c>
      <c r="P89" s="7">
        <f>Mecanismos!B6*(1-I89)</f>
        <v/>
      </c>
      <c r="Q89" s="7">
        <f>Mecanismos!B9*(1-G89)</f>
        <v/>
      </c>
      <c r="R89" s="7">
        <f>Mecanismos!B3*(1-D89)</f>
        <v/>
      </c>
      <c r="S89" s="7">
        <f>Mecanismos!B9*(1-J89)</f>
        <v/>
      </c>
      <c r="T89" s="7">
        <f>Mecanismos!B8*H89</f>
        <v/>
      </c>
      <c r="U89" s="7">
        <f>Mecanismos!B10*H89</f>
        <v/>
      </c>
      <c r="V89" s="7">
        <f>Mecanismos!B8*K89</f>
        <v/>
      </c>
      <c r="W89" s="7">
        <f>SUM(L89:S89)</f>
        <v/>
      </c>
      <c r="X89" s="7">
        <f>SUM(T89:V89)</f>
        <v/>
      </c>
      <c r="Y89" s="8">
        <f>MAX(0,MIN(1,Parametros!B2-W89*Parametros!B3+X89*Parametros!B4))</f>
        <v/>
      </c>
    </row>
    <row r="90">
      <c r="A90" t="inlineStr">
        <is>
          <t>35shgc</t>
        </is>
      </c>
      <c r="B90" t="inlineStr">
        <is>
          <t>Caleb Rezende</t>
        </is>
      </c>
      <c r="C90" s="6" t="n">
        <v>0.5741000000000001</v>
      </c>
      <c r="D90" s="6" t="n">
        <v>0.3855</v>
      </c>
      <c r="E90" s="6" t="n">
        <v>0.3431</v>
      </c>
      <c r="F90" s="6" t="n">
        <v>0.7887</v>
      </c>
      <c r="G90" s="6" t="n">
        <v>0.3343</v>
      </c>
      <c r="H90" s="6" t="n">
        <v>0.598</v>
      </c>
      <c r="I90" s="6" t="n">
        <v>0.4365</v>
      </c>
      <c r="J90" s="6" t="n">
        <v>0.6912</v>
      </c>
      <c r="K90" s="6" t="n">
        <v>0.5063</v>
      </c>
      <c r="L90" s="7">
        <f>Mecanismos!B2*C90</f>
        <v/>
      </c>
      <c r="M90" s="7">
        <f>Mecanismos!B7*D90</f>
        <v/>
      </c>
      <c r="N90" s="7">
        <f>Mecanismos!B4*(1-E90)</f>
        <v/>
      </c>
      <c r="O90" s="7">
        <f>Mecanismos!B5*(1-F90)</f>
        <v/>
      </c>
      <c r="P90" s="7">
        <f>Mecanismos!B6*(1-I90)</f>
        <v/>
      </c>
      <c r="Q90" s="7">
        <f>Mecanismos!B9*(1-G90)</f>
        <v/>
      </c>
      <c r="R90" s="7">
        <f>Mecanismos!B3*(1-D90)</f>
        <v/>
      </c>
      <c r="S90" s="7">
        <f>Mecanismos!B9*(1-J90)</f>
        <v/>
      </c>
      <c r="T90" s="7">
        <f>Mecanismos!B8*H90</f>
        <v/>
      </c>
      <c r="U90" s="7">
        <f>Mecanismos!B10*H90</f>
        <v/>
      </c>
      <c r="V90" s="7">
        <f>Mecanismos!B8*K90</f>
        <v/>
      </c>
      <c r="W90" s="7">
        <f>SUM(L90:S90)</f>
        <v/>
      </c>
      <c r="X90" s="7">
        <f>SUM(T90:V90)</f>
        <v/>
      </c>
      <c r="Y90" s="8">
        <f>MAX(0,MIN(1,Parametros!B2-W90*Parametros!B3+X90*Parametros!B4))</f>
        <v/>
      </c>
    </row>
    <row r="91">
      <c r="A91" t="inlineStr">
        <is>
          <t>55hh8r</t>
        </is>
      </c>
      <c r="B91" t="inlineStr">
        <is>
          <t>Caleb Rodrigues</t>
        </is>
      </c>
      <c r="C91" s="6" t="n">
        <v>0.6433</v>
      </c>
      <c r="D91" s="6" t="n">
        <v>0.4399</v>
      </c>
      <c r="E91" s="6" t="n">
        <v>0.7596000000000001</v>
      </c>
      <c r="F91" s="6" t="n">
        <v>0.457</v>
      </c>
      <c r="G91" s="6" t="n">
        <v>0.3208</v>
      </c>
      <c r="H91" s="6" t="n">
        <v>0.4688</v>
      </c>
      <c r="I91" s="6" t="n">
        <v>0.1484</v>
      </c>
      <c r="J91" s="6" t="n">
        <v>0.7315</v>
      </c>
      <c r="K91" s="6" t="n">
        <v>0.4324</v>
      </c>
      <c r="L91" s="7">
        <f>Mecanismos!B2*C91</f>
        <v/>
      </c>
      <c r="M91" s="7">
        <f>Mecanismos!B7*D91</f>
        <v/>
      </c>
      <c r="N91" s="7">
        <f>Mecanismos!B4*(1-E91)</f>
        <v/>
      </c>
      <c r="O91" s="7">
        <f>Mecanismos!B5*(1-F91)</f>
        <v/>
      </c>
      <c r="P91" s="7">
        <f>Mecanismos!B6*(1-I91)</f>
        <v/>
      </c>
      <c r="Q91" s="7">
        <f>Mecanismos!B9*(1-G91)</f>
        <v/>
      </c>
      <c r="R91" s="7">
        <f>Mecanismos!B3*(1-D91)</f>
        <v/>
      </c>
      <c r="S91" s="7">
        <f>Mecanismos!B9*(1-J91)</f>
        <v/>
      </c>
      <c r="T91" s="7">
        <f>Mecanismos!B8*H91</f>
        <v/>
      </c>
      <c r="U91" s="7">
        <f>Mecanismos!B10*H91</f>
        <v/>
      </c>
      <c r="V91" s="7">
        <f>Mecanismos!B8*K91</f>
        <v/>
      </c>
      <c r="W91" s="7">
        <f>SUM(L91:S91)</f>
        <v/>
      </c>
      <c r="X91" s="7">
        <f>SUM(T91:V91)</f>
        <v/>
      </c>
      <c r="Y91" s="8">
        <f>MAX(0,MIN(1,Parametros!B2-W91*Parametros!B3+X91*Parametros!B4))</f>
        <v/>
      </c>
    </row>
    <row r="92">
      <c r="A92" t="inlineStr">
        <is>
          <t>9wqptf</t>
        </is>
      </c>
      <c r="B92" t="inlineStr">
        <is>
          <t>Calebe Aragão</t>
        </is>
      </c>
      <c r="C92" s="6" t="n">
        <v>0.5083</v>
      </c>
      <c r="D92" s="6" t="n">
        <v>0.479</v>
      </c>
      <c r="E92" s="6" t="n">
        <v>0.5458</v>
      </c>
      <c r="F92" s="6" t="n">
        <v>0.4903</v>
      </c>
      <c r="G92" s="6" t="n">
        <v>0.4144</v>
      </c>
      <c r="H92" s="6" t="n">
        <v>0.7044</v>
      </c>
      <c r="I92" s="6" t="n">
        <v>0.6059</v>
      </c>
      <c r="J92" s="6" t="n">
        <v>0.9001</v>
      </c>
      <c r="K92" s="6" t="n">
        <v>0.3309</v>
      </c>
      <c r="L92" s="7">
        <f>Mecanismos!B2*C92</f>
        <v/>
      </c>
      <c r="M92" s="7">
        <f>Mecanismos!B7*D92</f>
        <v/>
      </c>
      <c r="N92" s="7">
        <f>Mecanismos!B4*(1-E92)</f>
        <v/>
      </c>
      <c r="O92" s="7">
        <f>Mecanismos!B5*(1-F92)</f>
        <v/>
      </c>
      <c r="P92" s="7">
        <f>Mecanismos!B6*(1-I92)</f>
        <v/>
      </c>
      <c r="Q92" s="7">
        <f>Mecanismos!B9*(1-G92)</f>
        <v/>
      </c>
      <c r="R92" s="7">
        <f>Mecanismos!B3*(1-D92)</f>
        <v/>
      </c>
      <c r="S92" s="7">
        <f>Mecanismos!B9*(1-J92)</f>
        <v/>
      </c>
      <c r="T92" s="7">
        <f>Mecanismos!B8*H92</f>
        <v/>
      </c>
      <c r="U92" s="7">
        <f>Mecanismos!B10*H92</f>
        <v/>
      </c>
      <c r="V92" s="7">
        <f>Mecanismos!B8*K92</f>
        <v/>
      </c>
      <c r="W92" s="7">
        <f>SUM(L92:S92)</f>
        <v/>
      </c>
      <c r="X92" s="7">
        <f>SUM(T92:V92)</f>
        <v/>
      </c>
      <c r="Y92" s="8">
        <f>MAX(0,MIN(1,Parametros!B2-W92*Parametros!B3+X92*Parametros!B4))</f>
        <v/>
      </c>
    </row>
    <row r="93">
      <c r="A93" t="inlineStr">
        <is>
          <t>3wizyc</t>
        </is>
      </c>
      <c r="B93" t="inlineStr">
        <is>
          <t>Calebe Gomes</t>
        </is>
      </c>
      <c r="C93" s="6" t="n">
        <v>0.5401</v>
      </c>
      <c r="D93" s="6" t="n">
        <v>0.2999</v>
      </c>
      <c r="E93" s="6" t="n">
        <v>0.5242</v>
      </c>
      <c r="F93" s="6" t="n">
        <v>0.4112</v>
      </c>
      <c r="G93" s="6" t="n">
        <v>0.3668</v>
      </c>
      <c r="H93" s="6" t="n">
        <v>0.5759</v>
      </c>
      <c r="I93" s="6" t="n">
        <v>0.2317</v>
      </c>
      <c r="J93" s="6" t="n">
        <v>0.7159</v>
      </c>
      <c r="K93" s="6" t="n">
        <v>0.6168</v>
      </c>
      <c r="L93" s="7">
        <f>Mecanismos!B2*C93</f>
        <v/>
      </c>
      <c r="M93" s="7">
        <f>Mecanismos!B7*D93</f>
        <v/>
      </c>
      <c r="N93" s="7">
        <f>Mecanismos!B4*(1-E93)</f>
        <v/>
      </c>
      <c r="O93" s="7">
        <f>Mecanismos!B5*(1-F93)</f>
        <v/>
      </c>
      <c r="P93" s="7">
        <f>Mecanismos!B6*(1-I93)</f>
        <v/>
      </c>
      <c r="Q93" s="7">
        <f>Mecanismos!B9*(1-G93)</f>
        <v/>
      </c>
      <c r="R93" s="7">
        <f>Mecanismos!B3*(1-D93)</f>
        <v/>
      </c>
      <c r="S93" s="7">
        <f>Mecanismos!B9*(1-J93)</f>
        <v/>
      </c>
      <c r="T93" s="7">
        <f>Mecanismos!B8*H93</f>
        <v/>
      </c>
      <c r="U93" s="7">
        <f>Mecanismos!B10*H93</f>
        <v/>
      </c>
      <c r="V93" s="7">
        <f>Mecanismos!B8*K93</f>
        <v/>
      </c>
      <c r="W93" s="7">
        <f>SUM(L93:S93)</f>
        <v/>
      </c>
      <c r="X93" s="7">
        <f>SUM(T93:V93)</f>
        <v/>
      </c>
      <c r="Y93" s="8">
        <f>MAX(0,MIN(1,Parametros!B2-W93*Parametros!B3+X93*Parametros!B4))</f>
        <v/>
      </c>
    </row>
    <row r="94">
      <c r="A94" t="inlineStr">
        <is>
          <t>graj8y</t>
        </is>
      </c>
      <c r="B94" t="inlineStr">
        <is>
          <t>Calebe Pastor</t>
        </is>
      </c>
      <c r="C94" s="6" t="n">
        <v>0.5302</v>
      </c>
      <c r="D94" s="6" t="n">
        <v>0.5946</v>
      </c>
      <c r="E94" s="6" t="n">
        <v>0.6657</v>
      </c>
      <c r="F94" s="6" t="n">
        <v>0.3279</v>
      </c>
      <c r="G94" s="6" t="n">
        <v>0.5814</v>
      </c>
      <c r="H94" s="6" t="n">
        <v>0.5876</v>
      </c>
      <c r="I94" s="6" t="n">
        <v>0.3642</v>
      </c>
      <c r="J94" s="6" t="n">
        <v>0.9364</v>
      </c>
      <c r="K94" s="6" t="n">
        <v>0.4458</v>
      </c>
      <c r="L94" s="7">
        <f>Mecanismos!B2*C94</f>
        <v/>
      </c>
      <c r="M94" s="7">
        <f>Mecanismos!B7*D94</f>
        <v/>
      </c>
      <c r="N94" s="7">
        <f>Mecanismos!B4*(1-E94)</f>
        <v/>
      </c>
      <c r="O94" s="7">
        <f>Mecanismos!B5*(1-F94)</f>
        <v/>
      </c>
      <c r="P94" s="7">
        <f>Mecanismos!B6*(1-I94)</f>
        <v/>
      </c>
      <c r="Q94" s="7">
        <f>Mecanismos!B9*(1-G94)</f>
        <v/>
      </c>
      <c r="R94" s="7">
        <f>Mecanismos!B3*(1-D94)</f>
        <v/>
      </c>
      <c r="S94" s="7">
        <f>Mecanismos!B9*(1-J94)</f>
        <v/>
      </c>
      <c r="T94" s="7">
        <f>Mecanismos!B8*H94</f>
        <v/>
      </c>
      <c r="U94" s="7">
        <f>Mecanismos!B10*H94</f>
        <v/>
      </c>
      <c r="V94" s="7">
        <f>Mecanismos!B8*K94</f>
        <v/>
      </c>
      <c r="W94" s="7">
        <f>SUM(L94:S94)</f>
        <v/>
      </c>
      <c r="X94" s="7">
        <f>SUM(T94:V94)</f>
        <v/>
      </c>
      <c r="Y94" s="8">
        <f>MAX(0,MIN(1,Parametros!B2-W94*Parametros!B3+X94*Parametros!B4))</f>
        <v/>
      </c>
    </row>
    <row r="95">
      <c r="A95" t="inlineStr">
        <is>
          <t>3z1ehh</t>
        </is>
      </c>
      <c r="B95" t="inlineStr">
        <is>
          <t>Camila Pinto</t>
        </is>
      </c>
      <c r="C95" s="6" t="n">
        <v>0.5558999999999999</v>
      </c>
      <c r="D95" s="6" t="n">
        <v>0.5775</v>
      </c>
      <c r="E95" s="6" t="n">
        <v>0.6647999999999999</v>
      </c>
      <c r="F95" s="6" t="n">
        <v>0.488</v>
      </c>
      <c r="G95" s="6" t="n">
        <v>0.6067</v>
      </c>
      <c r="H95" s="6" t="n">
        <v>0.6309</v>
      </c>
      <c r="I95" s="6" t="n">
        <v>0.4515</v>
      </c>
      <c r="J95" s="6" t="n">
        <v>0.8849</v>
      </c>
      <c r="K95" s="6" t="n">
        <v>0.7722</v>
      </c>
      <c r="L95" s="7">
        <f>Mecanismos!B2*C95</f>
        <v/>
      </c>
      <c r="M95" s="7">
        <f>Mecanismos!B7*D95</f>
        <v/>
      </c>
      <c r="N95" s="7">
        <f>Mecanismos!B4*(1-E95)</f>
        <v/>
      </c>
      <c r="O95" s="7">
        <f>Mecanismos!B5*(1-F95)</f>
        <v/>
      </c>
      <c r="P95" s="7">
        <f>Mecanismos!B6*(1-I95)</f>
        <v/>
      </c>
      <c r="Q95" s="7">
        <f>Mecanismos!B9*(1-G95)</f>
        <v/>
      </c>
      <c r="R95" s="7">
        <f>Mecanismos!B3*(1-D95)</f>
        <v/>
      </c>
      <c r="S95" s="7">
        <f>Mecanismos!B9*(1-J95)</f>
        <v/>
      </c>
      <c r="T95" s="7">
        <f>Mecanismos!B8*H95</f>
        <v/>
      </c>
      <c r="U95" s="7">
        <f>Mecanismos!B10*H95</f>
        <v/>
      </c>
      <c r="V95" s="7">
        <f>Mecanismos!B8*K95</f>
        <v/>
      </c>
      <c r="W95" s="7">
        <f>SUM(L95:S95)</f>
        <v/>
      </c>
      <c r="X95" s="7">
        <f>SUM(T95:V95)</f>
        <v/>
      </c>
      <c r="Y95" s="8">
        <f>MAX(0,MIN(1,Parametros!B2-W95*Parametros!B3+X95*Parametros!B4))</f>
        <v/>
      </c>
    </row>
    <row r="96">
      <c r="A96" t="inlineStr">
        <is>
          <t>9eqzg1</t>
        </is>
      </c>
      <c r="B96" t="inlineStr">
        <is>
          <t>Camila Ribeiro</t>
        </is>
      </c>
      <c r="C96" s="6" t="n">
        <v>0.5063</v>
      </c>
      <c r="D96" s="6" t="n">
        <v>0.356</v>
      </c>
      <c r="E96" s="6" t="n">
        <v>0.1895</v>
      </c>
      <c r="F96" s="6" t="n">
        <v>0.4062</v>
      </c>
      <c r="G96" s="6" t="n">
        <v>0.4324</v>
      </c>
      <c r="H96" s="6" t="n">
        <v>0.7097</v>
      </c>
      <c r="I96" s="6" t="n">
        <v>0.6435</v>
      </c>
      <c r="J96" s="6" t="n">
        <v>0.8462</v>
      </c>
      <c r="K96" s="6" t="n">
        <v>0.6086</v>
      </c>
      <c r="L96" s="7">
        <f>Mecanismos!B2*C96</f>
        <v/>
      </c>
      <c r="M96" s="7">
        <f>Mecanismos!B7*D96</f>
        <v/>
      </c>
      <c r="N96" s="7">
        <f>Mecanismos!B4*(1-E96)</f>
        <v/>
      </c>
      <c r="O96" s="7">
        <f>Mecanismos!B5*(1-F96)</f>
        <v/>
      </c>
      <c r="P96" s="7">
        <f>Mecanismos!B6*(1-I96)</f>
        <v/>
      </c>
      <c r="Q96" s="7">
        <f>Mecanismos!B9*(1-G96)</f>
        <v/>
      </c>
      <c r="R96" s="7">
        <f>Mecanismos!B3*(1-D96)</f>
        <v/>
      </c>
      <c r="S96" s="7">
        <f>Mecanismos!B9*(1-J96)</f>
        <v/>
      </c>
      <c r="T96" s="7">
        <f>Mecanismos!B8*H96</f>
        <v/>
      </c>
      <c r="U96" s="7">
        <f>Mecanismos!B10*H96</f>
        <v/>
      </c>
      <c r="V96" s="7">
        <f>Mecanismos!B8*K96</f>
        <v/>
      </c>
      <c r="W96" s="7">
        <f>SUM(L96:S96)</f>
        <v/>
      </c>
      <c r="X96" s="7">
        <f>SUM(T96:V96)</f>
        <v/>
      </c>
      <c r="Y96" s="8">
        <f>MAX(0,MIN(1,Parametros!B2-W96*Parametros!B3+X96*Parametros!B4))</f>
        <v/>
      </c>
    </row>
    <row r="97">
      <c r="A97" t="inlineStr">
        <is>
          <t>ihttef</t>
        </is>
      </c>
      <c r="B97" t="inlineStr">
        <is>
          <t>Carlos Eduardo Pereira</t>
        </is>
      </c>
      <c r="C97" s="6" t="n">
        <v>0.8337</v>
      </c>
      <c r="D97" s="6" t="n">
        <v>0.4877</v>
      </c>
      <c r="E97" s="6" t="n">
        <v>0.5175</v>
      </c>
      <c r="F97" s="6" t="n">
        <v>0.3982</v>
      </c>
      <c r="G97" s="6" t="n">
        <v>0.5269</v>
      </c>
      <c r="H97" s="6" t="n">
        <v>0.598</v>
      </c>
      <c r="I97" s="6" t="n">
        <v>0.2942</v>
      </c>
      <c r="J97" s="6" t="n">
        <v>0.5733</v>
      </c>
      <c r="K97" s="6" t="n">
        <v>0.5532</v>
      </c>
      <c r="L97" s="7">
        <f>Mecanismos!B2*C97</f>
        <v/>
      </c>
      <c r="M97" s="7">
        <f>Mecanismos!B7*D97</f>
        <v/>
      </c>
      <c r="N97" s="7">
        <f>Mecanismos!B4*(1-E97)</f>
        <v/>
      </c>
      <c r="O97" s="7">
        <f>Mecanismos!B5*(1-F97)</f>
        <v/>
      </c>
      <c r="P97" s="7">
        <f>Mecanismos!B6*(1-I97)</f>
        <v/>
      </c>
      <c r="Q97" s="7">
        <f>Mecanismos!B9*(1-G97)</f>
        <v/>
      </c>
      <c r="R97" s="7">
        <f>Mecanismos!B3*(1-D97)</f>
        <v/>
      </c>
      <c r="S97" s="7">
        <f>Mecanismos!B9*(1-J97)</f>
        <v/>
      </c>
      <c r="T97" s="7">
        <f>Mecanismos!B8*H97</f>
        <v/>
      </c>
      <c r="U97" s="7">
        <f>Mecanismos!B10*H97</f>
        <v/>
      </c>
      <c r="V97" s="7">
        <f>Mecanismos!B8*K97</f>
        <v/>
      </c>
      <c r="W97" s="7">
        <f>SUM(L97:S97)</f>
        <v/>
      </c>
      <c r="X97" s="7">
        <f>SUM(T97:V97)</f>
        <v/>
      </c>
      <c r="Y97" s="8">
        <f>MAX(0,MIN(1,Parametros!B2-W97*Parametros!B3+X97*Parametros!B4))</f>
        <v/>
      </c>
    </row>
    <row r="98">
      <c r="A98" t="inlineStr">
        <is>
          <t>x4q1fz</t>
        </is>
      </c>
      <c r="B98" t="inlineStr">
        <is>
          <t>Carlos Eduardo Vasconcelos</t>
        </is>
      </c>
      <c r="C98" s="6" t="n">
        <v>0.6404</v>
      </c>
      <c r="D98" s="6" t="n">
        <v>0.4795</v>
      </c>
      <c r="E98" s="6" t="n">
        <v>0.5985</v>
      </c>
      <c r="F98" s="6" t="n">
        <v>0.7642</v>
      </c>
      <c r="G98" s="6" t="n">
        <v>0.4838</v>
      </c>
      <c r="H98" s="6" t="n">
        <v>0.662</v>
      </c>
      <c r="I98" s="6" t="n">
        <v>0.4697</v>
      </c>
      <c r="J98" s="6" t="n">
        <v>0.8569</v>
      </c>
      <c r="K98" s="6" t="n">
        <v>0.4833</v>
      </c>
      <c r="L98" s="7">
        <f>Mecanismos!B2*C98</f>
        <v/>
      </c>
      <c r="M98" s="7">
        <f>Mecanismos!B7*D98</f>
        <v/>
      </c>
      <c r="N98" s="7">
        <f>Mecanismos!B4*(1-E98)</f>
        <v/>
      </c>
      <c r="O98" s="7">
        <f>Mecanismos!B5*(1-F98)</f>
        <v/>
      </c>
      <c r="P98" s="7">
        <f>Mecanismos!B6*(1-I98)</f>
        <v/>
      </c>
      <c r="Q98" s="7">
        <f>Mecanismos!B9*(1-G98)</f>
        <v/>
      </c>
      <c r="R98" s="7">
        <f>Mecanismos!B3*(1-D98)</f>
        <v/>
      </c>
      <c r="S98" s="7">
        <f>Mecanismos!B9*(1-J98)</f>
        <v/>
      </c>
      <c r="T98" s="7">
        <f>Mecanismos!B8*H98</f>
        <v/>
      </c>
      <c r="U98" s="7">
        <f>Mecanismos!B10*H98</f>
        <v/>
      </c>
      <c r="V98" s="7">
        <f>Mecanismos!B8*K98</f>
        <v/>
      </c>
      <c r="W98" s="7">
        <f>SUM(L98:S98)</f>
        <v/>
      </c>
      <c r="X98" s="7">
        <f>SUM(T98:V98)</f>
        <v/>
      </c>
      <c r="Y98" s="8">
        <f>MAX(0,MIN(1,Parametros!B2-W98*Parametros!B3+X98*Parametros!B4))</f>
        <v/>
      </c>
    </row>
    <row r="99">
      <c r="A99" t="inlineStr">
        <is>
          <t>c2edtt</t>
        </is>
      </c>
      <c r="B99" t="inlineStr">
        <is>
          <t>Carolina Moraes</t>
        </is>
      </c>
      <c r="C99" s="6" t="n">
        <v>0.7363</v>
      </c>
      <c r="D99" s="6" t="n">
        <v>0.291</v>
      </c>
      <c r="E99" s="6" t="n">
        <v>0.594</v>
      </c>
      <c r="F99" s="6" t="n">
        <v>0.5028</v>
      </c>
      <c r="G99" s="6" t="n">
        <v>0.6508</v>
      </c>
      <c r="H99" s="6" t="n">
        <v>0.741</v>
      </c>
      <c r="I99" s="6" t="n">
        <v>0.4755</v>
      </c>
      <c r="J99" s="6" t="n">
        <v>0.8539</v>
      </c>
      <c r="K99" s="6" t="n">
        <v>0.5729</v>
      </c>
      <c r="L99" s="7">
        <f>Mecanismos!B2*C99</f>
        <v/>
      </c>
      <c r="M99" s="7">
        <f>Mecanismos!B7*D99</f>
        <v/>
      </c>
      <c r="N99" s="7">
        <f>Mecanismos!B4*(1-E99)</f>
        <v/>
      </c>
      <c r="O99" s="7">
        <f>Mecanismos!B5*(1-F99)</f>
        <v/>
      </c>
      <c r="P99" s="7">
        <f>Mecanismos!B6*(1-I99)</f>
        <v/>
      </c>
      <c r="Q99" s="7">
        <f>Mecanismos!B9*(1-G99)</f>
        <v/>
      </c>
      <c r="R99" s="7">
        <f>Mecanismos!B3*(1-D99)</f>
        <v/>
      </c>
      <c r="S99" s="7">
        <f>Mecanismos!B9*(1-J99)</f>
        <v/>
      </c>
      <c r="T99" s="7">
        <f>Mecanismos!B8*H99</f>
        <v/>
      </c>
      <c r="U99" s="7">
        <f>Mecanismos!B10*H99</f>
        <v/>
      </c>
      <c r="V99" s="7">
        <f>Mecanismos!B8*K99</f>
        <v/>
      </c>
      <c r="W99" s="7">
        <f>SUM(L99:S99)</f>
        <v/>
      </c>
      <c r="X99" s="7">
        <f>SUM(T99:V99)</f>
        <v/>
      </c>
      <c r="Y99" s="8">
        <f>MAX(0,MIN(1,Parametros!B2-W99*Parametros!B3+X99*Parametros!B4))</f>
        <v/>
      </c>
    </row>
    <row r="100">
      <c r="A100" t="inlineStr">
        <is>
          <t>o0nv5o</t>
        </is>
      </c>
      <c r="B100" t="inlineStr">
        <is>
          <t>Carolina da Costa</t>
        </is>
      </c>
      <c r="C100" s="6" t="n">
        <v>0.6277</v>
      </c>
      <c r="D100" s="6" t="n">
        <v>0.6738</v>
      </c>
      <c r="E100" s="6" t="n">
        <v>0.7883</v>
      </c>
      <c r="F100" s="6" t="n">
        <v>0.3777</v>
      </c>
      <c r="G100" s="6" t="n">
        <v>0.3493</v>
      </c>
      <c r="H100" s="6" t="n">
        <v>0.8381</v>
      </c>
      <c r="I100" s="6" t="n">
        <v>0.1613</v>
      </c>
      <c r="J100" s="6" t="n">
        <v>0.5991</v>
      </c>
      <c r="K100" s="6" t="n">
        <v>0.4287</v>
      </c>
      <c r="L100" s="7">
        <f>Mecanismos!B2*C100</f>
        <v/>
      </c>
      <c r="M100" s="7">
        <f>Mecanismos!B7*D100</f>
        <v/>
      </c>
      <c r="N100" s="7">
        <f>Mecanismos!B4*(1-E100)</f>
        <v/>
      </c>
      <c r="O100" s="7">
        <f>Mecanismos!B5*(1-F100)</f>
        <v/>
      </c>
      <c r="P100" s="7">
        <f>Mecanismos!B6*(1-I100)</f>
        <v/>
      </c>
      <c r="Q100" s="7">
        <f>Mecanismos!B9*(1-G100)</f>
        <v/>
      </c>
      <c r="R100" s="7">
        <f>Mecanismos!B3*(1-D100)</f>
        <v/>
      </c>
      <c r="S100" s="7">
        <f>Mecanismos!B9*(1-J100)</f>
        <v/>
      </c>
      <c r="T100" s="7">
        <f>Mecanismos!B8*H100</f>
        <v/>
      </c>
      <c r="U100" s="7">
        <f>Mecanismos!B10*H100</f>
        <v/>
      </c>
      <c r="V100" s="7">
        <f>Mecanismos!B8*K100</f>
        <v/>
      </c>
      <c r="W100" s="7">
        <f>SUM(L100:S100)</f>
        <v/>
      </c>
      <c r="X100" s="7">
        <f>SUM(T100:V100)</f>
        <v/>
      </c>
      <c r="Y100" s="8">
        <f>MAX(0,MIN(1,Parametros!B2-W100*Parametros!B3+X100*Parametros!B4))</f>
        <v/>
      </c>
    </row>
    <row r="101">
      <c r="A101" t="inlineStr">
        <is>
          <t>fnffal</t>
        </is>
      </c>
      <c r="B101" t="inlineStr">
        <is>
          <t>Caroline da Conceição</t>
        </is>
      </c>
      <c r="C101" s="6" t="n">
        <v>0.4964</v>
      </c>
      <c r="D101" s="6" t="n">
        <v>0.4282</v>
      </c>
      <c r="E101" s="6" t="n">
        <v>0.4829</v>
      </c>
      <c r="F101" s="6" t="n">
        <v>0.4172</v>
      </c>
      <c r="G101" s="6" t="n">
        <v>0.4958</v>
      </c>
      <c r="H101" s="6" t="n">
        <v>0.6933</v>
      </c>
      <c r="I101" s="6" t="n">
        <v>0.5367</v>
      </c>
      <c r="J101" s="6" t="n">
        <v>0.5906</v>
      </c>
      <c r="K101" s="6" t="n">
        <v>0.7548</v>
      </c>
      <c r="L101" s="7">
        <f>Mecanismos!B2*C101</f>
        <v/>
      </c>
      <c r="M101" s="7">
        <f>Mecanismos!B7*D101</f>
        <v/>
      </c>
      <c r="N101" s="7">
        <f>Mecanismos!B4*(1-E101)</f>
        <v/>
      </c>
      <c r="O101" s="7">
        <f>Mecanismos!B5*(1-F101)</f>
        <v/>
      </c>
      <c r="P101" s="7">
        <f>Mecanismos!B6*(1-I101)</f>
        <v/>
      </c>
      <c r="Q101" s="7">
        <f>Mecanismos!B9*(1-G101)</f>
        <v/>
      </c>
      <c r="R101" s="7">
        <f>Mecanismos!B3*(1-D101)</f>
        <v/>
      </c>
      <c r="S101" s="7">
        <f>Mecanismos!B9*(1-J101)</f>
        <v/>
      </c>
      <c r="T101" s="7">
        <f>Mecanismos!B8*H101</f>
        <v/>
      </c>
      <c r="U101" s="7">
        <f>Mecanismos!B10*H101</f>
        <v/>
      </c>
      <c r="V101" s="7">
        <f>Mecanismos!B8*K101</f>
        <v/>
      </c>
      <c r="W101" s="7">
        <f>SUM(L101:S101)</f>
        <v/>
      </c>
      <c r="X101" s="7">
        <f>SUM(T101:V101)</f>
        <v/>
      </c>
      <c r="Y101" s="8">
        <f>MAX(0,MIN(1,Parametros!B2-W101*Parametros!B3+X101*Parametros!B4))</f>
        <v/>
      </c>
    </row>
    <row r="102">
      <c r="A102" t="inlineStr">
        <is>
          <t>eop7ha</t>
        </is>
      </c>
      <c r="B102" t="inlineStr">
        <is>
          <t>Cauã Correia</t>
        </is>
      </c>
      <c r="C102" s="6" t="n">
        <v>0.64</v>
      </c>
      <c r="D102" s="6" t="n">
        <v>0.3508</v>
      </c>
      <c r="E102" s="6" t="n">
        <v>0.5382</v>
      </c>
      <c r="F102" s="6" t="n">
        <v>0.6764</v>
      </c>
      <c r="G102" s="6" t="n">
        <v>0.5743</v>
      </c>
      <c r="H102" s="6" t="n">
        <v>0.6823</v>
      </c>
      <c r="I102" s="6" t="n">
        <v>0.2919</v>
      </c>
      <c r="J102" s="6" t="n">
        <v>0.678</v>
      </c>
      <c r="K102" s="6" t="n">
        <v>0.3115</v>
      </c>
      <c r="L102" s="7">
        <f>Mecanismos!B2*C102</f>
        <v/>
      </c>
      <c r="M102" s="7">
        <f>Mecanismos!B7*D102</f>
        <v/>
      </c>
      <c r="N102" s="7">
        <f>Mecanismos!B4*(1-E102)</f>
        <v/>
      </c>
      <c r="O102" s="7">
        <f>Mecanismos!B5*(1-F102)</f>
        <v/>
      </c>
      <c r="P102" s="7">
        <f>Mecanismos!B6*(1-I102)</f>
        <v/>
      </c>
      <c r="Q102" s="7">
        <f>Mecanismos!B9*(1-G102)</f>
        <v/>
      </c>
      <c r="R102" s="7">
        <f>Mecanismos!B3*(1-D102)</f>
        <v/>
      </c>
      <c r="S102" s="7">
        <f>Mecanismos!B9*(1-J102)</f>
        <v/>
      </c>
      <c r="T102" s="7">
        <f>Mecanismos!B8*H102</f>
        <v/>
      </c>
      <c r="U102" s="7">
        <f>Mecanismos!B10*H102</f>
        <v/>
      </c>
      <c r="V102" s="7">
        <f>Mecanismos!B8*K102</f>
        <v/>
      </c>
      <c r="W102" s="7">
        <f>SUM(L102:S102)</f>
        <v/>
      </c>
      <c r="X102" s="7">
        <f>SUM(T102:V102)</f>
        <v/>
      </c>
      <c r="Y102" s="8">
        <f>MAX(0,MIN(1,Parametros!B2-W102*Parametros!B3+X102*Parametros!B4))</f>
        <v/>
      </c>
    </row>
    <row r="103">
      <c r="A103" t="inlineStr">
        <is>
          <t>hm8e62</t>
        </is>
      </c>
      <c r="B103" t="inlineStr">
        <is>
          <t>Cauã Lopes</t>
        </is>
      </c>
      <c r="C103" s="6" t="n">
        <v>0.6294999999999999</v>
      </c>
      <c r="D103" s="6" t="n">
        <v>0.422</v>
      </c>
      <c r="E103" s="6" t="n">
        <v>0.4965</v>
      </c>
      <c r="F103" s="6" t="n">
        <v>0.4386</v>
      </c>
      <c r="G103" s="6" t="n">
        <v>0.708</v>
      </c>
      <c r="H103" s="6" t="n">
        <v>0.4626</v>
      </c>
      <c r="I103" s="6" t="n">
        <v>0.4827</v>
      </c>
      <c r="J103" s="6" t="n">
        <v>0.7683</v>
      </c>
      <c r="K103" s="6" t="n">
        <v>0.474</v>
      </c>
      <c r="L103" s="7">
        <f>Mecanismos!B2*C103</f>
        <v/>
      </c>
      <c r="M103" s="7">
        <f>Mecanismos!B7*D103</f>
        <v/>
      </c>
      <c r="N103" s="7">
        <f>Mecanismos!B4*(1-E103)</f>
        <v/>
      </c>
      <c r="O103" s="7">
        <f>Mecanismos!B5*(1-F103)</f>
        <v/>
      </c>
      <c r="P103" s="7">
        <f>Mecanismos!B6*(1-I103)</f>
        <v/>
      </c>
      <c r="Q103" s="7">
        <f>Mecanismos!B9*(1-G103)</f>
        <v/>
      </c>
      <c r="R103" s="7">
        <f>Mecanismos!B3*(1-D103)</f>
        <v/>
      </c>
      <c r="S103" s="7">
        <f>Mecanismos!B9*(1-J103)</f>
        <v/>
      </c>
      <c r="T103" s="7">
        <f>Mecanismos!B8*H103</f>
        <v/>
      </c>
      <c r="U103" s="7">
        <f>Mecanismos!B10*H103</f>
        <v/>
      </c>
      <c r="V103" s="7">
        <f>Mecanismos!B8*K103</f>
        <v/>
      </c>
      <c r="W103" s="7">
        <f>SUM(L103:S103)</f>
        <v/>
      </c>
      <c r="X103" s="7">
        <f>SUM(T103:V103)</f>
        <v/>
      </c>
      <c r="Y103" s="8">
        <f>MAX(0,MIN(1,Parametros!B2-W103*Parametros!B3+X103*Parametros!B4))</f>
        <v/>
      </c>
    </row>
    <row r="104">
      <c r="A104" t="inlineStr">
        <is>
          <t>ta2jtf</t>
        </is>
      </c>
      <c r="B104" t="inlineStr">
        <is>
          <t>Cauã Pacheco</t>
        </is>
      </c>
      <c r="C104" s="6" t="n">
        <v>0.5887</v>
      </c>
      <c r="D104" s="6" t="n">
        <v>0.5427999999999999</v>
      </c>
      <c r="E104" s="6" t="n">
        <v>0.5703</v>
      </c>
      <c r="F104" s="6" t="n">
        <v>0.7357</v>
      </c>
      <c r="G104" s="6" t="n">
        <v>0.6171</v>
      </c>
      <c r="H104" s="6" t="n">
        <v>0.3775</v>
      </c>
      <c r="I104" s="6" t="n">
        <v>0.7116</v>
      </c>
      <c r="J104" s="6" t="n">
        <v>0.7799</v>
      </c>
      <c r="K104" s="6" t="n">
        <v>0.3596</v>
      </c>
      <c r="L104" s="7">
        <f>Mecanismos!B2*C104</f>
        <v/>
      </c>
      <c r="M104" s="7">
        <f>Mecanismos!B7*D104</f>
        <v/>
      </c>
      <c r="N104" s="7">
        <f>Mecanismos!B4*(1-E104)</f>
        <v/>
      </c>
      <c r="O104" s="7">
        <f>Mecanismos!B5*(1-F104)</f>
        <v/>
      </c>
      <c r="P104" s="7">
        <f>Mecanismos!B6*(1-I104)</f>
        <v/>
      </c>
      <c r="Q104" s="7">
        <f>Mecanismos!B9*(1-G104)</f>
        <v/>
      </c>
      <c r="R104" s="7">
        <f>Mecanismos!B3*(1-D104)</f>
        <v/>
      </c>
      <c r="S104" s="7">
        <f>Mecanismos!B9*(1-J104)</f>
        <v/>
      </c>
      <c r="T104" s="7">
        <f>Mecanismos!B8*H104</f>
        <v/>
      </c>
      <c r="U104" s="7">
        <f>Mecanismos!B10*H104</f>
        <v/>
      </c>
      <c r="V104" s="7">
        <f>Mecanismos!B8*K104</f>
        <v/>
      </c>
      <c r="W104" s="7">
        <f>SUM(L104:S104)</f>
        <v/>
      </c>
      <c r="X104" s="7">
        <f>SUM(T104:V104)</f>
        <v/>
      </c>
      <c r="Y104" s="8">
        <f>MAX(0,MIN(1,Parametros!B2-W104*Parametros!B3+X104*Parametros!B4))</f>
        <v/>
      </c>
    </row>
    <row r="105">
      <c r="A105" t="inlineStr">
        <is>
          <t>08ohk4</t>
        </is>
      </c>
      <c r="B105" t="inlineStr">
        <is>
          <t>Cauã Pinto</t>
        </is>
      </c>
      <c r="C105" s="6" t="n">
        <v>0.5865</v>
      </c>
      <c r="D105" s="6" t="n">
        <v>0.5724</v>
      </c>
      <c r="E105" s="6" t="n">
        <v>0.3836</v>
      </c>
      <c r="F105" s="6" t="n">
        <v>0.5575</v>
      </c>
      <c r="G105" s="6" t="n">
        <v>0.5064</v>
      </c>
      <c r="H105" s="6" t="n">
        <v>0.6626</v>
      </c>
      <c r="I105" s="6" t="n">
        <v>0.7857</v>
      </c>
      <c r="J105" s="6" t="n">
        <v>0.7334000000000001</v>
      </c>
      <c r="K105" s="6" t="n">
        <v>0.5913</v>
      </c>
      <c r="L105" s="7">
        <f>Mecanismos!B2*C105</f>
        <v/>
      </c>
      <c r="M105" s="7">
        <f>Mecanismos!B7*D105</f>
        <v/>
      </c>
      <c r="N105" s="7">
        <f>Mecanismos!B4*(1-E105)</f>
        <v/>
      </c>
      <c r="O105" s="7">
        <f>Mecanismos!B5*(1-F105)</f>
        <v/>
      </c>
      <c r="P105" s="7">
        <f>Mecanismos!B6*(1-I105)</f>
        <v/>
      </c>
      <c r="Q105" s="7">
        <f>Mecanismos!B9*(1-G105)</f>
        <v/>
      </c>
      <c r="R105" s="7">
        <f>Mecanismos!B3*(1-D105)</f>
        <v/>
      </c>
      <c r="S105" s="7">
        <f>Mecanismos!B9*(1-J105)</f>
        <v/>
      </c>
      <c r="T105" s="7">
        <f>Mecanismos!B8*H105</f>
        <v/>
      </c>
      <c r="U105" s="7">
        <f>Mecanismos!B10*H105</f>
        <v/>
      </c>
      <c r="V105" s="7">
        <f>Mecanismos!B8*K105</f>
        <v/>
      </c>
      <c r="W105" s="7">
        <f>SUM(L105:S105)</f>
        <v/>
      </c>
      <c r="X105" s="7">
        <f>SUM(T105:V105)</f>
        <v/>
      </c>
      <c r="Y105" s="8">
        <f>MAX(0,MIN(1,Parametros!B2-W105*Parametros!B3+X105*Parametros!B4))</f>
        <v/>
      </c>
    </row>
    <row r="106">
      <c r="A106" t="inlineStr">
        <is>
          <t>g6qk2q</t>
        </is>
      </c>
      <c r="B106" t="inlineStr">
        <is>
          <t>Cauê Campos</t>
        </is>
      </c>
      <c r="C106" s="6" t="n">
        <v>0.7024</v>
      </c>
      <c r="D106" s="6" t="n">
        <v>0.6863</v>
      </c>
      <c r="E106" s="6" t="n">
        <v>0.3917</v>
      </c>
      <c r="F106" s="6" t="n">
        <v>0.5658</v>
      </c>
      <c r="G106" s="6" t="n">
        <v>0.7193000000000001</v>
      </c>
      <c r="H106" s="6" t="n">
        <v>0.5657</v>
      </c>
      <c r="I106" s="6" t="n">
        <v>0.5723</v>
      </c>
      <c r="J106" s="6" t="n">
        <v>0.9051</v>
      </c>
      <c r="K106" s="6" t="n">
        <v>0.7366</v>
      </c>
      <c r="L106" s="7">
        <f>Mecanismos!B2*C106</f>
        <v/>
      </c>
      <c r="M106" s="7">
        <f>Mecanismos!B7*D106</f>
        <v/>
      </c>
      <c r="N106" s="7">
        <f>Mecanismos!B4*(1-E106)</f>
        <v/>
      </c>
      <c r="O106" s="7">
        <f>Mecanismos!B5*(1-F106)</f>
        <v/>
      </c>
      <c r="P106" s="7">
        <f>Mecanismos!B6*(1-I106)</f>
        <v/>
      </c>
      <c r="Q106" s="7">
        <f>Mecanismos!B9*(1-G106)</f>
        <v/>
      </c>
      <c r="R106" s="7">
        <f>Mecanismos!B3*(1-D106)</f>
        <v/>
      </c>
      <c r="S106" s="7">
        <f>Mecanismos!B9*(1-J106)</f>
        <v/>
      </c>
      <c r="T106" s="7">
        <f>Mecanismos!B8*H106</f>
        <v/>
      </c>
      <c r="U106" s="7">
        <f>Mecanismos!B10*H106</f>
        <v/>
      </c>
      <c r="V106" s="7">
        <f>Mecanismos!B8*K106</f>
        <v/>
      </c>
      <c r="W106" s="7">
        <f>SUM(L106:S106)</f>
        <v/>
      </c>
      <c r="X106" s="7">
        <f>SUM(T106:V106)</f>
        <v/>
      </c>
      <c r="Y106" s="8">
        <f>MAX(0,MIN(1,Parametros!B2-W106*Parametros!B3+X106*Parametros!B4))</f>
        <v/>
      </c>
    </row>
    <row r="107">
      <c r="A107" t="inlineStr">
        <is>
          <t>3g0zik</t>
        </is>
      </c>
      <c r="B107" t="inlineStr">
        <is>
          <t>Cecilia Araújo</t>
        </is>
      </c>
      <c r="C107" s="6" t="n">
        <v>0.6291</v>
      </c>
      <c r="D107" s="6" t="n">
        <v>0.4087</v>
      </c>
      <c r="E107" s="6" t="n">
        <v>0.5292</v>
      </c>
      <c r="F107" s="6" t="n">
        <v>0.4353</v>
      </c>
      <c r="G107" s="6" t="n">
        <v>0.2516</v>
      </c>
      <c r="H107" s="6" t="n">
        <v>0.553</v>
      </c>
      <c r="I107" s="6" t="n">
        <v>0.3762</v>
      </c>
      <c r="J107" s="6" t="n">
        <v>0.5562</v>
      </c>
      <c r="K107" s="6" t="n">
        <v>0.3464</v>
      </c>
      <c r="L107" s="7">
        <f>Mecanismos!B2*C107</f>
        <v/>
      </c>
      <c r="M107" s="7">
        <f>Mecanismos!B7*D107</f>
        <v/>
      </c>
      <c r="N107" s="7">
        <f>Mecanismos!B4*(1-E107)</f>
        <v/>
      </c>
      <c r="O107" s="7">
        <f>Mecanismos!B5*(1-F107)</f>
        <v/>
      </c>
      <c r="P107" s="7">
        <f>Mecanismos!B6*(1-I107)</f>
        <v/>
      </c>
      <c r="Q107" s="7">
        <f>Mecanismos!B9*(1-G107)</f>
        <v/>
      </c>
      <c r="R107" s="7">
        <f>Mecanismos!B3*(1-D107)</f>
        <v/>
      </c>
      <c r="S107" s="7">
        <f>Mecanismos!B9*(1-J107)</f>
        <v/>
      </c>
      <c r="T107" s="7">
        <f>Mecanismos!B8*H107</f>
        <v/>
      </c>
      <c r="U107" s="7">
        <f>Mecanismos!B10*H107</f>
        <v/>
      </c>
      <c r="V107" s="7">
        <f>Mecanismos!B8*K107</f>
        <v/>
      </c>
      <c r="W107" s="7">
        <f>SUM(L107:S107)</f>
        <v/>
      </c>
      <c r="X107" s="7">
        <f>SUM(T107:V107)</f>
        <v/>
      </c>
      <c r="Y107" s="8">
        <f>MAX(0,MIN(1,Parametros!B2-W107*Parametros!B3+X107*Parametros!B4))</f>
        <v/>
      </c>
    </row>
    <row r="108">
      <c r="A108" t="inlineStr">
        <is>
          <t>q7zwtr</t>
        </is>
      </c>
      <c r="B108" t="inlineStr">
        <is>
          <t>Cecília Gonçalves</t>
        </is>
      </c>
      <c r="C108" s="6" t="n">
        <v>0.6387</v>
      </c>
      <c r="D108" s="6" t="n">
        <v>0.6046</v>
      </c>
      <c r="E108" s="6" t="n">
        <v>0.5342</v>
      </c>
      <c r="F108" s="6" t="n">
        <v>0.7019</v>
      </c>
      <c r="G108" s="6" t="n">
        <v>0.7594</v>
      </c>
      <c r="H108" s="6" t="n">
        <v>0.6435999999999999</v>
      </c>
      <c r="I108" s="6" t="n">
        <v>0.6599</v>
      </c>
      <c r="J108" s="6" t="n">
        <v>0.7785</v>
      </c>
      <c r="K108" s="6" t="n">
        <v>0.4918</v>
      </c>
      <c r="L108" s="7">
        <f>Mecanismos!B2*C108</f>
        <v/>
      </c>
      <c r="M108" s="7">
        <f>Mecanismos!B7*D108</f>
        <v/>
      </c>
      <c r="N108" s="7">
        <f>Mecanismos!B4*(1-E108)</f>
        <v/>
      </c>
      <c r="O108" s="7">
        <f>Mecanismos!B5*(1-F108)</f>
        <v/>
      </c>
      <c r="P108" s="7">
        <f>Mecanismos!B6*(1-I108)</f>
        <v/>
      </c>
      <c r="Q108" s="7">
        <f>Mecanismos!B9*(1-G108)</f>
        <v/>
      </c>
      <c r="R108" s="7">
        <f>Mecanismos!B3*(1-D108)</f>
        <v/>
      </c>
      <c r="S108" s="7">
        <f>Mecanismos!B9*(1-J108)</f>
        <v/>
      </c>
      <c r="T108" s="7">
        <f>Mecanismos!B8*H108</f>
        <v/>
      </c>
      <c r="U108" s="7">
        <f>Mecanismos!B10*H108</f>
        <v/>
      </c>
      <c r="V108" s="7">
        <f>Mecanismos!B8*K108</f>
        <v/>
      </c>
      <c r="W108" s="7">
        <f>SUM(L108:S108)</f>
        <v/>
      </c>
      <c r="X108" s="7">
        <f>SUM(T108:V108)</f>
        <v/>
      </c>
      <c r="Y108" s="8">
        <f>MAX(0,MIN(1,Parametros!B2-W108*Parametros!B3+X108*Parametros!B4))</f>
        <v/>
      </c>
    </row>
    <row r="109">
      <c r="A109" t="inlineStr">
        <is>
          <t>u2y01b</t>
        </is>
      </c>
      <c r="B109" t="inlineStr">
        <is>
          <t>Clara Castro</t>
        </is>
      </c>
      <c r="C109" s="6" t="n">
        <v>0.5165999999999999</v>
      </c>
      <c r="D109" s="6" t="n">
        <v>0.6372</v>
      </c>
      <c r="E109" s="6" t="n">
        <v>0.7301</v>
      </c>
      <c r="F109" s="6" t="n">
        <v>0.5935</v>
      </c>
      <c r="G109" s="6" t="n">
        <v>0.5023</v>
      </c>
      <c r="H109" s="6" t="n">
        <v>0.6415999999999999</v>
      </c>
      <c r="I109" s="6" t="n">
        <v>0.6261</v>
      </c>
      <c r="J109" s="6" t="n">
        <v>0.6717</v>
      </c>
      <c r="K109" s="6" t="n">
        <v>0.761</v>
      </c>
      <c r="L109" s="7">
        <f>Mecanismos!B2*C109</f>
        <v/>
      </c>
      <c r="M109" s="7">
        <f>Mecanismos!B7*D109</f>
        <v/>
      </c>
      <c r="N109" s="7">
        <f>Mecanismos!B4*(1-E109)</f>
        <v/>
      </c>
      <c r="O109" s="7">
        <f>Mecanismos!B5*(1-F109)</f>
        <v/>
      </c>
      <c r="P109" s="7">
        <f>Mecanismos!B6*(1-I109)</f>
        <v/>
      </c>
      <c r="Q109" s="7">
        <f>Mecanismos!B9*(1-G109)</f>
        <v/>
      </c>
      <c r="R109" s="7">
        <f>Mecanismos!B3*(1-D109)</f>
        <v/>
      </c>
      <c r="S109" s="7">
        <f>Mecanismos!B9*(1-J109)</f>
        <v/>
      </c>
      <c r="T109" s="7">
        <f>Mecanismos!B8*H109</f>
        <v/>
      </c>
      <c r="U109" s="7">
        <f>Mecanismos!B10*H109</f>
        <v/>
      </c>
      <c r="V109" s="7">
        <f>Mecanismos!B8*K109</f>
        <v/>
      </c>
      <c r="W109" s="7">
        <f>SUM(L109:S109)</f>
        <v/>
      </c>
      <c r="X109" s="7">
        <f>SUM(T109:V109)</f>
        <v/>
      </c>
      <c r="Y109" s="8">
        <f>MAX(0,MIN(1,Parametros!B2-W109*Parametros!B3+X109*Parametros!B4))</f>
        <v/>
      </c>
    </row>
    <row r="110">
      <c r="A110" t="inlineStr">
        <is>
          <t>2sz6sw</t>
        </is>
      </c>
      <c r="B110" t="inlineStr">
        <is>
          <t>Clara Gonçalves</t>
        </is>
      </c>
      <c r="C110" s="6" t="n">
        <v>0.8605</v>
      </c>
      <c r="D110" s="6" t="n">
        <v>0.4801</v>
      </c>
      <c r="E110" s="6" t="n">
        <v>0.5770999999999999</v>
      </c>
      <c r="F110" s="6" t="n">
        <v>0.1382</v>
      </c>
      <c r="G110" s="6" t="n">
        <v>0.2748</v>
      </c>
      <c r="H110" s="6" t="n">
        <v>0.4693</v>
      </c>
      <c r="I110" s="6" t="n">
        <v>0.2221</v>
      </c>
      <c r="J110" s="6" t="n">
        <v>0.4848</v>
      </c>
      <c r="K110" s="6" t="n">
        <v>0.6083</v>
      </c>
      <c r="L110" s="7">
        <f>Mecanismos!B2*C110</f>
        <v/>
      </c>
      <c r="M110" s="7">
        <f>Mecanismos!B7*D110</f>
        <v/>
      </c>
      <c r="N110" s="7">
        <f>Mecanismos!B4*(1-E110)</f>
        <v/>
      </c>
      <c r="O110" s="7">
        <f>Mecanismos!B5*(1-F110)</f>
        <v/>
      </c>
      <c r="P110" s="7">
        <f>Mecanismos!B6*(1-I110)</f>
        <v/>
      </c>
      <c r="Q110" s="7">
        <f>Mecanismos!B9*(1-G110)</f>
        <v/>
      </c>
      <c r="R110" s="7">
        <f>Mecanismos!B3*(1-D110)</f>
        <v/>
      </c>
      <c r="S110" s="7">
        <f>Mecanismos!B9*(1-J110)</f>
        <v/>
      </c>
      <c r="T110" s="7">
        <f>Mecanismos!B8*H110</f>
        <v/>
      </c>
      <c r="U110" s="7">
        <f>Mecanismos!B10*H110</f>
        <v/>
      </c>
      <c r="V110" s="7">
        <f>Mecanismos!B8*K110</f>
        <v/>
      </c>
      <c r="W110" s="7">
        <f>SUM(L110:S110)</f>
        <v/>
      </c>
      <c r="X110" s="7">
        <f>SUM(T110:V110)</f>
        <v/>
      </c>
      <c r="Y110" s="8">
        <f>MAX(0,MIN(1,Parametros!B2-W110*Parametros!B3+X110*Parametros!B4))</f>
        <v/>
      </c>
    </row>
    <row r="111">
      <c r="A111" t="inlineStr">
        <is>
          <t>h9koao</t>
        </is>
      </c>
      <c r="B111" t="inlineStr">
        <is>
          <t>Clara Nogueira</t>
        </is>
      </c>
      <c r="C111" s="6" t="n">
        <v>0.7727000000000001</v>
      </c>
      <c r="D111" s="6" t="n">
        <v>0.3667</v>
      </c>
      <c r="E111" s="6" t="n">
        <v>0.7867</v>
      </c>
      <c r="F111" s="6" t="n">
        <v>0.502</v>
      </c>
      <c r="G111" s="6" t="n">
        <v>0.4389</v>
      </c>
      <c r="H111" s="6" t="n">
        <v>0.7638</v>
      </c>
      <c r="I111" s="6" t="n">
        <v>0.2257</v>
      </c>
      <c r="J111" s="6" t="n">
        <v>0.6062</v>
      </c>
      <c r="K111" s="6" t="n">
        <v>0.6345</v>
      </c>
      <c r="L111" s="7">
        <f>Mecanismos!B2*C111</f>
        <v/>
      </c>
      <c r="M111" s="7">
        <f>Mecanismos!B7*D111</f>
        <v/>
      </c>
      <c r="N111" s="7">
        <f>Mecanismos!B4*(1-E111)</f>
        <v/>
      </c>
      <c r="O111" s="7">
        <f>Mecanismos!B5*(1-F111)</f>
        <v/>
      </c>
      <c r="P111" s="7">
        <f>Mecanismos!B6*(1-I111)</f>
        <v/>
      </c>
      <c r="Q111" s="7">
        <f>Mecanismos!B9*(1-G111)</f>
        <v/>
      </c>
      <c r="R111" s="7">
        <f>Mecanismos!B3*(1-D111)</f>
        <v/>
      </c>
      <c r="S111" s="7">
        <f>Mecanismos!B9*(1-J111)</f>
        <v/>
      </c>
      <c r="T111" s="7">
        <f>Mecanismos!B8*H111</f>
        <v/>
      </c>
      <c r="U111" s="7">
        <f>Mecanismos!B10*H111</f>
        <v/>
      </c>
      <c r="V111" s="7">
        <f>Mecanismos!B8*K111</f>
        <v/>
      </c>
      <c r="W111" s="7">
        <f>SUM(L111:S111)</f>
        <v/>
      </c>
      <c r="X111" s="7">
        <f>SUM(T111:V111)</f>
        <v/>
      </c>
      <c r="Y111" s="8">
        <f>MAX(0,MIN(1,Parametros!B2-W111*Parametros!B3+X111*Parametros!B4))</f>
        <v/>
      </c>
    </row>
    <row r="112">
      <c r="A112" t="inlineStr">
        <is>
          <t>l84h9q</t>
        </is>
      </c>
      <c r="B112" t="inlineStr">
        <is>
          <t>Clara Siqueira</t>
        </is>
      </c>
      <c r="C112" s="6" t="n">
        <v>0.6395</v>
      </c>
      <c r="D112" s="6" t="n">
        <v>0.4368</v>
      </c>
      <c r="E112" s="6" t="n">
        <v>0.7589</v>
      </c>
      <c r="F112" s="6" t="n">
        <v>0.6509</v>
      </c>
      <c r="G112" s="6" t="n">
        <v>0.4289</v>
      </c>
      <c r="H112" s="6" t="n">
        <v>0.7392</v>
      </c>
      <c r="I112" s="6" t="n">
        <v>0.3839</v>
      </c>
      <c r="J112" s="6" t="n">
        <v>0.7588</v>
      </c>
      <c r="K112" s="6" t="n">
        <v>0.3103</v>
      </c>
      <c r="L112" s="7">
        <f>Mecanismos!B2*C112</f>
        <v/>
      </c>
      <c r="M112" s="7">
        <f>Mecanismos!B7*D112</f>
        <v/>
      </c>
      <c r="N112" s="7">
        <f>Mecanismos!B4*(1-E112)</f>
        <v/>
      </c>
      <c r="O112" s="7">
        <f>Mecanismos!B5*(1-F112)</f>
        <v/>
      </c>
      <c r="P112" s="7">
        <f>Mecanismos!B6*(1-I112)</f>
        <v/>
      </c>
      <c r="Q112" s="7">
        <f>Mecanismos!B9*(1-G112)</f>
        <v/>
      </c>
      <c r="R112" s="7">
        <f>Mecanismos!B3*(1-D112)</f>
        <v/>
      </c>
      <c r="S112" s="7">
        <f>Mecanismos!B9*(1-J112)</f>
        <v/>
      </c>
      <c r="T112" s="7">
        <f>Mecanismos!B8*H112</f>
        <v/>
      </c>
      <c r="U112" s="7">
        <f>Mecanismos!B10*H112</f>
        <v/>
      </c>
      <c r="V112" s="7">
        <f>Mecanismos!B8*K112</f>
        <v/>
      </c>
      <c r="W112" s="7">
        <f>SUM(L112:S112)</f>
        <v/>
      </c>
      <c r="X112" s="7">
        <f>SUM(T112:V112)</f>
        <v/>
      </c>
      <c r="Y112" s="8">
        <f>MAX(0,MIN(1,Parametros!B2-W112*Parametros!B3+X112*Parametros!B4))</f>
        <v/>
      </c>
    </row>
    <row r="113">
      <c r="A113" t="inlineStr">
        <is>
          <t>hkmgw0</t>
        </is>
      </c>
      <c r="B113" t="inlineStr">
        <is>
          <t>Clara da Paz</t>
        </is>
      </c>
      <c r="C113" s="6" t="n">
        <v>0.448</v>
      </c>
      <c r="D113" s="6" t="n">
        <v>0.4333</v>
      </c>
      <c r="E113" s="6" t="n">
        <v>0.5187</v>
      </c>
      <c r="F113" s="6" t="n">
        <v>0.6456</v>
      </c>
      <c r="G113" s="6" t="n">
        <v>0.3267</v>
      </c>
      <c r="H113" s="6" t="n">
        <v>0.7537</v>
      </c>
      <c r="I113" s="6" t="n">
        <v>0.7719</v>
      </c>
      <c r="J113" s="6" t="n">
        <v>0.8493000000000001</v>
      </c>
      <c r="K113" s="6" t="n">
        <v>0.7020999999999999</v>
      </c>
      <c r="L113" s="7">
        <f>Mecanismos!B2*C113</f>
        <v/>
      </c>
      <c r="M113" s="7">
        <f>Mecanismos!B7*D113</f>
        <v/>
      </c>
      <c r="N113" s="7">
        <f>Mecanismos!B4*(1-E113)</f>
        <v/>
      </c>
      <c r="O113" s="7">
        <f>Mecanismos!B5*(1-F113)</f>
        <v/>
      </c>
      <c r="P113" s="7">
        <f>Mecanismos!B6*(1-I113)</f>
        <v/>
      </c>
      <c r="Q113" s="7">
        <f>Mecanismos!B9*(1-G113)</f>
        <v/>
      </c>
      <c r="R113" s="7">
        <f>Mecanismos!B3*(1-D113)</f>
        <v/>
      </c>
      <c r="S113" s="7">
        <f>Mecanismos!B9*(1-J113)</f>
        <v/>
      </c>
      <c r="T113" s="7">
        <f>Mecanismos!B8*H113</f>
        <v/>
      </c>
      <c r="U113" s="7">
        <f>Mecanismos!B10*H113</f>
        <v/>
      </c>
      <c r="V113" s="7">
        <f>Mecanismos!B8*K113</f>
        <v/>
      </c>
      <c r="W113" s="7">
        <f>SUM(L113:S113)</f>
        <v/>
      </c>
      <c r="X113" s="7">
        <f>SUM(T113:V113)</f>
        <v/>
      </c>
      <c r="Y113" s="8">
        <f>MAX(0,MIN(1,Parametros!B2-W113*Parametros!B3+X113*Parametros!B4))</f>
        <v/>
      </c>
    </row>
    <row r="114">
      <c r="A114" t="inlineStr">
        <is>
          <t>8go182</t>
        </is>
      </c>
      <c r="B114" t="inlineStr">
        <is>
          <t>Clarice Almeida</t>
        </is>
      </c>
      <c r="C114" s="6" t="n">
        <v>0.4919</v>
      </c>
      <c r="D114" s="6" t="n">
        <v>0.4602</v>
      </c>
      <c r="E114" s="6" t="n">
        <v>0.6051</v>
      </c>
      <c r="F114" s="6" t="n">
        <v>0.3332</v>
      </c>
      <c r="G114" s="6" t="n">
        <v>0.417</v>
      </c>
      <c r="H114" s="6" t="n">
        <v>0.3693</v>
      </c>
      <c r="I114" s="6" t="n">
        <v>0.4793</v>
      </c>
      <c r="J114" s="6" t="n">
        <v>0.7324000000000001</v>
      </c>
      <c r="K114" s="6" t="n">
        <v>0.5125999999999999</v>
      </c>
      <c r="L114" s="7">
        <f>Mecanismos!B2*C114</f>
        <v/>
      </c>
      <c r="M114" s="7">
        <f>Mecanismos!B7*D114</f>
        <v/>
      </c>
      <c r="N114" s="7">
        <f>Mecanismos!B4*(1-E114)</f>
        <v/>
      </c>
      <c r="O114" s="7">
        <f>Mecanismos!B5*(1-F114)</f>
        <v/>
      </c>
      <c r="P114" s="7">
        <f>Mecanismos!B6*(1-I114)</f>
        <v/>
      </c>
      <c r="Q114" s="7">
        <f>Mecanismos!B9*(1-G114)</f>
        <v/>
      </c>
      <c r="R114" s="7">
        <f>Mecanismos!B3*(1-D114)</f>
        <v/>
      </c>
      <c r="S114" s="7">
        <f>Mecanismos!B9*(1-J114)</f>
        <v/>
      </c>
      <c r="T114" s="7">
        <f>Mecanismos!B8*H114</f>
        <v/>
      </c>
      <c r="U114" s="7">
        <f>Mecanismos!B10*H114</f>
        <v/>
      </c>
      <c r="V114" s="7">
        <f>Mecanismos!B8*K114</f>
        <v/>
      </c>
      <c r="W114" s="7">
        <f>SUM(L114:S114)</f>
        <v/>
      </c>
      <c r="X114" s="7">
        <f>SUM(T114:V114)</f>
        <v/>
      </c>
      <c r="Y114" s="8">
        <f>MAX(0,MIN(1,Parametros!B2-W114*Parametros!B3+X114*Parametros!B4))</f>
        <v/>
      </c>
    </row>
    <row r="115">
      <c r="A115" t="inlineStr">
        <is>
          <t>u60xh1</t>
        </is>
      </c>
      <c r="B115" t="inlineStr">
        <is>
          <t>Clarice Pinto</t>
        </is>
      </c>
      <c r="C115" s="6" t="n">
        <v>0.7234</v>
      </c>
      <c r="D115" s="6" t="n">
        <v>0.6528</v>
      </c>
      <c r="E115" s="6" t="n">
        <v>0.6895</v>
      </c>
      <c r="F115" s="6" t="n">
        <v>0.7274</v>
      </c>
      <c r="G115" s="6" t="n">
        <v>0.3781</v>
      </c>
      <c r="H115" s="6" t="n">
        <v>0.7487</v>
      </c>
      <c r="I115" s="6" t="n">
        <v>0.5124</v>
      </c>
      <c r="J115" s="6" t="n">
        <v>0.7665</v>
      </c>
      <c r="K115" s="6" t="n">
        <v>0.4474</v>
      </c>
      <c r="L115" s="7">
        <f>Mecanismos!B2*C115</f>
        <v/>
      </c>
      <c r="M115" s="7">
        <f>Mecanismos!B7*D115</f>
        <v/>
      </c>
      <c r="N115" s="7">
        <f>Mecanismos!B4*(1-E115)</f>
        <v/>
      </c>
      <c r="O115" s="7">
        <f>Mecanismos!B5*(1-F115)</f>
        <v/>
      </c>
      <c r="P115" s="7">
        <f>Mecanismos!B6*(1-I115)</f>
        <v/>
      </c>
      <c r="Q115" s="7">
        <f>Mecanismos!B9*(1-G115)</f>
        <v/>
      </c>
      <c r="R115" s="7">
        <f>Mecanismos!B3*(1-D115)</f>
        <v/>
      </c>
      <c r="S115" s="7">
        <f>Mecanismos!B9*(1-J115)</f>
        <v/>
      </c>
      <c r="T115" s="7">
        <f>Mecanismos!B8*H115</f>
        <v/>
      </c>
      <c r="U115" s="7">
        <f>Mecanismos!B10*H115</f>
        <v/>
      </c>
      <c r="V115" s="7">
        <f>Mecanismos!B8*K115</f>
        <v/>
      </c>
      <c r="W115" s="7">
        <f>SUM(L115:S115)</f>
        <v/>
      </c>
      <c r="X115" s="7">
        <f>SUM(T115:V115)</f>
        <v/>
      </c>
      <c r="Y115" s="8">
        <f>MAX(0,MIN(1,Parametros!B2-W115*Parametros!B3+X115*Parametros!B4))</f>
        <v/>
      </c>
    </row>
    <row r="116">
      <c r="A116" t="inlineStr">
        <is>
          <t>146hvo</t>
        </is>
      </c>
      <c r="B116" t="inlineStr">
        <is>
          <t>Daniel da Paz</t>
        </is>
      </c>
      <c r="C116" s="6" t="n">
        <v>0.7484</v>
      </c>
      <c r="D116" s="6" t="n">
        <v>0.5135</v>
      </c>
      <c r="E116" s="6" t="n">
        <v>0.6583</v>
      </c>
      <c r="F116" s="6" t="n">
        <v>0.2807</v>
      </c>
      <c r="G116" s="6" t="n">
        <v>0.2516</v>
      </c>
      <c r="H116" s="6" t="n">
        <v>0.5736</v>
      </c>
      <c r="I116" s="6" t="n">
        <v>0.1599</v>
      </c>
      <c r="J116" s="6" t="n">
        <v>0.5088</v>
      </c>
      <c r="K116" s="6" t="n">
        <v>0.6319</v>
      </c>
      <c r="L116" s="7">
        <f>Mecanismos!B2*C116</f>
        <v/>
      </c>
      <c r="M116" s="7">
        <f>Mecanismos!B7*D116</f>
        <v/>
      </c>
      <c r="N116" s="7">
        <f>Mecanismos!B4*(1-E116)</f>
        <v/>
      </c>
      <c r="O116" s="7">
        <f>Mecanismos!B5*(1-F116)</f>
        <v/>
      </c>
      <c r="P116" s="7">
        <f>Mecanismos!B6*(1-I116)</f>
        <v/>
      </c>
      <c r="Q116" s="7">
        <f>Mecanismos!B9*(1-G116)</f>
        <v/>
      </c>
      <c r="R116" s="7">
        <f>Mecanismos!B3*(1-D116)</f>
        <v/>
      </c>
      <c r="S116" s="7">
        <f>Mecanismos!B9*(1-J116)</f>
        <v/>
      </c>
      <c r="T116" s="7">
        <f>Mecanismos!B8*H116</f>
        <v/>
      </c>
      <c r="U116" s="7">
        <f>Mecanismos!B10*H116</f>
        <v/>
      </c>
      <c r="V116" s="7">
        <f>Mecanismos!B8*K116</f>
        <v/>
      </c>
      <c r="W116" s="7">
        <f>SUM(L116:S116)</f>
        <v/>
      </c>
      <c r="X116" s="7">
        <f>SUM(T116:V116)</f>
        <v/>
      </c>
      <c r="Y116" s="8">
        <f>MAX(0,MIN(1,Parametros!B2-W116*Parametros!B3+X116*Parametros!B4))</f>
        <v/>
      </c>
    </row>
    <row r="117">
      <c r="A117" t="inlineStr">
        <is>
          <t>ui72ej</t>
        </is>
      </c>
      <c r="B117" t="inlineStr">
        <is>
          <t>Daniela Rezende</t>
        </is>
      </c>
      <c r="C117" s="6" t="n">
        <v>0.5329</v>
      </c>
      <c r="D117" s="6" t="n">
        <v>0.5037</v>
      </c>
      <c r="E117" s="6" t="n">
        <v>0.5773</v>
      </c>
      <c r="F117" s="6" t="n">
        <v>0.3354</v>
      </c>
      <c r="G117" s="6" t="n">
        <v>0.4995</v>
      </c>
      <c r="H117" s="6" t="n">
        <v>0.483</v>
      </c>
      <c r="I117" s="6" t="n">
        <v>0.3854</v>
      </c>
      <c r="J117" s="6" t="n">
        <v>0.7025</v>
      </c>
      <c r="K117" s="6" t="n">
        <v>0.7563</v>
      </c>
      <c r="L117" s="7">
        <f>Mecanismos!B2*C117</f>
        <v/>
      </c>
      <c r="M117" s="7">
        <f>Mecanismos!B7*D117</f>
        <v/>
      </c>
      <c r="N117" s="7">
        <f>Mecanismos!B4*(1-E117)</f>
        <v/>
      </c>
      <c r="O117" s="7">
        <f>Mecanismos!B5*(1-F117)</f>
        <v/>
      </c>
      <c r="P117" s="7">
        <f>Mecanismos!B6*(1-I117)</f>
        <v/>
      </c>
      <c r="Q117" s="7">
        <f>Mecanismos!B9*(1-G117)</f>
        <v/>
      </c>
      <c r="R117" s="7">
        <f>Mecanismos!B3*(1-D117)</f>
        <v/>
      </c>
      <c r="S117" s="7">
        <f>Mecanismos!B9*(1-J117)</f>
        <v/>
      </c>
      <c r="T117" s="7">
        <f>Mecanismos!B8*H117</f>
        <v/>
      </c>
      <c r="U117" s="7">
        <f>Mecanismos!B10*H117</f>
        <v/>
      </c>
      <c r="V117" s="7">
        <f>Mecanismos!B8*K117</f>
        <v/>
      </c>
      <c r="W117" s="7">
        <f>SUM(L117:S117)</f>
        <v/>
      </c>
      <c r="X117" s="7">
        <f>SUM(T117:V117)</f>
        <v/>
      </c>
      <c r="Y117" s="8">
        <f>MAX(0,MIN(1,Parametros!B2-W117*Parametros!B3+X117*Parametros!B4))</f>
        <v/>
      </c>
    </row>
    <row r="118">
      <c r="A118" t="inlineStr">
        <is>
          <t>ztjvxc</t>
        </is>
      </c>
      <c r="B118" t="inlineStr">
        <is>
          <t>Danilo Albuquerque</t>
        </is>
      </c>
      <c r="C118" s="6" t="n">
        <v>0.5579</v>
      </c>
      <c r="D118" s="6" t="n">
        <v>0.5871</v>
      </c>
      <c r="E118" s="6" t="n">
        <v>0.3835</v>
      </c>
      <c r="F118" s="6" t="n">
        <v>0.4426</v>
      </c>
      <c r="G118" s="6" t="n">
        <v>0.5624</v>
      </c>
      <c r="H118" s="6" t="n">
        <v>0.6448</v>
      </c>
      <c r="I118" s="6" t="n">
        <v>0.7674</v>
      </c>
      <c r="J118" s="6" t="n">
        <v>0.7644</v>
      </c>
      <c r="K118" s="6" t="n">
        <v>0.8421999999999999</v>
      </c>
      <c r="L118" s="7">
        <f>Mecanismos!B2*C118</f>
        <v/>
      </c>
      <c r="M118" s="7">
        <f>Mecanismos!B7*D118</f>
        <v/>
      </c>
      <c r="N118" s="7">
        <f>Mecanismos!B4*(1-E118)</f>
        <v/>
      </c>
      <c r="O118" s="7">
        <f>Mecanismos!B5*(1-F118)</f>
        <v/>
      </c>
      <c r="P118" s="7">
        <f>Mecanismos!B6*(1-I118)</f>
        <v/>
      </c>
      <c r="Q118" s="7">
        <f>Mecanismos!B9*(1-G118)</f>
        <v/>
      </c>
      <c r="R118" s="7">
        <f>Mecanismos!B3*(1-D118)</f>
        <v/>
      </c>
      <c r="S118" s="7">
        <f>Mecanismos!B9*(1-J118)</f>
        <v/>
      </c>
      <c r="T118" s="7">
        <f>Mecanismos!B8*H118</f>
        <v/>
      </c>
      <c r="U118" s="7">
        <f>Mecanismos!B10*H118</f>
        <v/>
      </c>
      <c r="V118" s="7">
        <f>Mecanismos!B8*K118</f>
        <v/>
      </c>
      <c r="W118" s="7">
        <f>SUM(L118:S118)</f>
        <v/>
      </c>
      <c r="X118" s="7">
        <f>SUM(T118:V118)</f>
        <v/>
      </c>
      <c r="Y118" s="8">
        <f>MAX(0,MIN(1,Parametros!B2-W118*Parametros!B3+X118*Parametros!B4))</f>
        <v/>
      </c>
    </row>
    <row r="119">
      <c r="A119" t="inlineStr">
        <is>
          <t>fj3szr</t>
        </is>
      </c>
      <c r="B119" t="inlineStr">
        <is>
          <t>Danilo Correia</t>
        </is>
      </c>
      <c r="C119" s="6" t="n">
        <v>0.7557</v>
      </c>
      <c r="D119" s="6" t="n">
        <v>0.5891</v>
      </c>
      <c r="E119" s="6" t="n">
        <v>0.5376</v>
      </c>
      <c r="F119" s="6" t="n">
        <v>0.4078</v>
      </c>
      <c r="G119" s="6" t="n">
        <v>0.2557</v>
      </c>
      <c r="H119" s="6" t="n">
        <v>0.6886</v>
      </c>
      <c r="I119" s="6" t="n">
        <v>0.5566</v>
      </c>
      <c r="J119" s="6" t="n">
        <v>0.4077</v>
      </c>
      <c r="K119" s="6" t="n">
        <v>0.3262</v>
      </c>
      <c r="L119" s="7">
        <f>Mecanismos!B2*C119</f>
        <v/>
      </c>
      <c r="M119" s="7">
        <f>Mecanismos!B7*D119</f>
        <v/>
      </c>
      <c r="N119" s="7">
        <f>Mecanismos!B4*(1-E119)</f>
        <v/>
      </c>
      <c r="O119" s="7">
        <f>Mecanismos!B5*(1-F119)</f>
        <v/>
      </c>
      <c r="P119" s="7">
        <f>Mecanismos!B6*(1-I119)</f>
        <v/>
      </c>
      <c r="Q119" s="7">
        <f>Mecanismos!B9*(1-G119)</f>
        <v/>
      </c>
      <c r="R119" s="7">
        <f>Mecanismos!B3*(1-D119)</f>
        <v/>
      </c>
      <c r="S119" s="7">
        <f>Mecanismos!B9*(1-J119)</f>
        <v/>
      </c>
      <c r="T119" s="7">
        <f>Mecanismos!B8*H119</f>
        <v/>
      </c>
      <c r="U119" s="7">
        <f>Mecanismos!B10*H119</f>
        <v/>
      </c>
      <c r="V119" s="7">
        <f>Mecanismos!B8*K119</f>
        <v/>
      </c>
      <c r="W119" s="7">
        <f>SUM(L119:S119)</f>
        <v/>
      </c>
      <c r="X119" s="7">
        <f>SUM(T119:V119)</f>
        <v/>
      </c>
      <c r="Y119" s="8">
        <f>MAX(0,MIN(1,Parametros!B2-W119*Parametros!B3+X119*Parametros!B4))</f>
        <v/>
      </c>
    </row>
    <row r="120">
      <c r="A120" t="inlineStr">
        <is>
          <t>bbsn3k</t>
        </is>
      </c>
      <c r="B120" t="inlineStr">
        <is>
          <t>Danilo Souza</t>
        </is>
      </c>
      <c r="C120" s="6" t="n">
        <v>0.6927</v>
      </c>
      <c r="D120" s="6" t="n">
        <v>0.6512</v>
      </c>
      <c r="E120" s="6" t="n">
        <v>0.6576</v>
      </c>
      <c r="F120" s="6" t="n">
        <v>0.4896</v>
      </c>
      <c r="G120" s="6" t="n">
        <v>0.424</v>
      </c>
      <c r="H120" s="6" t="n">
        <v>0.5597</v>
      </c>
      <c r="I120" s="6" t="n">
        <v>0.6899</v>
      </c>
      <c r="J120" s="6" t="n">
        <v>0.9382</v>
      </c>
      <c r="K120" s="6" t="n">
        <v>0.4842</v>
      </c>
      <c r="L120" s="7">
        <f>Mecanismos!B2*C120</f>
        <v/>
      </c>
      <c r="M120" s="7">
        <f>Mecanismos!B7*D120</f>
        <v/>
      </c>
      <c r="N120" s="7">
        <f>Mecanismos!B4*(1-E120)</f>
        <v/>
      </c>
      <c r="O120" s="7">
        <f>Mecanismos!B5*(1-F120)</f>
        <v/>
      </c>
      <c r="P120" s="7">
        <f>Mecanismos!B6*(1-I120)</f>
        <v/>
      </c>
      <c r="Q120" s="7">
        <f>Mecanismos!B9*(1-G120)</f>
        <v/>
      </c>
      <c r="R120" s="7">
        <f>Mecanismos!B3*(1-D120)</f>
        <v/>
      </c>
      <c r="S120" s="7">
        <f>Mecanismos!B9*(1-J120)</f>
        <v/>
      </c>
      <c r="T120" s="7">
        <f>Mecanismos!B8*H120</f>
        <v/>
      </c>
      <c r="U120" s="7">
        <f>Mecanismos!B10*H120</f>
        <v/>
      </c>
      <c r="V120" s="7">
        <f>Mecanismos!B8*K120</f>
        <v/>
      </c>
      <c r="W120" s="7">
        <f>SUM(L120:S120)</f>
        <v/>
      </c>
      <c r="X120" s="7">
        <f>SUM(T120:V120)</f>
        <v/>
      </c>
      <c r="Y120" s="8">
        <f>MAX(0,MIN(1,Parametros!B2-W120*Parametros!B3+X120*Parametros!B4))</f>
        <v/>
      </c>
    </row>
    <row r="121">
      <c r="A121" t="inlineStr">
        <is>
          <t>6fycsd</t>
        </is>
      </c>
      <c r="B121" t="inlineStr">
        <is>
          <t>Danilo da Rocha</t>
        </is>
      </c>
      <c r="C121" s="6" t="n">
        <v>0.3775</v>
      </c>
      <c r="D121" s="6" t="n">
        <v>0.6909</v>
      </c>
      <c r="E121" s="6" t="n">
        <v>0.5809</v>
      </c>
      <c r="F121" s="6" t="n">
        <v>0.8244</v>
      </c>
      <c r="G121" s="6" t="n">
        <v>0.4886</v>
      </c>
      <c r="H121" s="6" t="n">
        <v>0.4765</v>
      </c>
      <c r="I121" s="6" t="n">
        <v>0.83</v>
      </c>
      <c r="J121" s="6" t="n">
        <v>0.8379</v>
      </c>
      <c r="K121" s="6" t="n">
        <v>0.4332</v>
      </c>
      <c r="L121" s="7">
        <f>Mecanismos!B2*C121</f>
        <v/>
      </c>
      <c r="M121" s="7">
        <f>Mecanismos!B7*D121</f>
        <v/>
      </c>
      <c r="N121" s="7">
        <f>Mecanismos!B4*(1-E121)</f>
        <v/>
      </c>
      <c r="O121" s="7">
        <f>Mecanismos!B5*(1-F121)</f>
        <v/>
      </c>
      <c r="P121" s="7">
        <f>Mecanismos!B6*(1-I121)</f>
        <v/>
      </c>
      <c r="Q121" s="7">
        <f>Mecanismos!B9*(1-G121)</f>
        <v/>
      </c>
      <c r="R121" s="7">
        <f>Mecanismos!B3*(1-D121)</f>
        <v/>
      </c>
      <c r="S121" s="7">
        <f>Mecanismos!B9*(1-J121)</f>
        <v/>
      </c>
      <c r="T121" s="7">
        <f>Mecanismos!B8*H121</f>
        <v/>
      </c>
      <c r="U121" s="7">
        <f>Mecanismos!B10*H121</f>
        <v/>
      </c>
      <c r="V121" s="7">
        <f>Mecanismos!B8*K121</f>
        <v/>
      </c>
      <c r="W121" s="7">
        <f>SUM(L121:S121)</f>
        <v/>
      </c>
      <c r="X121" s="7">
        <f>SUM(T121:V121)</f>
        <v/>
      </c>
      <c r="Y121" s="8">
        <f>MAX(0,MIN(1,Parametros!B2-W121*Parametros!B3+X121*Parametros!B4))</f>
        <v/>
      </c>
    </row>
    <row r="122">
      <c r="A122" t="inlineStr">
        <is>
          <t>zi0k8o</t>
        </is>
      </c>
      <c r="B122" t="inlineStr">
        <is>
          <t>Dante Castro</t>
        </is>
      </c>
      <c r="C122" s="6" t="n">
        <v>0.6964</v>
      </c>
      <c r="D122" s="6" t="n">
        <v>0.4974</v>
      </c>
      <c r="E122" s="6" t="n">
        <v>0.7023</v>
      </c>
      <c r="F122" s="6" t="n">
        <v>0.3761</v>
      </c>
      <c r="G122" s="6" t="n">
        <v>0.5278</v>
      </c>
      <c r="H122" s="6" t="n">
        <v>0.5289</v>
      </c>
      <c r="I122" s="6" t="n">
        <v>0.4623</v>
      </c>
      <c r="J122" s="6" t="n">
        <v>0.7333</v>
      </c>
      <c r="K122" s="6" t="n">
        <v>0.5854</v>
      </c>
      <c r="L122" s="7">
        <f>Mecanismos!B2*C122</f>
        <v/>
      </c>
      <c r="M122" s="7">
        <f>Mecanismos!B7*D122</f>
        <v/>
      </c>
      <c r="N122" s="7">
        <f>Mecanismos!B4*(1-E122)</f>
        <v/>
      </c>
      <c r="O122" s="7">
        <f>Mecanismos!B5*(1-F122)</f>
        <v/>
      </c>
      <c r="P122" s="7">
        <f>Mecanismos!B6*(1-I122)</f>
        <v/>
      </c>
      <c r="Q122" s="7">
        <f>Mecanismos!B9*(1-G122)</f>
        <v/>
      </c>
      <c r="R122" s="7">
        <f>Mecanismos!B3*(1-D122)</f>
        <v/>
      </c>
      <c r="S122" s="7">
        <f>Mecanismos!B9*(1-J122)</f>
        <v/>
      </c>
      <c r="T122" s="7">
        <f>Mecanismos!B8*H122</f>
        <v/>
      </c>
      <c r="U122" s="7">
        <f>Mecanismos!B10*H122</f>
        <v/>
      </c>
      <c r="V122" s="7">
        <f>Mecanismos!B8*K122</f>
        <v/>
      </c>
      <c r="W122" s="7">
        <f>SUM(L122:S122)</f>
        <v/>
      </c>
      <c r="X122" s="7">
        <f>SUM(T122:V122)</f>
        <v/>
      </c>
      <c r="Y122" s="8">
        <f>MAX(0,MIN(1,Parametros!B2-W122*Parametros!B3+X122*Parametros!B4))</f>
        <v/>
      </c>
    </row>
    <row r="123">
      <c r="A123" t="inlineStr">
        <is>
          <t>7lsmiq</t>
        </is>
      </c>
      <c r="B123" t="inlineStr">
        <is>
          <t>Dante Cunha</t>
        </is>
      </c>
      <c r="C123" s="6" t="n">
        <v>0.6757</v>
      </c>
      <c r="D123" s="6" t="n">
        <v>0.6264999999999999</v>
      </c>
      <c r="E123" s="6" t="n">
        <v>0.7111</v>
      </c>
      <c r="F123" s="6" t="n">
        <v>0.5743</v>
      </c>
      <c r="G123" s="6" t="n">
        <v>0.7415</v>
      </c>
      <c r="H123" s="6" t="n">
        <v>0.5447</v>
      </c>
      <c r="I123" s="6" t="n">
        <v>0.6481</v>
      </c>
      <c r="J123" s="6" t="n">
        <v>0.845</v>
      </c>
      <c r="K123" s="6" t="n">
        <v>0.7049</v>
      </c>
      <c r="L123" s="7">
        <f>Mecanismos!B2*C123</f>
        <v/>
      </c>
      <c r="M123" s="7">
        <f>Mecanismos!B7*D123</f>
        <v/>
      </c>
      <c r="N123" s="7">
        <f>Mecanismos!B4*(1-E123)</f>
        <v/>
      </c>
      <c r="O123" s="7">
        <f>Mecanismos!B5*(1-F123)</f>
        <v/>
      </c>
      <c r="P123" s="7">
        <f>Mecanismos!B6*(1-I123)</f>
        <v/>
      </c>
      <c r="Q123" s="7">
        <f>Mecanismos!B9*(1-G123)</f>
        <v/>
      </c>
      <c r="R123" s="7">
        <f>Mecanismos!B3*(1-D123)</f>
        <v/>
      </c>
      <c r="S123" s="7">
        <f>Mecanismos!B9*(1-J123)</f>
        <v/>
      </c>
      <c r="T123" s="7">
        <f>Mecanismos!B8*H123</f>
        <v/>
      </c>
      <c r="U123" s="7">
        <f>Mecanismos!B10*H123</f>
        <v/>
      </c>
      <c r="V123" s="7">
        <f>Mecanismos!B8*K123</f>
        <v/>
      </c>
      <c r="W123" s="7">
        <f>SUM(L123:S123)</f>
        <v/>
      </c>
      <c r="X123" s="7">
        <f>SUM(T123:V123)</f>
        <v/>
      </c>
      <c r="Y123" s="8">
        <f>MAX(0,MIN(1,Parametros!B2-W123*Parametros!B3+X123*Parametros!B4))</f>
        <v/>
      </c>
    </row>
    <row r="124">
      <c r="A124" t="inlineStr">
        <is>
          <t>m7ks26</t>
        </is>
      </c>
      <c r="B124" t="inlineStr">
        <is>
          <t>Dante Sousa</t>
        </is>
      </c>
      <c r="C124" s="6" t="n">
        <v>0.6835</v>
      </c>
      <c r="D124" s="6" t="n">
        <v>0.3246</v>
      </c>
      <c r="E124" s="6" t="n">
        <v>0.5355</v>
      </c>
      <c r="F124" s="6" t="n">
        <v>0.3712</v>
      </c>
      <c r="G124" s="6" t="n">
        <v>0.3604</v>
      </c>
      <c r="H124" s="6" t="n">
        <v>0.7489</v>
      </c>
      <c r="I124" s="6" t="n">
        <v>0.5926</v>
      </c>
      <c r="J124" s="6" t="n">
        <v>0.7562</v>
      </c>
      <c r="K124" s="6" t="n">
        <v>0.3178</v>
      </c>
      <c r="L124" s="7">
        <f>Mecanismos!B2*C124</f>
        <v/>
      </c>
      <c r="M124" s="7">
        <f>Mecanismos!B7*D124</f>
        <v/>
      </c>
      <c r="N124" s="7">
        <f>Mecanismos!B4*(1-E124)</f>
        <v/>
      </c>
      <c r="O124" s="7">
        <f>Mecanismos!B5*(1-F124)</f>
        <v/>
      </c>
      <c r="P124" s="7">
        <f>Mecanismos!B6*(1-I124)</f>
        <v/>
      </c>
      <c r="Q124" s="7">
        <f>Mecanismos!B9*(1-G124)</f>
        <v/>
      </c>
      <c r="R124" s="7">
        <f>Mecanismos!B3*(1-D124)</f>
        <v/>
      </c>
      <c r="S124" s="7">
        <f>Mecanismos!B9*(1-J124)</f>
        <v/>
      </c>
      <c r="T124" s="7">
        <f>Mecanismos!B8*H124</f>
        <v/>
      </c>
      <c r="U124" s="7">
        <f>Mecanismos!B10*H124</f>
        <v/>
      </c>
      <c r="V124" s="7">
        <f>Mecanismos!B8*K124</f>
        <v/>
      </c>
      <c r="W124" s="7">
        <f>SUM(L124:S124)</f>
        <v/>
      </c>
      <c r="X124" s="7">
        <f>SUM(T124:V124)</f>
        <v/>
      </c>
      <c r="Y124" s="8">
        <f>MAX(0,MIN(1,Parametros!B2-W124*Parametros!B3+X124*Parametros!B4))</f>
        <v/>
      </c>
    </row>
    <row r="125">
      <c r="A125" t="inlineStr">
        <is>
          <t>2idhxo</t>
        </is>
      </c>
      <c r="B125" t="inlineStr">
        <is>
          <t>Davi Guerra</t>
        </is>
      </c>
      <c r="C125" s="6" t="n">
        <v>0.4258</v>
      </c>
      <c r="D125" s="6" t="n">
        <v>0.5675</v>
      </c>
      <c r="E125" s="6" t="n">
        <v>0.2951</v>
      </c>
      <c r="F125" s="6" t="n">
        <v>0.6371</v>
      </c>
      <c r="G125" s="6" t="n">
        <v>0.3979</v>
      </c>
      <c r="H125" s="6" t="n">
        <v>0.7244</v>
      </c>
      <c r="I125" s="6" t="n">
        <v>0.7325</v>
      </c>
      <c r="J125" s="6" t="n">
        <v>0.8469</v>
      </c>
      <c r="K125" s="6" t="n">
        <v>0.6432</v>
      </c>
      <c r="L125" s="7">
        <f>Mecanismos!B2*C125</f>
        <v/>
      </c>
      <c r="M125" s="7">
        <f>Mecanismos!B7*D125</f>
        <v/>
      </c>
      <c r="N125" s="7">
        <f>Mecanismos!B4*(1-E125)</f>
        <v/>
      </c>
      <c r="O125" s="7">
        <f>Mecanismos!B5*(1-F125)</f>
        <v/>
      </c>
      <c r="P125" s="7">
        <f>Mecanismos!B6*(1-I125)</f>
        <v/>
      </c>
      <c r="Q125" s="7">
        <f>Mecanismos!B9*(1-G125)</f>
        <v/>
      </c>
      <c r="R125" s="7">
        <f>Mecanismos!B3*(1-D125)</f>
        <v/>
      </c>
      <c r="S125" s="7">
        <f>Mecanismos!B9*(1-J125)</f>
        <v/>
      </c>
      <c r="T125" s="7">
        <f>Mecanismos!B8*H125</f>
        <v/>
      </c>
      <c r="U125" s="7">
        <f>Mecanismos!B10*H125</f>
        <v/>
      </c>
      <c r="V125" s="7">
        <f>Mecanismos!B8*K125</f>
        <v/>
      </c>
      <c r="W125" s="7">
        <f>SUM(L125:S125)</f>
        <v/>
      </c>
      <c r="X125" s="7">
        <f>SUM(T125:V125)</f>
        <v/>
      </c>
      <c r="Y125" s="8">
        <f>MAX(0,MIN(1,Parametros!B2-W125*Parametros!B3+X125*Parametros!B4))</f>
        <v/>
      </c>
    </row>
    <row r="126">
      <c r="A126" t="inlineStr">
        <is>
          <t>23c7gi</t>
        </is>
      </c>
      <c r="B126" t="inlineStr">
        <is>
          <t>Davi Lucas da Luz</t>
        </is>
      </c>
      <c r="C126" s="6" t="n">
        <v>0.4437</v>
      </c>
      <c r="D126" s="6" t="n">
        <v>0.4613</v>
      </c>
      <c r="E126" s="6" t="n">
        <v>0.5201</v>
      </c>
      <c r="F126" s="6" t="n">
        <v>0.8024</v>
      </c>
      <c r="G126" s="6" t="n">
        <v>0.4554</v>
      </c>
      <c r="H126" s="6" t="n">
        <v>0.7504999999999999</v>
      </c>
      <c r="I126" s="6" t="n">
        <v>0.6036</v>
      </c>
      <c r="J126" s="6" t="n">
        <v>0.67</v>
      </c>
      <c r="K126" s="6" t="n">
        <v>0.4204</v>
      </c>
      <c r="L126" s="7">
        <f>Mecanismos!B2*C126</f>
        <v/>
      </c>
      <c r="M126" s="7">
        <f>Mecanismos!B7*D126</f>
        <v/>
      </c>
      <c r="N126" s="7">
        <f>Mecanismos!B4*(1-E126)</f>
        <v/>
      </c>
      <c r="O126" s="7">
        <f>Mecanismos!B5*(1-F126)</f>
        <v/>
      </c>
      <c r="P126" s="7">
        <f>Mecanismos!B6*(1-I126)</f>
        <v/>
      </c>
      <c r="Q126" s="7">
        <f>Mecanismos!B9*(1-G126)</f>
        <v/>
      </c>
      <c r="R126" s="7">
        <f>Mecanismos!B3*(1-D126)</f>
        <v/>
      </c>
      <c r="S126" s="7">
        <f>Mecanismos!B9*(1-J126)</f>
        <v/>
      </c>
      <c r="T126" s="7">
        <f>Mecanismos!B8*H126</f>
        <v/>
      </c>
      <c r="U126" s="7">
        <f>Mecanismos!B10*H126</f>
        <v/>
      </c>
      <c r="V126" s="7">
        <f>Mecanismos!B8*K126</f>
        <v/>
      </c>
      <c r="W126" s="7">
        <f>SUM(L126:S126)</f>
        <v/>
      </c>
      <c r="X126" s="7">
        <f>SUM(T126:V126)</f>
        <v/>
      </c>
      <c r="Y126" s="8">
        <f>MAX(0,MIN(1,Parametros!B2-W126*Parametros!B3+X126*Parametros!B4))</f>
        <v/>
      </c>
    </row>
    <row r="127">
      <c r="A127" t="inlineStr">
        <is>
          <t>9od83v</t>
        </is>
      </c>
      <c r="B127" t="inlineStr">
        <is>
          <t>Davi Lucca Albuquerque</t>
        </is>
      </c>
      <c r="C127" s="6" t="n">
        <v>0.6516999999999999</v>
      </c>
      <c r="D127" s="6" t="n">
        <v>0.5839</v>
      </c>
      <c r="E127" s="6" t="n">
        <v>0.5423</v>
      </c>
      <c r="F127" s="6" t="n">
        <v>0.3126</v>
      </c>
      <c r="G127" s="6" t="n">
        <v>0.4918</v>
      </c>
      <c r="H127" s="6" t="n">
        <v>0.6366000000000001</v>
      </c>
      <c r="I127" s="6" t="n">
        <v>0.2162</v>
      </c>
      <c r="J127" s="6" t="n">
        <v>0.2046</v>
      </c>
      <c r="K127" s="6" t="n">
        <v>0.4077</v>
      </c>
      <c r="L127" s="7">
        <f>Mecanismos!B2*C127</f>
        <v/>
      </c>
      <c r="M127" s="7">
        <f>Mecanismos!B7*D127</f>
        <v/>
      </c>
      <c r="N127" s="7">
        <f>Mecanismos!B4*(1-E127)</f>
        <v/>
      </c>
      <c r="O127" s="7">
        <f>Mecanismos!B5*(1-F127)</f>
        <v/>
      </c>
      <c r="P127" s="7">
        <f>Mecanismos!B6*(1-I127)</f>
        <v/>
      </c>
      <c r="Q127" s="7">
        <f>Mecanismos!B9*(1-G127)</f>
        <v/>
      </c>
      <c r="R127" s="7">
        <f>Mecanismos!B3*(1-D127)</f>
        <v/>
      </c>
      <c r="S127" s="7">
        <f>Mecanismos!B9*(1-J127)</f>
        <v/>
      </c>
      <c r="T127" s="7">
        <f>Mecanismos!B8*H127</f>
        <v/>
      </c>
      <c r="U127" s="7">
        <f>Mecanismos!B10*H127</f>
        <v/>
      </c>
      <c r="V127" s="7">
        <f>Mecanismos!B8*K127</f>
        <v/>
      </c>
      <c r="W127" s="7">
        <f>SUM(L127:S127)</f>
        <v/>
      </c>
      <c r="X127" s="7">
        <f>SUM(T127:V127)</f>
        <v/>
      </c>
      <c r="Y127" s="8">
        <f>MAX(0,MIN(1,Parametros!B2-W127*Parametros!B3+X127*Parametros!B4))</f>
        <v/>
      </c>
    </row>
    <row r="128">
      <c r="A128" t="inlineStr">
        <is>
          <t>fulpln</t>
        </is>
      </c>
      <c r="B128" t="inlineStr">
        <is>
          <t>Davi Lucca Marques</t>
        </is>
      </c>
      <c r="C128" s="6" t="n">
        <v>0.7774</v>
      </c>
      <c r="D128" s="6" t="n">
        <v>0.58</v>
      </c>
      <c r="E128" s="6" t="n">
        <v>0.7774</v>
      </c>
      <c r="F128" s="6" t="n">
        <v>0.5165999999999999</v>
      </c>
      <c r="G128" s="6" t="n">
        <v>0.4166</v>
      </c>
      <c r="H128" s="6" t="n">
        <v>0.6098</v>
      </c>
      <c r="I128" s="6" t="n">
        <v>0.2073</v>
      </c>
      <c r="J128" s="6" t="n">
        <v>0.5588</v>
      </c>
      <c r="K128" s="6" t="n">
        <v>0.3068</v>
      </c>
      <c r="L128" s="7">
        <f>Mecanismos!B2*C128</f>
        <v/>
      </c>
      <c r="M128" s="7">
        <f>Mecanismos!B7*D128</f>
        <v/>
      </c>
      <c r="N128" s="7">
        <f>Mecanismos!B4*(1-E128)</f>
        <v/>
      </c>
      <c r="O128" s="7">
        <f>Mecanismos!B5*(1-F128)</f>
        <v/>
      </c>
      <c r="P128" s="7">
        <f>Mecanismos!B6*(1-I128)</f>
        <v/>
      </c>
      <c r="Q128" s="7">
        <f>Mecanismos!B9*(1-G128)</f>
        <v/>
      </c>
      <c r="R128" s="7">
        <f>Mecanismos!B3*(1-D128)</f>
        <v/>
      </c>
      <c r="S128" s="7">
        <f>Mecanismos!B9*(1-J128)</f>
        <v/>
      </c>
      <c r="T128" s="7">
        <f>Mecanismos!B8*H128</f>
        <v/>
      </c>
      <c r="U128" s="7">
        <f>Mecanismos!B10*H128</f>
        <v/>
      </c>
      <c r="V128" s="7">
        <f>Mecanismos!B8*K128</f>
        <v/>
      </c>
      <c r="W128" s="7">
        <f>SUM(L128:S128)</f>
        <v/>
      </c>
      <c r="X128" s="7">
        <f>SUM(T128:V128)</f>
        <v/>
      </c>
      <c r="Y128" s="8">
        <f>MAX(0,MIN(1,Parametros!B2-W128*Parametros!B3+X128*Parametros!B4))</f>
        <v/>
      </c>
    </row>
    <row r="129">
      <c r="A129" t="inlineStr">
        <is>
          <t>1v6bec</t>
        </is>
      </c>
      <c r="B129" t="inlineStr">
        <is>
          <t>Davi Lucca Peixoto</t>
        </is>
      </c>
      <c r="C129" s="6" t="n">
        <v>0.6098</v>
      </c>
      <c r="D129" s="6" t="n">
        <v>0.8549</v>
      </c>
      <c r="E129" s="6" t="n">
        <v>0.5512</v>
      </c>
      <c r="F129" s="6" t="n">
        <v>0.4977</v>
      </c>
      <c r="G129" s="6" t="n">
        <v>0.5063</v>
      </c>
      <c r="H129" s="6" t="n">
        <v>0.5545</v>
      </c>
      <c r="I129" s="6" t="n">
        <v>0.5854</v>
      </c>
      <c r="J129" s="6" t="n">
        <v>0.7891</v>
      </c>
      <c r="K129" s="6" t="n">
        <v>0.2807</v>
      </c>
      <c r="L129" s="7">
        <f>Mecanismos!B2*C129</f>
        <v/>
      </c>
      <c r="M129" s="7">
        <f>Mecanismos!B7*D129</f>
        <v/>
      </c>
      <c r="N129" s="7">
        <f>Mecanismos!B4*(1-E129)</f>
        <v/>
      </c>
      <c r="O129" s="7">
        <f>Mecanismos!B5*(1-F129)</f>
        <v/>
      </c>
      <c r="P129" s="7">
        <f>Mecanismos!B6*(1-I129)</f>
        <v/>
      </c>
      <c r="Q129" s="7">
        <f>Mecanismos!B9*(1-G129)</f>
        <v/>
      </c>
      <c r="R129" s="7">
        <f>Mecanismos!B3*(1-D129)</f>
        <v/>
      </c>
      <c r="S129" s="7">
        <f>Mecanismos!B9*(1-J129)</f>
        <v/>
      </c>
      <c r="T129" s="7">
        <f>Mecanismos!B8*H129</f>
        <v/>
      </c>
      <c r="U129" s="7">
        <f>Mecanismos!B10*H129</f>
        <v/>
      </c>
      <c r="V129" s="7">
        <f>Mecanismos!B8*K129</f>
        <v/>
      </c>
      <c r="W129" s="7">
        <f>SUM(L129:S129)</f>
        <v/>
      </c>
      <c r="X129" s="7">
        <f>SUM(T129:V129)</f>
        <v/>
      </c>
      <c r="Y129" s="8">
        <f>MAX(0,MIN(1,Parametros!B2-W129*Parametros!B3+X129*Parametros!B4))</f>
        <v/>
      </c>
    </row>
    <row r="130">
      <c r="A130" t="inlineStr">
        <is>
          <t>ur0m2p</t>
        </is>
      </c>
      <c r="B130" t="inlineStr">
        <is>
          <t>Davi Luiz Fernandes</t>
        </is>
      </c>
      <c r="C130" s="6" t="n">
        <v>0.7399</v>
      </c>
      <c r="D130" s="6" t="n">
        <v>0.4228</v>
      </c>
      <c r="E130" s="6" t="n">
        <v>0.4915</v>
      </c>
      <c r="F130" s="6" t="n">
        <v>0.312</v>
      </c>
      <c r="G130" s="6" t="n">
        <v>0.3915</v>
      </c>
      <c r="H130" s="6" t="n">
        <v>0.793</v>
      </c>
      <c r="I130" s="6" t="n">
        <v>0.2315</v>
      </c>
      <c r="J130" s="6" t="n">
        <v>0.7558</v>
      </c>
      <c r="K130" s="6" t="n">
        <v>0.4007</v>
      </c>
      <c r="L130" s="7">
        <f>Mecanismos!B2*C130</f>
        <v/>
      </c>
      <c r="M130" s="7">
        <f>Mecanismos!B7*D130</f>
        <v/>
      </c>
      <c r="N130" s="7">
        <f>Mecanismos!B4*(1-E130)</f>
        <v/>
      </c>
      <c r="O130" s="7">
        <f>Mecanismos!B5*(1-F130)</f>
        <v/>
      </c>
      <c r="P130" s="7">
        <f>Mecanismos!B6*(1-I130)</f>
        <v/>
      </c>
      <c r="Q130" s="7">
        <f>Mecanismos!B9*(1-G130)</f>
        <v/>
      </c>
      <c r="R130" s="7">
        <f>Mecanismos!B3*(1-D130)</f>
        <v/>
      </c>
      <c r="S130" s="7">
        <f>Mecanismos!B9*(1-J130)</f>
        <v/>
      </c>
      <c r="T130" s="7">
        <f>Mecanismos!B8*H130</f>
        <v/>
      </c>
      <c r="U130" s="7">
        <f>Mecanismos!B10*H130</f>
        <v/>
      </c>
      <c r="V130" s="7">
        <f>Mecanismos!B8*K130</f>
        <v/>
      </c>
      <c r="W130" s="7">
        <f>SUM(L130:S130)</f>
        <v/>
      </c>
      <c r="X130" s="7">
        <f>SUM(T130:V130)</f>
        <v/>
      </c>
      <c r="Y130" s="8">
        <f>MAX(0,MIN(1,Parametros!B2-W130*Parametros!B3+X130*Parametros!B4))</f>
        <v/>
      </c>
    </row>
    <row r="131">
      <c r="A131" t="inlineStr">
        <is>
          <t>kfy7o9</t>
        </is>
      </c>
      <c r="B131" t="inlineStr">
        <is>
          <t>Davi Luiz Machado</t>
        </is>
      </c>
      <c r="C131" s="6" t="n">
        <v>0.6942</v>
      </c>
      <c r="D131" s="6" t="n">
        <v>0.3582</v>
      </c>
      <c r="E131" s="6" t="n">
        <v>0.3566</v>
      </c>
      <c r="F131" s="6" t="n">
        <v>0.6028</v>
      </c>
      <c r="G131" s="6" t="n">
        <v>0.3566</v>
      </c>
      <c r="H131" s="6" t="n">
        <v>0.8137</v>
      </c>
      <c r="I131" s="6" t="n">
        <v>0.5233</v>
      </c>
      <c r="J131" s="6" t="n">
        <v>0.9026999999999999</v>
      </c>
      <c r="K131" s="6" t="n">
        <v>0.3417</v>
      </c>
      <c r="L131" s="7">
        <f>Mecanismos!B2*C131</f>
        <v/>
      </c>
      <c r="M131" s="7">
        <f>Mecanismos!B7*D131</f>
        <v/>
      </c>
      <c r="N131" s="7">
        <f>Mecanismos!B4*(1-E131)</f>
        <v/>
      </c>
      <c r="O131" s="7">
        <f>Mecanismos!B5*(1-F131)</f>
        <v/>
      </c>
      <c r="P131" s="7">
        <f>Mecanismos!B6*(1-I131)</f>
        <v/>
      </c>
      <c r="Q131" s="7">
        <f>Mecanismos!B9*(1-G131)</f>
        <v/>
      </c>
      <c r="R131" s="7">
        <f>Mecanismos!B3*(1-D131)</f>
        <v/>
      </c>
      <c r="S131" s="7">
        <f>Mecanismos!B9*(1-J131)</f>
        <v/>
      </c>
      <c r="T131" s="7">
        <f>Mecanismos!B8*H131</f>
        <v/>
      </c>
      <c r="U131" s="7">
        <f>Mecanismos!B10*H131</f>
        <v/>
      </c>
      <c r="V131" s="7">
        <f>Mecanismos!B8*K131</f>
        <v/>
      </c>
      <c r="W131" s="7">
        <f>SUM(L131:S131)</f>
        <v/>
      </c>
      <c r="X131" s="7">
        <f>SUM(T131:V131)</f>
        <v/>
      </c>
      <c r="Y131" s="8">
        <f>MAX(0,MIN(1,Parametros!B2-W131*Parametros!B3+X131*Parametros!B4))</f>
        <v/>
      </c>
    </row>
    <row r="132">
      <c r="A132" t="inlineStr">
        <is>
          <t>pplc5b</t>
        </is>
      </c>
      <c r="B132" t="inlineStr">
        <is>
          <t>Davi Miguel Fernandes</t>
        </is>
      </c>
      <c r="C132" s="6" t="n">
        <v>0.4149</v>
      </c>
      <c r="D132" s="6" t="n">
        <v>0.4948</v>
      </c>
      <c r="E132" s="6" t="n">
        <v>0.8191000000000001</v>
      </c>
      <c r="F132" s="6" t="n">
        <v>0.4339</v>
      </c>
      <c r="G132" s="6" t="n">
        <v>0.4581</v>
      </c>
      <c r="H132" s="6" t="n">
        <v>0.3507</v>
      </c>
      <c r="I132" s="6" t="n">
        <v>0.6456</v>
      </c>
      <c r="J132" s="6" t="n">
        <v>0.6741</v>
      </c>
      <c r="K132" s="6" t="n">
        <v>0.7503</v>
      </c>
      <c r="L132" s="7">
        <f>Mecanismos!B2*C132</f>
        <v/>
      </c>
      <c r="M132" s="7">
        <f>Mecanismos!B7*D132</f>
        <v/>
      </c>
      <c r="N132" s="7">
        <f>Mecanismos!B4*(1-E132)</f>
        <v/>
      </c>
      <c r="O132" s="7">
        <f>Mecanismos!B5*(1-F132)</f>
        <v/>
      </c>
      <c r="P132" s="7">
        <f>Mecanismos!B6*(1-I132)</f>
        <v/>
      </c>
      <c r="Q132" s="7">
        <f>Mecanismos!B9*(1-G132)</f>
        <v/>
      </c>
      <c r="R132" s="7">
        <f>Mecanismos!B3*(1-D132)</f>
        <v/>
      </c>
      <c r="S132" s="7">
        <f>Mecanismos!B9*(1-J132)</f>
        <v/>
      </c>
      <c r="T132" s="7">
        <f>Mecanismos!B8*H132</f>
        <v/>
      </c>
      <c r="U132" s="7">
        <f>Mecanismos!B10*H132</f>
        <v/>
      </c>
      <c r="V132" s="7">
        <f>Mecanismos!B8*K132</f>
        <v/>
      </c>
      <c r="W132" s="7">
        <f>SUM(L132:S132)</f>
        <v/>
      </c>
      <c r="X132" s="7">
        <f>SUM(T132:V132)</f>
        <v/>
      </c>
      <c r="Y132" s="8">
        <f>MAX(0,MIN(1,Parametros!B2-W132*Parametros!B3+X132*Parametros!B4))</f>
        <v/>
      </c>
    </row>
    <row r="133">
      <c r="A133" t="inlineStr">
        <is>
          <t>2ur1f1</t>
        </is>
      </c>
      <c r="B133" t="inlineStr">
        <is>
          <t>Davi Miguel da Mata</t>
        </is>
      </c>
      <c r="C133" s="6" t="n">
        <v>0.495</v>
      </c>
      <c r="D133" s="6" t="n">
        <v>0.8764999999999999</v>
      </c>
      <c r="E133" s="6" t="n">
        <v>0.4226</v>
      </c>
      <c r="F133" s="6" t="n">
        <v>0.5661</v>
      </c>
      <c r="G133" s="6" t="n">
        <v>0.4969</v>
      </c>
      <c r="H133" s="6" t="n">
        <v>0.7177</v>
      </c>
      <c r="I133" s="6" t="n">
        <v>0.7496</v>
      </c>
      <c r="J133" s="6" t="n">
        <v>0.7246</v>
      </c>
      <c r="K133" s="6" t="n">
        <v>0.3019</v>
      </c>
      <c r="L133" s="7">
        <f>Mecanismos!B2*C133</f>
        <v/>
      </c>
      <c r="M133" s="7">
        <f>Mecanismos!B7*D133</f>
        <v/>
      </c>
      <c r="N133" s="7">
        <f>Mecanismos!B4*(1-E133)</f>
        <v/>
      </c>
      <c r="O133" s="7">
        <f>Mecanismos!B5*(1-F133)</f>
        <v/>
      </c>
      <c r="P133" s="7">
        <f>Mecanismos!B6*(1-I133)</f>
        <v/>
      </c>
      <c r="Q133" s="7">
        <f>Mecanismos!B9*(1-G133)</f>
        <v/>
      </c>
      <c r="R133" s="7">
        <f>Mecanismos!B3*(1-D133)</f>
        <v/>
      </c>
      <c r="S133" s="7">
        <f>Mecanismos!B9*(1-J133)</f>
        <v/>
      </c>
      <c r="T133" s="7">
        <f>Mecanismos!B8*H133</f>
        <v/>
      </c>
      <c r="U133" s="7">
        <f>Mecanismos!B10*H133</f>
        <v/>
      </c>
      <c r="V133" s="7">
        <f>Mecanismos!B8*K133</f>
        <v/>
      </c>
      <c r="W133" s="7">
        <f>SUM(L133:S133)</f>
        <v/>
      </c>
      <c r="X133" s="7">
        <f>SUM(T133:V133)</f>
        <v/>
      </c>
      <c r="Y133" s="8">
        <f>MAX(0,MIN(1,Parametros!B2-W133*Parametros!B3+X133*Parametros!B4))</f>
        <v/>
      </c>
    </row>
    <row r="134">
      <c r="A134" t="inlineStr">
        <is>
          <t>6zgrfg</t>
        </is>
      </c>
      <c r="B134" t="inlineStr">
        <is>
          <t>Diego Borges</t>
        </is>
      </c>
      <c r="C134" s="6" t="n">
        <v>0.8141</v>
      </c>
      <c r="D134" s="6" t="n">
        <v>0.4329</v>
      </c>
      <c r="E134" s="6" t="n">
        <v>0.5805</v>
      </c>
      <c r="F134" s="6" t="n">
        <v>0.4548</v>
      </c>
      <c r="G134" s="6" t="n">
        <v>0.5607</v>
      </c>
      <c r="H134" s="6" t="n">
        <v>0.6841</v>
      </c>
      <c r="I134" s="6" t="n">
        <v>0.2074</v>
      </c>
      <c r="J134" s="6" t="n">
        <v>0.694</v>
      </c>
      <c r="K134" s="6" t="n">
        <v>0.1365</v>
      </c>
      <c r="L134" s="7">
        <f>Mecanismos!B2*C134</f>
        <v/>
      </c>
      <c r="M134" s="7">
        <f>Mecanismos!B7*D134</f>
        <v/>
      </c>
      <c r="N134" s="7">
        <f>Mecanismos!B4*(1-E134)</f>
        <v/>
      </c>
      <c r="O134" s="7">
        <f>Mecanismos!B5*(1-F134)</f>
        <v/>
      </c>
      <c r="P134" s="7">
        <f>Mecanismos!B6*(1-I134)</f>
        <v/>
      </c>
      <c r="Q134" s="7">
        <f>Mecanismos!B9*(1-G134)</f>
        <v/>
      </c>
      <c r="R134" s="7">
        <f>Mecanismos!B3*(1-D134)</f>
        <v/>
      </c>
      <c r="S134" s="7">
        <f>Mecanismos!B9*(1-J134)</f>
        <v/>
      </c>
      <c r="T134" s="7">
        <f>Mecanismos!B8*H134</f>
        <v/>
      </c>
      <c r="U134" s="7">
        <f>Mecanismos!B10*H134</f>
        <v/>
      </c>
      <c r="V134" s="7">
        <f>Mecanismos!B8*K134</f>
        <v/>
      </c>
      <c r="W134" s="7">
        <f>SUM(L134:S134)</f>
        <v/>
      </c>
      <c r="X134" s="7">
        <f>SUM(T134:V134)</f>
        <v/>
      </c>
      <c r="Y134" s="8">
        <f>MAX(0,MIN(1,Parametros!B2-W134*Parametros!B3+X134*Parametros!B4))</f>
        <v/>
      </c>
    </row>
    <row r="135">
      <c r="A135" t="inlineStr">
        <is>
          <t>s7kbgt</t>
        </is>
      </c>
      <c r="B135" t="inlineStr">
        <is>
          <t>Diego Brito</t>
        </is>
      </c>
      <c r="C135" s="6" t="n">
        <v>0.5117</v>
      </c>
      <c r="D135" s="6" t="n">
        <v>0.5704</v>
      </c>
      <c r="E135" s="6" t="n">
        <v>0.6091</v>
      </c>
      <c r="F135" s="6" t="n">
        <v>0.6707</v>
      </c>
      <c r="G135" s="6" t="n">
        <v>0.5883</v>
      </c>
      <c r="H135" s="6" t="n">
        <v>0.5969</v>
      </c>
      <c r="I135" s="6" t="n">
        <v>0.6766</v>
      </c>
      <c r="J135" s="6" t="n">
        <v>0.8234</v>
      </c>
      <c r="K135" s="6" t="n">
        <v>0.7796</v>
      </c>
      <c r="L135" s="7">
        <f>Mecanismos!B2*C135</f>
        <v/>
      </c>
      <c r="M135" s="7">
        <f>Mecanismos!B7*D135</f>
        <v/>
      </c>
      <c r="N135" s="7">
        <f>Mecanismos!B4*(1-E135)</f>
        <v/>
      </c>
      <c r="O135" s="7">
        <f>Mecanismos!B5*(1-F135)</f>
        <v/>
      </c>
      <c r="P135" s="7">
        <f>Mecanismos!B6*(1-I135)</f>
        <v/>
      </c>
      <c r="Q135" s="7">
        <f>Mecanismos!B9*(1-G135)</f>
        <v/>
      </c>
      <c r="R135" s="7">
        <f>Mecanismos!B3*(1-D135)</f>
        <v/>
      </c>
      <c r="S135" s="7">
        <f>Mecanismos!B9*(1-J135)</f>
        <v/>
      </c>
      <c r="T135" s="7">
        <f>Mecanismos!B8*H135</f>
        <v/>
      </c>
      <c r="U135" s="7">
        <f>Mecanismos!B10*H135</f>
        <v/>
      </c>
      <c r="V135" s="7">
        <f>Mecanismos!B8*K135</f>
        <v/>
      </c>
      <c r="W135" s="7">
        <f>SUM(L135:S135)</f>
        <v/>
      </c>
      <c r="X135" s="7">
        <f>SUM(T135:V135)</f>
        <v/>
      </c>
      <c r="Y135" s="8">
        <f>MAX(0,MIN(1,Parametros!B2-W135*Parametros!B3+X135*Parametros!B4))</f>
        <v/>
      </c>
    </row>
    <row r="136">
      <c r="A136" t="inlineStr">
        <is>
          <t>3ckfu8</t>
        </is>
      </c>
      <c r="B136" t="inlineStr">
        <is>
          <t>Diego Camargo</t>
        </is>
      </c>
      <c r="C136" s="6" t="n">
        <v>0.5983000000000001</v>
      </c>
      <c r="D136" s="6" t="n">
        <v>0.4525</v>
      </c>
      <c r="E136" s="6" t="n">
        <v>0.6995</v>
      </c>
      <c r="F136" s="6" t="n">
        <v>0.6234</v>
      </c>
      <c r="G136" s="6" t="n">
        <v>0.6041</v>
      </c>
      <c r="H136" s="6" t="n">
        <v>0.465</v>
      </c>
      <c r="I136" s="6" t="n">
        <v>0.4412</v>
      </c>
      <c r="J136" s="6" t="n">
        <v>0.8712</v>
      </c>
      <c r="K136" s="6" t="n">
        <v>0.3417</v>
      </c>
      <c r="L136" s="7">
        <f>Mecanismos!B2*C136</f>
        <v/>
      </c>
      <c r="M136" s="7">
        <f>Mecanismos!B7*D136</f>
        <v/>
      </c>
      <c r="N136" s="7">
        <f>Mecanismos!B4*(1-E136)</f>
        <v/>
      </c>
      <c r="O136" s="7">
        <f>Mecanismos!B5*(1-F136)</f>
        <v/>
      </c>
      <c r="P136" s="7">
        <f>Mecanismos!B6*(1-I136)</f>
        <v/>
      </c>
      <c r="Q136" s="7">
        <f>Mecanismos!B9*(1-G136)</f>
        <v/>
      </c>
      <c r="R136" s="7">
        <f>Mecanismos!B3*(1-D136)</f>
        <v/>
      </c>
      <c r="S136" s="7">
        <f>Mecanismos!B9*(1-J136)</f>
        <v/>
      </c>
      <c r="T136" s="7">
        <f>Mecanismos!B8*H136</f>
        <v/>
      </c>
      <c r="U136" s="7">
        <f>Mecanismos!B10*H136</f>
        <v/>
      </c>
      <c r="V136" s="7">
        <f>Mecanismos!B8*K136</f>
        <v/>
      </c>
      <c r="W136" s="7">
        <f>SUM(L136:S136)</f>
        <v/>
      </c>
      <c r="X136" s="7">
        <f>SUM(T136:V136)</f>
        <v/>
      </c>
      <c r="Y136" s="8">
        <f>MAX(0,MIN(1,Parametros!B2-W136*Parametros!B3+X136*Parametros!B4))</f>
        <v/>
      </c>
    </row>
    <row r="137">
      <c r="A137" t="inlineStr">
        <is>
          <t>i59cuj</t>
        </is>
      </c>
      <c r="B137" t="inlineStr">
        <is>
          <t>Diego Siqueira</t>
        </is>
      </c>
      <c r="C137" s="6" t="n">
        <v>0.497</v>
      </c>
      <c r="D137" s="6" t="n">
        <v>0.477</v>
      </c>
      <c r="E137" s="6" t="n">
        <v>0.478</v>
      </c>
      <c r="F137" s="6" t="n">
        <v>0.4626</v>
      </c>
      <c r="G137" s="6" t="n">
        <v>0.2718</v>
      </c>
      <c r="H137" s="6" t="n">
        <v>0.7724</v>
      </c>
      <c r="I137" s="6" t="n">
        <v>0.3446</v>
      </c>
      <c r="J137" s="6" t="n">
        <v>0.6673</v>
      </c>
      <c r="K137" s="6" t="n">
        <v>0.8564000000000001</v>
      </c>
      <c r="L137" s="7">
        <f>Mecanismos!B2*C137</f>
        <v/>
      </c>
      <c r="M137" s="7">
        <f>Mecanismos!B7*D137</f>
        <v/>
      </c>
      <c r="N137" s="7">
        <f>Mecanismos!B4*(1-E137)</f>
        <v/>
      </c>
      <c r="O137" s="7">
        <f>Mecanismos!B5*(1-F137)</f>
        <v/>
      </c>
      <c r="P137" s="7">
        <f>Mecanismos!B6*(1-I137)</f>
        <v/>
      </c>
      <c r="Q137" s="7">
        <f>Mecanismos!B9*(1-G137)</f>
        <v/>
      </c>
      <c r="R137" s="7">
        <f>Mecanismos!B3*(1-D137)</f>
        <v/>
      </c>
      <c r="S137" s="7">
        <f>Mecanismos!B9*(1-J137)</f>
        <v/>
      </c>
      <c r="T137" s="7">
        <f>Mecanismos!B8*H137</f>
        <v/>
      </c>
      <c r="U137" s="7">
        <f>Mecanismos!B10*H137</f>
        <v/>
      </c>
      <c r="V137" s="7">
        <f>Mecanismos!B8*K137</f>
        <v/>
      </c>
      <c r="W137" s="7">
        <f>SUM(L137:S137)</f>
        <v/>
      </c>
      <c r="X137" s="7">
        <f>SUM(T137:V137)</f>
        <v/>
      </c>
      <c r="Y137" s="8">
        <f>MAX(0,MIN(1,Parametros!B2-W137*Parametros!B3+X137*Parametros!B4))</f>
        <v/>
      </c>
    </row>
    <row r="138">
      <c r="A138" t="inlineStr">
        <is>
          <t>7feequ</t>
        </is>
      </c>
      <c r="B138" t="inlineStr">
        <is>
          <t>Diego da Mota</t>
        </is>
      </c>
      <c r="C138" s="6" t="n">
        <v>0.7098</v>
      </c>
      <c r="D138" s="6" t="n">
        <v>0.5471</v>
      </c>
      <c r="E138" s="6" t="n">
        <v>0.5315</v>
      </c>
      <c r="F138" s="6" t="n">
        <v>0.5227000000000001</v>
      </c>
      <c r="G138" s="6" t="n">
        <v>0.2007</v>
      </c>
      <c r="H138" s="6" t="n">
        <v>0.7662</v>
      </c>
      <c r="I138" s="6" t="n">
        <v>0.7572</v>
      </c>
      <c r="J138" s="6" t="n">
        <v>0.6308</v>
      </c>
      <c r="K138" s="6" t="n">
        <v>0.5831</v>
      </c>
      <c r="L138" s="7">
        <f>Mecanismos!B2*C138</f>
        <v/>
      </c>
      <c r="M138" s="7">
        <f>Mecanismos!B7*D138</f>
        <v/>
      </c>
      <c r="N138" s="7">
        <f>Mecanismos!B4*(1-E138)</f>
        <v/>
      </c>
      <c r="O138" s="7">
        <f>Mecanismos!B5*(1-F138)</f>
        <v/>
      </c>
      <c r="P138" s="7">
        <f>Mecanismos!B6*(1-I138)</f>
        <v/>
      </c>
      <c r="Q138" s="7">
        <f>Mecanismos!B9*(1-G138)</f>
        <v/>
      </c>
      <c r="R138" s="7">
        <f>Mecanismos!B3*(1-D138)</f>
        <v/>
      </c>
      <c r="S138" s="7">
        <f>Mecanismos!B9*(1-J138)</f>
        <v/>
      </c>
      <c r="T138" s="7">
        <f>Mecanismos!B8*H138</f>
        <v/>
      </c>
      <c r="U138" s="7">
        <f>Mecanismos!B10*H138</f>
        <v/>
      </c>
      <c r="V138" s="7">
        <f>Mecanismos!B8*K138</f>
        <v/>
      </c>
      <c r="W138" s="7">
        <f>SUM(L138:S138)</f>
        <v/>
      </c>
      <c r="X138" s="7">
        <f>SUM(T138:V138)</f>
        <v/>
      </c>
      <c r="Y138" s="8">
        <f>MAX(0,MIN(1,Parametros!B2-W138*Parametros!B3+X138*Parametros!B4))</f>
        <v/>
      </c>
    </row>
    <row r="139">
      <c r="A139" t="inlineStr">
        <is>
          <t>dker2q</t>
        </is>
      </c>
      <c r="B139" t="inlineStr">
        <is>
          <t>Diogo Barros</t>
        </is>
      </c>
      <c r="C139" s="6" t="n">
        <v>0.2751</v>
      </c>
      <c r="D139" s="6" t="n">
        <v>0.5359</v>
      </c>
      <c r="E139" s="6" t="n">
        <v>0.5847</v>
      </c>
      <c r="F139" s="6" t="n">
        <v>0.6709000000000001</v>
      </c>
      <c r="G139" s="6" t="n">
        <v>0.4909</v>
      </c>
      <c r="H139" s="6" t="n">
        <v>0.5769</v>
      </c>
      <c r="I139" s="6" t="n">
        <v>0.6877</v>
      </c>
      <c r="J139" s="6" t="n">
        <v>0.6455</v>
      </c>
      <c r="K139" s="6" t="n">
        <v>0.5246</v>
      </c>
      <c r="L139" s="7">
        <f>Mecanismos!B2*C139</f>
        <v/>
      </c>
      <c r="M139" s="7">
        <f>Mecanismos!B7*D139</f>
        <v/>
      </c>
      <c r="N139" s="7">
        <f>Mecanismos!B4*(1-E139)</f>
        <v/>
      </c>
      <c r="O139" s="7">
        <f>Mecanismos!B5*(1-F139)</f>
        <v/>
      </c>
      <c r="P139" s="7">
        <f>Mecanismos!B6*(1-I139)</f>
        <v/>
      </c>
      <c r="Q139" s="7">
        <f>Mecanismos!B9*(1-G139)</f>
        <v/>
      </c>
      <c r="R139" s="7">
        <f>Mecanismos!B3*(1-D139)</f>
        <v/>
      </c>
      <c r="S139" s="7">
        <f>Mecanismos!B9*(1-J139)</f>
        <v/>
      </c>
      <c r="T139" s="7">
        <f>Mecanismos!B8*H139</f>
        <v/>
      </c>
      <c r="U139" s="7">
        <f>Mecanismos!B10*H139</f>
        <v/>
      </c>
      <c r="V139" s="7">
        <f>Mecanismos!B8*K139</f>
        <v/>
      </c>
      <c r="W139" s="7">
        <f>SUM(L139:S139)</f>
        <v/>
      </c>
      <c r="X139" s="7">
        <f>SUM(T139:V139)</f>
        <v/>
      </c>
      <c r="Y139" s="8">
        <f>MAX(0,MIN(1,Parametros!B2-W139*Parametros!B3+X139*Parametros!B4))</f>
        <v/>
      </c>
    </row>
    <row r="140">
      <c r="A140" t="inlineStr">
        <is>
          <t>uyxsjr</t>
        </is>
      </c>
      <c r="B140" t="inlineStr">
        <is>
          <t>Diogo Lopes</t>
        </is>
      </c>
      <c r="C140" s="6" t="n">
        <v>0.7782</v>
      </c>
      <c r="D140" s="6" t="n">
        <v>0.374</v>
      </c>
      <c r="E140" s="6" t="n">
        <v>0.5881999999999999</v>
      </c>
      <c r="F140" s="6" t="n">
        <v>0.7877</v>
      </c>
      <c r="G140" s="6" t="n">
        <v>0.6512</v>
      </c>
      <c r="H140" s="6" t="n">
        <v>0.4533</v>
      </c>
      <c r="I140" s="6" t="n">
        <v>0.6187</v>
      </c>
      <c r="J140" s="6" t="n">
        <v>0.8579</v>
      </c>
      <c r="K140" s="6" t="n">
        <v>0.6126</v>
      </c>
      <c r="L140" s="7">
        <f>Mecanismos!B2*C140</f>
        <v/>
      </c>
      <c r="M140" s="7">
        <f>Mecanismos!B7*D140</f>
        <v/>
      </c>
      <c r="N140" s="7">
        <f>Mecanismos!B4*(1-E140)</f>
        <v/>
      </c>
      <c r="O140" s="7">
        <f>Mecanismos!B5*(1-F140)</f>
        <v/>
      </c>
      <c r="P140" s="7">
        <f>Mecanismos!B6*(1-I140)</f>
        <v/>
      </c>
      <c r="Q140" s="7">
        <f>Mecanismos!B9*(1-G140)</f>
        <v/>
      </c>
      <c r="R140" s="7">
        <f>Mecanismos!B3*(1-D140)</f>
        <v/>
      </c>
      <c r="S140" s="7">
        <f>Mecanismos!B9*(1-J140)</f>
        <v/>
      </c>
      <c r="T140" s="7">
        <f>Mecanismos!B8*H140</f>
        <v/>
      </c>
      <c r="U140" s="7">
        <f>Mecanismos!B10*H140</f>
        <v/>
      </c>
      <c r="V140" s="7">
        <f>Mecanismos!B8*K140</f>
        <v/>
      </c>
      <c r="W140" s="7">
        <f>SUM(L140:S140)</f>
        <v/>
      </c>
      <c r="X140" s="7">
        <f>SUM(T140:V140)</f>
        <v/>
      </c>
      <c r="Y140" s="8">
        <f>MAX(0,MIN(1,Parametros!B2-W140*Parametros!B3+X140*Parametros!B4))</f>
        <v/>
      </c>
    </row>
    <row r="141">
      <c r="A141" t="inlineStr">
        <is>
          <t>wclbun</t>
        </is>
      </c>
      <c r="B141" t="inlineStr">
        <is>
          <t>Diogo Sá</t>
        </is>
      </c>
      <c r="C141" s="6" t="n">
        <v>0.3448</v>
      </c>
      <c r="D141" s="6" t="n">
        <v>0.3531</v>
      </c>
      <c r="E141" s="6" t="n">
        <v>0.4411</v>
      </c>
      <c r="F141" s="6" t="n">
        <v>0.3821</v>
      </c>
      <c r="G141" s="6" t="n">
        <v>0.5147</v>
      </c>
      <c r="H141" s="6" t="n">
        <v>0.6437</v>
      </c>
      <c r="I141" s="6" t="n">
        <v>0.5552</v>
      </c>
      <c r="J141" s="6" t="n">
        <v>0.8139999999999999</v>
      </c>
      <c r="K141" s="6" t="n">
        <v>0.4316</v>
      </c>
      <c r="L141" s="7">
        <f>Mecanismos!B2*C141</f>
        <v/>
      </c>
      <c r="M141" s="7">
        <f>Mecanismos!B7*D141</f>
        <v/>
      </c>
      <c r="N141" s="7">
        <f>Mecanismos!B4*(1-E141)</f>
        <v/>
      </c>
      <c r="O141" s="7">
        <f>Mecanismos!B5*(1-F141)</f>
        <v/>
      </c>
      <c r="P141" s="7">
        <f>Mecanismos!B6*(1-I141)</f>
        <v/>
      </c>
      <c r="Q141" s="7">
        <f>Mecanismos!B9*(1-G141)</f>
        <v/>
      </c>
      <c r="R141" s="7">
        <f>Mecanismos!B3*(1-D141)</f>
        <v/>
      </c>
      <c r="S141" s="7">
        <f>Mecanismos!B9*(1-J141)</f>
        <v/>
      </c>
      <c r="T141" s="7">
        <f>Mecanismos!B8*H141</f>
        <v/>
      </c>
      <c r="U141" s="7">
        <f>Mecanismos!B10*H141</f>
        <v/>
      </c>
      <c r="V141" s="7">
        <f>Mecanismos!B8*K141</f>
        <v/>
      </c>
      <c r="W141" s="7">
        <f>SUM(L141:S141)</f>
        <v/>
      </c>
      <c r="X141" s="7">
        <f>SUM(T141:V141)</f>
        <v/>
      </c>
      <c r="Y141" s="8">
        <f>MAX(0,MIN(1,Parametros!B2-W141*Parametros!B3+X141*Parametros!B4))</f>
        <v/>
      </c>
    </row>
    <row r="142">
      <c r="A142" t="inlineStr">
        <is>
          <t>82fpvo</t>
        </is>
      </c>
      <c r="B142" t="inlineStr">
        <is>
          <t>Dom Fernandes</t>
        </is>
      </c>
      <c r="C142" s="6" t="n">
        <v>0.7167</v>
      </c>
      <c r="D142" s="6" t="n">
        <v>0.6667</v>
      </c>
      <c r="E142" s="6" t="n">
        <v>0.3919</v>
      </c>
      <c r="F142" s="6" t="n">
        <v>0.6089</v>
      </c>
      <c r="G142" s="6" t="n">
        <v>0.5396</v>
      </c>
      <c r="H142" s="6" t="n">
        <v>0.4039</v>
      </c>
      <c r="I142" s="6" t="n">
        <v>0.7861</v>
      </c>
      <c r="J142" s="6" t="n">
        <v>0.782</v>
      </c>
      <c r="K142" s="6" t="n">
        <v>0.1473</v>
      </c>
      <c r="L142" s="7">
        <f>Mecanismos!B2*C142</f>
        <v/>
      </c>
      <c r="M142" s="7">
        <f>Mecanismos!B7*D142</f>
        <v/>
      </c>
      <c r="N142" s="7">
        <f>Mecanismos!B4*(1-E142)</f>
        <v/>
      </c>
      <c r="O142" s="7">
        <f>Mecanismos!B5*(1-F142)</f>
        <v/>
      </c>
      <c r="P142" s="7">
        <f>Mecanismos!B6*(1-I142)</f>
        <v/>
      </c>
      <c r="Q142" s="7">
        <f>Mecanismos!B9*(1-G142)</f>
        <v/>
      </c>
      <c r="R142" s="7">
        <f>Mecanismos!B3*(1-D142)</f>
        <v/>
      </c>
      <c r="S142" s="7">
        <f>Mecanismos!B9*(1-J142)</f>
        <v/>
      </c>
      <c r="T142" s="7">
        <f>Mecanismos!B8*H142</f>
        <v/>
      </c>
      <c r="U142" s="7">
        <f>Mecanismos!B10*H142</f>
        <v/>
      </c>
      <c r="V142" s="7">
        <f>Mecanismos!B8*K142</f>
        <v/>
      </c>
      <c r="W142" s="7">
        <f>SUM(L142:S142)</f>
        <v/>
      </c>
      <c r="X142" s="7">
        <f>SUM(T142:V142)</f>
        <v/>
      </c>
      <c r="Y142" s="8">
        <f>MAX(0,MIN(1,Parametros!B2-W142*Parametros!B3+X142*Parametros!B4))</f>
        <v/>
      </c>
    </row>
    <row r="143">
      <c r="A143" t="inlineStr">
        <is>
          <t>hvddbq</t>
        </is>
      </c>
      <c r="B143" t="inlineStr">
        <is>
          <t>Dom Fernandes</t>
        </is>
      </c>
      <c r="C143" s="6" t="n">
        <v>0.2945</v>
      </c>
      <c r="D143" s="6" t="n">
        <v>0.6909</v>
      </c>
      <c r="E143" s="6" t="n">
        <v>0.6065</v>
      </c>
      <c r="F143" s="6" t="n">
        <v>0.7531</v>
      </c>
      <c r="G143" s="6" t="n">
        <v>0.6377</v>
      </c>
      <c r="H143" s="6" t="n">
        <v>0.6017</v>
      </c>
      <c r="I143" s="6" t="n">
        <v>0.737</v>
      </c>
      <c r="J143" s="6" t="n">
        <v>0.6777</v>
      </c>
      <c r="K143" s="6" t="n">
        <v>0.7323</v>
      </c>
      <c r="L143" s="7">
        <f>Mecanismos!B2*C143</f>
        <v/>
      </c>
      <c r="M143" s="7">
        <f>Mecanismos!B7*D143</f>
        <v/>
      </c>
      <c r="N143" s="7">
        <f>Mecanismos!B4*(1-E143)</f>
        <v/>
      </c>
      <c r="O143" s="7">
        <f>Mecanismos!B5*(1-F143)</f>
        <v/>
      </c>
      <c r="P143" s="7">
        <f>Mecanismos!B6*(1-I143)</f>
        <v/>
      </c>
      <c r="Q143" s="7">
        <f>Mecanismos!B9*(1-G143)</f>
        <v/>
      </c>
      <c r="R143" s="7">
        <f>Mecanismos!B3*(1-D143)</f>
        <v/>
      </c>
      <c r="S143" s="7">
        <f>Mecanismos!B9*(1-J143)</f>
        <v/>
      </c>
      <c r="T143" s="7">
        <f>Mecanismos!B8*H143</f>
        <v/>
      </c>
      <c r="U143" s="7">
        <f>Mecanismos!B10*H143</f>
        <v/>
      </c>
      <c r="V143" s="7">
        <f>Mecanismos!B8*K143</f>
        <v/>
      </c>
      <c r="W143" s="7">
        <f>SUM(L143:S143)</f>
        <v/>
      </c>
      <c r="X143" s="7">
        <f>SUM(T143:V143)</f>
        <v/>
      </c>
      <c r="Y143" s="8">
        <f>MAX(0,MIN(1,Parametros!B2-W143*Parametros!B3+X143*Parametros!B4))</f>
        <v/>
      </c>
    </row>
    <row r="144">
      <c r="A144" t="inlineStr">
        <is>
          <t>xxgoet</t>
        </is>
      </c>
      <c r="B144" t="inlineStr">
        <is>
          <t>Dom Fernandes</t>
        </is>
      </c>
      <c r="C144" s="6" t="n">
        <v>0.6362</v>
      </c>
      <c r="D144" s="6" t="n">
        <v>0.6279</v>
      </c>
      <c r="E144" s="6" t="n">
        <v>0.5754</v>
      </c>
      <c r="F144" s="6" t="n">
        <v>0.6394</v>
      </c>
      <c r="G144" s="6" t="n">
        <v>0.501</v>
      </c>
      <c r="H144" s="6" t="n">
        <v>0.6198</v>
      </c>
      <c r="I144" s="6" t="n">
        <v>0.4832</v>
      </c>
      <c r="J144" s="6" t="n">
        <v>0.8726</v>
      </c>
      <c r="K144" s="6" t="n">
        <v>0.407</v>
      </c>
      <c r="L144" s="7">
        <f>Mecanismos!B2*C144</f>
        <v/>
      </c>
      <c r="M144" s="7">
        <f>Mecanismos!B7*D144</f>
        <v/>
      </c>
      <c r="N144" s="7">
        <f>Mecanismos!B4*(1-E144)</f>
        <v/>
      </c>
      <c r="O144" s="7">
        <f>Mecanismos!B5*(1-F144)</f>
        <v/>
      </c>
      <c r="P144" s="7">
        <f>Mecanismos!B6*(1-I144)</f>
        <v/>
      </c>
      <c r="Q144" s="7">
        <f>Mecanismos!B9*(1-G144)</f>
        <v/>
      </c>
      <c r="R144" s="7">
        <f>Mecanismos!B3*(1-D144)</f>
        <v/>
      </c>
      <c r="S144" s="7">
        <f>Mecanismos!B9*(1-J144)</f>
        <v/>
      </c>
      <c r="T144" s="7">
        <f>Mecanismos!B8*H144</f>
        <v/>
      </c>
      <c r="U144" s="7">
        <f>Mecanismos!B10*H144</f>
        <v/>
      </c>
      <c r="V144" s="7">
        <f>Mecanismos!B8*K144</f>
        <v/>
      </c>
      <c r="W144" s="7">
        <f>SUM(L144:S144)</f>
        <v/>
      </c>
      <c r="X144" s="7">
        <f>SUM(T144:V144)</f>
        <v/>
      </c>
      <c r="Y144" s="8">
        <f>MAX(0,MIN(1,Parametros!B2-W144*Parametros!B3+X144*Parametros!B4))</f>
        <v/>
      </c>
    </row>
    <row r="145">
      <c r="A145" t="inlineStr">
        <is>
          <t>scqh8o</t>
        </is>
      </c>
      <c r="B145" t="inlineStr">
        <is>
          <t>Dom Monteiro</t>
        </is>
      </c>
      <c r="C145" s="6" t="n">
        <v>0.6666</v>
      </c>
      <c r="D145" s="6" t="n">
        <v>0.5653</v>
      </c>
      <c r="E145" s="6" t="n">
        <v>0.5247000000000001</v>
      </c>
      <c r="F145" s="6" t="n">
        <v>0.5562</v>
      </c>
      <c r="G145" s="6" t="n">
        <v>0.5832000000000001</v>
      </c>
      <c r="H145" s="6" t="n">
        <v>0.6399</v>
      </c>
      <c r="I145" s="6" t="n">
        <v>0.7337</v>
      </c>
      <c r="J145" s="6" t="n">
        <v>0.7536</v>
      </c>
      <c r="K145" s="6" t="n">
        <v>0.1143</v>
      </c>
      <c r="L145" s="7">
        <f>Mecanismos!B2*C145</f>
        <v/>
      </c>
      <c r="M145" s="7">
        <f>Mecanismos!B7*D145</f>
        <v/>
      </c>
      <c r="N145" s="7">
        <f>Mecanismos!B4*(1-E145)</f>
        <v/>
      </c>
      <c r="O145" s="7">
        <f>Mecanismos!B5*(1-F145)</f>
        <v/>
      </c>
      <c r="P145" s="7">
        <f>Mecanismos!B6*(1-I145)</f>
        <v/>
      </c>
      <c r="Q145" s="7">
        <f>Mecanismos!B9*(1-G145)</f>
        <v/>
      </c>
      <c r="R145" s="7">
        <f>Mecanismos!B3*(1-D145)</f>
        <v/>
      </c>
      <c r="S145" s="7">
        <f>Mecanismos!B9*(1-J145)</f>
        <v/>
      </c>
      <c r="T145" s="7">
        <f>Mecanismos!B8*H145</f>
        <v/>
      </c>
      <c r="U145" s="7">
        <f>Mecanismos!B10*H145</f>
        <v/>
      </c>
      <c r="V145" s="7">
        <f>Mecanismos!B8*K145</f>
        <v/>
      </c>
      <c r="W145" s="7">
        <f>SUM(L145:S145)</f>
        <v/>
      </c>
      <c r="X145" s="7">
        <f>SUM(T145:V145)</f>
        <v/>
      </c>
      <c r="Y145" s="8">
        <f>MAX(0,MIN(1,Parametros!B2-W145*Parametros!B3+X145*Parametros!B4))</f>
        <v/>
      </c>
    </row>
    <row r="146">
      <c r="A146" t="inlineStr">
        <is>
          <t>cw0hmb</t>
        </is>
      </c>
      <c r="B146" t="inlineStr">
        <is>
          <t>Eduarda Nascimento</t>
        </is>
      </c>
      <c r="C146" s="6" t="n">
        <v>0.654</v>
      </c>
      <c r="D146" s="6" t="n">
        <v>0.337</v>
      </c>
      <c r="E146" s="6" t="n">
        <v>0.888</v>
      </c>
      <c r="F146" s="6" t="n">
        <v>0.387</v>
      </c>
      <c r="G146" s="6" t="n">
        <v>0.4598</v>
      </c>
      <c r="H146" s="6" t="n">
        <v>0.3521</v>
      </c>
      <c r="I146" s="6" t="n">
        <v>0.5653</v>
      </c>
      <c r="J146" s="6" t="n">
        <v>0.725</v>
      </c>
      <c r="K146" s="6" t="n">
        <v>0.6197</v>
      </c>
      <c r="L146" s="7">
        <f>Mecanismos!B2*C146</f>
        <v/>
      </c>
      <c r="M146" s="7">
        <f>Mecanismos!B7*D146</f>
        <v/>
      </c>
      <c r="N146" s="7">
        <f>Mecanismos!B4*(1-E146)</f>
        <v/>
      </c>
      <c r="O146" s="7">
        <f>Mecanismos!B5*(1-F146)</f>
        <v/>
      </c>
      <c r="P146" s="7">
        <f>Mecanismos!B6*(1-I146)</f>
        <v/>
      </c>
      <c r="Q146" s="7">
        <f>Mecanismos!B9*(1-G146)</f>
        <v/>
      </c>
      <c r="R146" s="7">
        <f>Mecanismos!B3*(1-D146)</f>
        <v/>
      </c>
      <c r="S146" s="7">
        <f>Mecanismos!B9*(1-J146)</f>
        <v/>
      </c>
      <c r="T146" s="7">
        <f>Mecanismos!B8*H146</f>
        <v/>
      </c>
      <c r="U146" s="7">
        <f>Mecanismos!B10*H146</f>
        <v/>
      </c>
      <c r="V146" s="7">
        <f>Mecanismos!B8*K146</f>
        <v/>
      </c>
      <c r="W146" s="7">
        <f>SUM(L146:S146)</f>
        <v/>
      </c>
      <c r="X146" s="7">
        <f>SUM(T146:V146)</f>
        <v/>
      </c>
      <c r="Y146" s="8">
        <f>MAX(0,MIN(1,Parametros!B2-W146*Parametros!B3+X146*Parametros!B4))</f>
        <v/>
      </c>
    </row>
    <row r="147">
      <c r="A147" t="inlineStr">
        <is>
          <t>ocky6w</t>
        </is>
      </c>
      <c r="B147" t="inlineStr">
        <is>
          <t>Eduarda Santos</t>
        </is>
      </c>
      <c r="C147" s="6" t="n">
        <v>0.7477</v>
      </c>
      <c r="D147" s="6" t="n">
        <v>0.5786</v>
      </c>
      <c r="E147" s="6" t="n">
        <v>0.4091</v>
      </c>
      <c r="F147" s="6" t="n">
        <v>0.6631</v>
      </c>
      <c r="G147" s="6" t="n">
        <v>0.5782</v>
      </c>
      <c r="H147" s="6" t="n">
        <v>0.5147</v>
      </c>
      <c r="I147" s="6" t="n">
        <v>0.6603</v>
      </c>
      <c r="J147" s="6" t="n">
        <v>0.7833</v>
      </c>
      <c r="K147" s="6" t="n">
        <v>0.7812</v>
      </c>
      <c r="L147" s="7">
        <f>Mecanismos!B2*C147</f>
        <v/>
      </c>
      <c r="M147" s="7">
        <f>Mecanismos!B7*D147</f>
        <v/>
      </c>
      <c r="N147" s="7">
        <f>Mecanismos!B4*(1-E147)</f>
        <v/>
      </c>
      <c r="O147" s="7">
        <f>Mecanismos!B5*(1-F147)</f>
        <v/>
      </c>
      <c r="P147" s="7">
        <f>Mecanismos!B6*(1-I147)</f>
        <v/>
      </c>
      <c r="Q147" s="7">
        <f>Mecanismos!B9*(1-G147)</f>
        <v/>
      </c>
      <c r="R147" s="7">
        <f>Mecanismos!B3*(1-D147)</f>
        <v/>
      </c>
      <c r="S147" s="7">
        <f>Mecanismos!B9*(1-J147)</f>
        <v/>
      </c>
      <c r="T147" s="7">
        <f>Mecanismos!B8*H147</f>
        <v/>
      </c>
      <c r="U147" s="7">
        <f>Mecanismos!B10*H147</f>
        <v/>
      </c>
      <c r="V147" s="7">
        <f>Mecanismos!B8*K147</f>
        <v/>
      </c>
      <c r="W147" s="7">
        <f>SUM(L147:S147)</f>
        <v/>
      </c>
      <c r="X147" s="7">
        <f>SUM(T147:V147)</f>
        <v/>
      </c>
      <c r="Y147" s="8">
        <f>MAX(0,MIN(1,Parametros!B2-W147*Parametros!B3+X147*Parametros!B4))</f>
        <v/>
      </c>
    </row>
    <row r="148">
      <c r="A148" t="inlineStr">
        <is>
          <t>opuhn9</t>
        </is>
      </c>
      <c r="B148" t="inlineStr">
        <is>
          <t>Eduarda da Rocha</t>
        </is>
      </c>
      <c r="C148" s="6" t="n">
        <v>0.6605</v>
      </c>
      <c r="D148" s="6" t="n">
        <v>0.7413</v>
      </c>
      <c r="E148" s="6" t="n">
        <v>0.629</v>
      </c>
      <c r="F148" s="6" t="n">
        <v>0.6258</v>
      </c>
      <c r="G148" s="6" t="n">
        <v>0.5536</v>
      </c>
      <c r="H148" s="6" t="n">
        <v>0.5351</v>
      </c>
      <c r="I148" s="6" t="n">
        <v>0.5012</v>
      </c>
      <c r="J148" s="6" t="n">
        <v>0.785</v>
      </c>
      <c r="K148" s="6" t="n">
        <v>0.7281</v>
      </c>
      <c r="L148" s="7">
        <f>Mecanismos!B2*C148</f>
        <v/>
      </c>
      <c r="M148" s="7">
        <f>Mecanismos!B7*D148</f>
        <v/>
      </c>
      <c r="N148" s="7">
        <f>Mecanismos!B4*(1-E148)</f>
        <v/>
      </c>
      <c r="O148" s="7">
        <f>Mecanismos!B5*(1-F148)</f>
        <v/>
      </c>
      <c r="P148" s="7">
        <f>Mecanismos!B6*(1-I148)</f>
        <v/>
      </c>
      <c r="Q148" s="7">
        <f>Mecanismos!B9*(1-G148)</f>
        <v/>
      </c>
      <c r="R148" s="7">
        <f>Mecanismos!B3*(1-D148)</f>
        <v/>
      </c>
      <c r="S148" s="7">
        <f>Mecanismos!B9*(1-J148)</f>
        <v/>
      </c>
      <c r="T148" s="7">
        <f>Mecanismos!B8*H148</f>
        <v/>
      </c>
      <c r="U148" s="7">
        <f>Mecanismos!B10*H148</f>
        <v/>
      </c>
      <c r="V148" s="7">
        <f>Mecanismos!B8*K148</f>
        <v/>
      </c>
      <c r="W148" s="7">
        <f>SUM(L148:S148)</f>
        <v/>
      </c>
      <c r="X148" s="7">
        <f>SUM(T148:V148)</f>
        <v/>
      </c>
      <c r="Y148" s="8">
        <f>MAX(0,MIN(1,Parametros!B2-W148*Parametros!B3+X148*Parametros!B4))</f>
        <v/>
      </c>
    </row>
    <row r="149">
      <c r="A149" t="inlineStr">
        <is>
          <t>vz3ruo</t>
        </is>
      </c>
      <c r="B149" t="inlineStr">
        <is>
          <t>Eduardo Pereira</t>
        </is>
      </c>
      <c r="C149" s="6" t="n">
        <v>0.6289</v>
      </c>
      <c r="D149" s="6" t="n">
        <v>0.6432</v>
      </c>
      <c r="E149" s="6" t="n">
        <v>0.4264</v>
      </c>
      <c r="F149" s="6" t="n">
        <v>0.7214</v>
      </c>
      <c r="G149" s="6" t="n">
        <v>0.5708</v>
      </c>
      <c r="H149" s="6" t="n">
        <v>0.5964</v>
      </c>
      <c r="I149" s="6" t="n">
        <v>0.7971</v>
      </c>
      <c r="J149" s="6" t="n">
        <v>0.8159999999999999</v>
      </c>
      <c r="K149" s="6" t="n">
        <v>0.7471</v>
      </c>
      <c r="L149" s="7">
        <f>Mecanismos!B2*C149</f>
        <v/>
      </c>
      <c r="M149" s="7">
        <f>Mecanismos!B7*D149</f>
        <v/>
      </c>
      <c r="N149" s="7">
        <f>Mecanismos!B4*(1-E149)</f>
        <v/>
      </c>
      <c r="O149" s="7">
        <f>Mecanismos!B5*(1-F149)</f>
        <v/>
      </c>
      <c r="P149" s="7">
        <f>Mecanismos!B6*(1-I149)</f>
        <v/>
      </c>
      <c r="Q149" s="7">
        <f>Mecanismos!B9*(1-G149)</f>
        <v/>
      </c>
      <c r="R149" s="7">
        <f>Mecanismos!B3*(1-D149)</f>
        <v/>
      </c>
      <c r="S149" s="7">
        <f>Mecanismos!B9*(1-J149)</f>
        <v/>
      </c>
      <c r="T149" s="7">
        <f>Mecanismos!B8*H149</f>
        <v/>
      </c>
      <c r="U149" s="7">
        <f>Mecanismos!B10*H149</f>
        <v/>
      </c>
      <c r="V149" s="7">
        <f>Mecanismos!B8*K149</f>
        <v/>
      </c>
      <c r="W149" s="7">
        <f>SUM(L149:S149)</f>
        <v/>
      </c>
      <c r="X149" s="7">
        <f>SUM(T149:V149)</f>
        <v/>
      </c>
      <c r="Y149" s="8">
        <f>MAX(0,MIN(1,Parametros!B2-W149*Parametros!B3+X149*Parametros!B4))</f>
        <v/>
      </c>
    </row>
    <row r="150">
      <c r="A150" t="inlineStr">
        <is>
          <t>ypuhcu</t>
        </is>
      </c>
      <c r="B150" t="inlineStr">
        <is>
          <t>Elisa Guerra</t>
        </is>
      </c>
      <c r="C150" s="6" t="n">
        <v>0.8257</v>
      </c>
      <c r="D150" s="6" t="n">
        <v>0.5318000000000001</v>
      </c>
      <c r="E150" s="6" t="n">
        <v>0.6097</v>
      </c>
      <c r="F150" s="6" t="n">
        <v>0.4258</v>
      </c>
      <c r="G150" s="6" t="n">
        <v>0.3582</v>
      </c>
      <c r="H150" s="6" t="n">
        <v>0.4497</v>
      </c>
      <c r="I150" s="6" t="n">
        <v>0.2254</v>
      </c>
      <c r="J150" s="6" t="n">
        <v>0.4621</v>
      </c>
      <c r="K150" s="6" t="n">
        <v>0.5261</v>
      </c>
      <c r="L150" s="7">
        <f>Mecanismos!B2*C150</f>
        <v/>
      </c>
      <c r="M150" s="7">
        <f>Mecanismos!B7*D150</f>
        <v/>
      </c>
      <c r="N150" s="7">
        <f>Mecanismos!B4*(1-E150)</f>
        <v/>
      </c>
      <c r="O150" s="7">
        <f>Mecanismos!B5*(1-F150)</f>
        <v/>
      </c>
      <c r="P150" s="7">
        <f>Mecanismos!B6*(1-I150)</f>
        <v/>
      </c>
      <c r="Q150" s="7">
        <f>Mecanismos!B9*(1-G150)</f>
        <v/>
      </c>
      <c r="R150" s="7">
        <f>Mecanismos!B3*(1-D150)</f>
        <v/>
      </c>
      <c r="S150" s="7">
        <f>Mecanismos!B9*(1-J150)</f>
        <v/>
      </c>
      <c r="T150" s="7">
        <f>Mecanismos!B8*H150</f>
        <v/>
      </c>
      <c r="U150" s="7">
        <f>Mecanismos!B10*H150</f>
        <v/>
      </c>
      <c r="V150" s="7">
        <f>Mecanismos!B8*K150</f>
        <v/>
      </c>
      <c r="W150" s="7">
        <f>SUM(L150:S150)</f>
        <v/>
      </c>
      <c r="X150" s="7">
        <f>SUM(T150:V150)</f>
        <v/>
      </c>
      <c r="Y150" s="8">
        <f>MAX(0,MIN(1,Parametros!B2-W150*Parametros!B3+X150*Parametros!B4))</f>
        <v/>
      </c>
    </row>
    <row r="151">
      <c r="A151" t="inlineStr">
        <is>
          <t>kjr3a3</t>
        </is>
      </c>
      <c r="B151" t="inlineStr">
        <is>
          <t>Eloah Rezende</t>
        </is>
      </c>
      <c r="C151" s="6" t="n">
        <v>0.5562</v>
      </c>
      <c r="D151" s="6" t="n">
        <v>0.55</v>
      </c>
      <c r="E151" s="6" t="n">
        <v>0.2837</v>
      </c>
      <c r="F151" s="6" t="n">
        <v>0.6795</v>
      </c>
      <c r="G151" s="6" t="n">
        <v>0.6654</v>
      </c>
      <c r="H151" s="6" t="n">
        <v>0.5348000000000001</v>
      </c>
      <c r="I151" s="6" t="n">
        <v>0.7068</v>
      </c>
      <c r="J151" s="6" t="n">
        <v>0.8958</v>
      </c>
      <c r="K151" s="6" t="n">
        <v>0.5682</v>
      </c>
      <c r="L151" s="7">
        <f>Mecanismos!B2*C151</f>
        <v/>
      </c>
      <c r="M151" s="7">
        <f>Mecanismos!B7*D151</f>
        <v/>
      </c>
      <c r="N151" s="7">
        <f>Mecanismos!B4*(1-E151)</f>
        <v/>
      </c>
      <c r="O151" s="7">
        <f>Mecanismos!B5*(1-F151)</f>
        <v/>
      </c>
      <c r="P151" s="7">
        <f>Mecanismos!B6*(1-I151)</f>
        <v/>
      </c>
      <c r="Q151" s="7">
        <f>Mecanismos!B9*(1-G151)</f>
        <v/>
      </c>
      <c r="R151" s="7">
        <f>Mecanismos!B3*(1-D151)</f>
        <v/>
      </c>
      <c r="S151" s="7">
        <f>Mecanismos!B9*(1-J151)</f>
        <v/>
      </c>
      <c r="T151" s="7">
        <f>Mecanismos!B8*H151</f>
        <v/>
      </c>
      <c r="U151" s="7">
        <f>Mecanismos!B10*H151</f>
        <v/>
      </c>
      <c r="V151" s="7">
        <f>Mecanismos!B8*K151</f>
        <v/>
      </c>
      <c r="W151" s="7">
        <f>SUM(L151:S151)</f>
        <v/>
      </c>
      <c r="X151" s="7">
        <f>SUM(T151:V151)</f>
        <v/>
      </c>
      <c r="Y151" s="8">
        <f>MAX(0,MIN(1,Parametros!B2-W151*Parametros!B3+X151*Parametros!B4))</f>
        <v/>
      </c>
    </row>
    <row r="152">
      <c r="A152" t="inlineStr">
        <is>
          <t>o21i8n</t>
        </is>
      </c>
      <c r="B152" t="inlineStr">
        <is>
          <t>Emanuel Novais</t>
        </is>
      </c>
      <c r="C152" s="6" t="n">
        <v>0.5414</v>
      </c>
      <c r="D152" s="6" t="n">
        <v>0.408</v>
      </c>
      <c r="E152" s="6" t="n">
        <v>0.6968</v>
      </c>
      <c r="F152" s="6" t="n">
        <v>0.6394</v>
      </c>
      <c r="G152" s="6" t="n">
        <v>0.5151</v>
      </c>
      <c r="H152" s="6" t="n">
        <v>0.6298</v>
      </c>
      <c r="I152" s="6" t="n">
        <v>0.752</v>
      </c>
      <c r="J152" s="6" t="n">
        <v>0.9147</v>
      </c>
      <c r="K152" s="6" t="n">
        <v>0.5259</v>
      </c>
      <c r="L152" s="7">
        <f>Mecanismos!B2*C152</f>
        <v/>
      </c>
      <c r="M152" s="7">
        <f>Mecanismos!B7*D152</f>
        <v/>
      </c>
      <c r="N152" s="7">
        <f>Mecanismos!B4*(1-E152)</f>
        <v/>
      </c>
      <c r="O152" s="7">
        <f>Mecanismos!B5*(1-F152)</f>
        <v/>
      </c>
      <c r="P152" s="7">
        <f>Mecanismos!B6*(1-I152)</f>
        <v/>
      </c>
      <c r="Q152" s="7">
        <f>Mecanismos!B9*(1-G152)</f>
        <v/>
      </c>
      <c r="R152" s="7">
        <f>Mecanismos!B3*(1-D152)</f>
        <v/>
      </c>
      <c r="S152" s="7">
        <f>Mecanismos!B9*(1-J152)</f>
        <v/>
      </c>
      <c r="T152" s="7">
        <f>Mecanismos!B8*H152</f>
        <v/>
      </c>
      <c r="U152" s="7">
        <f>Mecanismos!B10*H152</f>
        <v/>
      </c>
      <c r="V152" s="7">
        <f>Mecanismos!B8*K152</f>
        <v/>
      </c>
      <c r="W152" s="7">
        <f>SUM(L152:S152)</f>
        <v/>
      </c>
      <c r="X152" s="7">
        <f>SUM(T152:V152)</f>
        <v/>
      </c>
      <c r="Y152" s="8">
        <f>MAX(0,MIN(1,Parametros!B2-W152*Parametros!B3+X152*Parametros!B4))</f>
        <v/>
      </c>
    </row>
    <row r="153">
      <c r="A153" t="inlineStr">
        <is>
          <t>fir9gj</t>
        </is>
      </c>
      <c r="B153" t="inlineStr">
        <is>
          <t>Emanuel Pereira</t>
        </is>
      </c>
      <c r="C153" s="6" t="n">
        <v>0.6015</v>
      </c>
      <c r="D153" s="6" t="n">
        <v>0.3494</v>
      </c>
      <c r="E153" s="6" t="n">
        <v>0.3933</v>
      </c>
      <c r="F153" s="6" t="n">
        <v>0.5984</v>
      </c>
      <c r="G153" s="6" t="n">
        <v>0.6201</v>
      </c>
      <c r="H153" s="6" t="n">
        <v>0.8152</v>
      </c>
      <c r="I153" s="6" t="n">
        <v>0.4425</v>
      </c>
      <c r="J153" s="6" t="n">
        <v>0.8922</v>
      </c>
      <c r="K153" s="6" t="n">
        <v>0.5137</v>
      </c>
      <c r="L153" s="7">
        <f>Mecanismos!B2*C153</f>
        <v/>
      </c>
      <c r="M153" s="7">
        <f>Mecanismos!B7*D153</f>
        <v/>
      </c>
      <c r="N153" s="7">
        <f>Mecanismos!B4*(1-E153)</f>
        <v/>
      </c>
      <c r="O153" s="7">
        <f>Mecanismos!B5*(1-F153)</f>
        <v/>
      </c>
      <c r="P153" s="7">
        <f>Mecanismos!B6*(1-I153)</f>
        <v/>
      </c>
      <c r="Q153" s="7">
        <f>Mecanismos!B9*(1-G153)</f>
        <v/>
      </c>
      <c r="R153" s="7">
        <f>Mecanismos!B3*(1-D153)</f>
        <v/>
      </c>
      <c r="S153" s="7">
        <f>Mecanismos!B9*(1-J153)</f>
        <v/>
      </c>
      <c r="T153" s="7">
        <f>Mecanismos!B8*H153</f>
        <v/>
      </c>
      <c r="U153" s="7">
        <f>Mecanismos!B10*H153</f>
        <v/>
      </c>
      <c r="V153" s="7">
        <f>Mecanismos!B8*K153</f>
        <v/>
      </c>
      <c r="W153" s="7">
        <f>SUM(L153:S153)</f>
        <v/>
      </c>
      <c r="X153" s="7">
        <f>SUM(T153:V153)</f>
        <v/>
      </c>
      <c r="Y153" s="8">
        <f>MAX(0,MIN(1,Parametros!B2-W153*Parametros!B3+X153*Parametros!B4))</f>
        <v/>
      </c>
    </row>
    <row r="154">
      <c r="A154" t="inlineStr">
        <is>
          <t>mudyvf</t>
        </is>
      </c>
      <c r="B154" t="inlineStr">
        <is>
          <t>Emanuel da Conceição</t>
        </is>
      </c>
      <c r="C154" s="6" t="n">
        <v>0.6292</v>
      </c>
      <c r="D154" s="6" t="n">
        <v>0.6031</v>
      </c>
      <c r="E154" s="6" t="n">
        <v>0.5664</v>
      </c>
      <c r="F154" s="6" t="n">
        <v>0.623</v>
      </c>
      <c r="G154" s="6" t="n">
        <v>0.5014</v>
      </c>
      <c r="H154" s="6" t="n">
        <v>0.829</v>
      </c>
      <c r="I154" s="6" t="n">
        <v>0.1915</v>
      </c>
      <c r="J154" s="6" t="n">
        <v>0.8673</v>
      </c>
      <c r="K154" s="6" t="n">
        <v>0.4229</v>
      </c>
      <c r="L154" s="7">
        <f>Mecanismos!B2*C154</f>
        <v/>
      </c>
      <c r="M154" s="7">
        <f>Mecanismos!B7*D154</f>
        <v/>
      </c>
      <c r="N154" s="7">
        <f>Mecanismos!B4*(1-E154)</f>
        <v/>
      </c>
      <c r="O154" s="7">
        <f>Mecanismos!B5*(1-F154)</f>
        <v/>
      </c>
      <c r="P154" s="7">
        <f>Mecanismos!B6*(1-I154)</f>
        <v/>
      </c>
      <c r="Q154" s="7">
        <f>Mecanismos!B9*(1-G154)</f>
        <v/>
      </c>
      <c r="R154" s="7">
        <f>Mecanismos!B3*(1-D154)</f>
        <v/>
      </c>
      <c r="S154" s="7">
        <f>Mecanismos!B9*(1-J154)</f>
        <v/>
      </c>
      <c r="T154" s="7">
        <f>Mecanismos!B8*H154</f>
        <v/>
      </c>
      <c r="U154" s="7">
        <f>Mecanismos!B10*H154</f>
        <v/>
      </c>
      <c r="V154" s="7">
        <f>Mecanismos!B8*K154</f>
        <v/>
      </c>
      <c r="W154" s="7">
        <f>SUM(L154:S154)</f>
        <v/>
      </c>
      <c r="X154" s="7">
        <f>SUM(T154:V154)</f>
        <v/>
      </c>
      <c r="Y154" s="8">
        <f>MAX(0,MIN(1,Parametros!B2-W154*Parametros!B3+X154*Parametros!B4))</f>
        <v/>
      </c>
    </row>
    <row r="155">
      <c r="A155" t="inlineStr">
        <is>
          <t>33sydu</t>
        </is>
      </c>
      <c r="B155" t="inlineStr">
        <is>
          <t>Emanuella Casa Grande</t>
        </is>
      </c>
      <c r="C155" s="6" t="n">
        <v>0.4654</v>
      </c>
      <c r="D155" s="6" t="n">
        <v>0.6553</v>
      </c>
      <c r="E155" s="6" t="n">
        <v>0.6897</v>
      </c>
      <c r="F155" s="6" t="n">
        <v>0.6071</v>
      </c>
      <c r="G155" s="6" t="n">
        <v>0.4183</v>
      </c>
      <c r="H155" s="6" t="n">
        <v>0.4957</v>
      </c>
      <c r="I155" s="6" t="n">
        <v>0.787</v>
      </c>
      <c r="J155" s="6" t="n">
        <v>0.8692</v>
      </c>
      <c r="K155" s="6" t="n">
        <v>0.03</v>
      </c>
      <c r="L155" s="7">
        <f>Mecanismos!B2*C155</f>
        <v/>
      </c>
      <c r="M155" s="7">
        <f>Mecanismos!B7*D155</f>
        <v/>
      </c>
      <c r="N155" s="7">
        <f>Mecanismos!B4*(1-E155)</f>
        <v/>
      </c>
      <c r="O155" s="7">
        <f>Mecanismos!B5*(1-F155)</f>
        <v/>
      </c>
      <c r="P155" s="7">
        <f>Mecanismos!B6*(1-I155)</f>
        <v/>
      </c>
      <c r="Q155" s="7">
        <f>Mecanismos!B9*(1-G155)</f>
        <v/>
      </c>
      <c r="R155" s="7">
        <f>Mecanismos!B3*(1-D155)</f>
        <v/>
      </c>
      <c r="S155" s="7">
        <f>Mecanismos!B9*(1-J155)</f>
        <v/>
      </c>
      <c r="T155" s="7">
        <f>Mecanismos!B8*H155</f>
        <v/>
      </c>
      <c r="U155" s="7">
        <f>Mecanismos!B10*H155</f>
        <v/>
      </c>
      <c r="V155" s="7">
        <f>Mecanismos!B8*K155</f>
        <v/>
      </c>
      <c r="W155" s="7">
        <f>SUM(L155:S155)</f>
        <v/>
      </c>
      <c r="X155" s="7">
        <f>SUM(T155:V155)</f>
        <v/>
      </c>
      <c r="Y155" s="8">
        <f>MAX(0,MIN(1,Parametros!B2-W155*Parametros!B3+X155*Parametros!B4))</f>
        <v/>
      </c>
    </row>
    <row r="156">
      <c r="A156" t="inlineStr">
        <is>
          <t>e76ati</t>
        </is>
      </c>
      <c r="B156" t="inlineStr">
        <is>
          <t>Emanuella Montenegro</t>
        </is>
      </c>
      <c r="C156" s="6" t="n">
        <v>0.5481</v>
      </c>
      <c r="D156" s="6" t="n">
        <v>0.4915</v>
      </c>
      <c r="E156" s="6" t="n">
        <v>0.6139</v>
      </c>
      <c r="F156" s="6" t="n">
        <v>0.6008</v>
      </c>
      <c r="G156" s="6" t="n">
        <v>0.4926</v>
      </c>
      <c r="H156" s="6" t="n">
        <v>0.401</v>
      </c>
      <c r="I156" s="6" t="n">
        <v>0.6045</v>
      </c>
      <c r="J156" s="6" t="n">
        <v>0.7495000000000001</v>
      </c>
      <c r="K156" s="6" t="n">
        <v>0.4558</v>
      </c>
      <c r="L156" s="7">
        <f>Mecanismos!B2*C156</f>
        <v/>
      </c>
      <c r="M156" s="7">
        <f>Mecanismos!B7*D156</f>
        <v/>
      </c>
      <c r="N156" s="7">
        <f>Mecanismos!B4*(1-E156)</f>
        <v/>
      </c>
      <c r="O156" s="7">
        <f>Mecanismos!B5*(1-F156)</f>
        <v/>
      </c>
      <c r="P156" s="7">
        <f>Mecanismos!B6*(1-I156)</f>
        <v/>
      </c>
      <c r="Q156" s="7">
        <f>Mecanismos!B9*(1-G156)</f>
        <v/>
      </c>
      <c r="R156" s="7">
        <f>Mecanismos!B3*(1-D156)</f>
        <v/>
      </c>
      <c r="S156" s="7">
        <f>Mecanismos!B9*(1-J156)</f>
        <v/>
      </c>
      <c r="T156" s="7">
        <f>Mecanismos!B8*H156</f>
        <v/>
      </c>
      <c r="U156" s="7">
        <f>Mecanismos!B10*H156</f>
        <v/>
      </c>
      <c r="V156" s="7">
        <f>Mecanismos!B8*K156</f>
        <v/>
      </c>
      <c r="W156" s="7">
        <f>SUM(L156:S156)</f>
        <v/>
      </c>
      <c r="X156" s="7">
        <f>SUM(T156:V156)</f>
        <v/>
      </c>
      <c r="Y156" s="8">
        <f>MAX(0,MIN(1,Parametros!B2-W156*Parametros!B3+X156*Parametros!B4))</f>
        <v/>
      </c>
    </row>
    <row r="157">
      <c r="A157" t="inlineStr">
        <is>
          <t>r8btc3</t>
        </is>
      </c>
      <c r="B157" t="inlineStr">
        <is>
          <t>Emanuelly Novaes</t>
        </is>
      </c>
      <c r="C157" s="6" t="n">
        <v>0.6259</v>
      </c>
      <c r="D157" s="6" t="n">
        <v>0.7386</v>
      </c>
      <c r="E157" s="6" t="n">
        <v>0.67</v>
      </c>
      <c r="F157" s="6" t="n">
        <v>0.4218</v>
      </c>
      <c r="G157" s="6" t="n">
        <v>0.7010999999999999</v>
      </c>
      <c r="H157" s="6" t="n">
        <v>0.5381</v>
      </c>
      <c r="I157" s="6" t="n">
        <v>0.7050999999999999</v>
      </c>
      <c r="J157" s="6" t="n">
        <v>0.7638</v>
      </c>
      <c r="K157" s="6" t="n">
        <v>0.505</v>
      </c>
      <c r="L157" s="7">
        <f>Mecanismos!B2*C157</f>
        <v/>
      </c>
      <c r="M157" s="7">
        <f>Mecanismos!B7*D157</f>
        <v/>
      </c>
      <c r="N157" s="7">
        <f>Mecanismos!B4*(1-E157)</f>
        <v/>
      </c>
      <c r="O157" s="7">
        <f>Mecanismos!B5*(1-F157)</f>
        <v/>
      </c>
      <c r="P157" s="7">
        <f>Mecanismos!B6*(1-I157)</f>
        <v/>
      </c>
      <c r="Q157" s="7">
        <f>Mecanismos!B9*(1-G157)</f>
        <v/>
      </c>
      <c r="R157" s="7">
        <f>Mecanismos!B3*(1-D157)</f>
        <v/>
      </c>
      <c r="S157" s="7">
        <f>Mecanismos!B9*(1-J157)</f>
        <v/>
      </c>
      <c r="T157" s="7">
        <f>Mecanismos!B8*H157</f>
        <v/>
      </c>
      <c r="U157" s="7">
        <f>Mecanismos!B10*H157</f>
        <v/>
      </c>
      <c r="V157" s="7">
        <f>Mecanismos!B8*K157</f>
        <v/>
      </c>
      <c r="W157" s="7">
        <f>SUM(L157:S157)</f>
        <v/>
      </c>
      <c r="X157" s="7">
        <f>SUM(T157:V157)</f>
        <v/>
      </c>
      <c r="Y157" s="8">
        <f>MAX(0,MIN(1,Parametros!B2-W157*Parametros!B3+X157*Parametros!B4))</f>
        <v/>
      </c>
    </row>
    <row r="158">
      <c r="A158" t="inlineStr">
        <is>
          <t>vhr19y</t>
        </is>
      </c>
      <c r="B158" t="inlineStr">
        <is>
          <t>Emanuelly da Mota</t>
        </is>
      </c>
      <c r="C158" s="6" t="n">
        <v>0.4539</v>
      </c>
      <c r="D158" s="6" t="n">
        <v>0.3886</v>
      </c>
      <c r="E158" s="6" t="n">
        <v>0.7478</v>
      </c>
      <c r="F158" s="6" t="n">
        <v>0.3486</v>
      </c>
      <c r="G158" s="6" t="n">
        <v>0.2849</v>
      </c>
      <c r="H158" s="6" t="n">
        <v>0.7088</v>
      </c>
      <c r="I158" s="6" t="n">
        <v>0.6206</v>
      </c>
      <c r="J158" s="6" t="n">
        <v>0.487</v>
      </c>
      <c r="K158" s="6" t="n">
        <v>0.7255</v>
      </c>
      <c r="L158" s="7">
        <f>Mecanismos!B2*C158</f>
        <v/>
      </c>
      <c r="M158" s="7">
        <f>Mecanismos!B7*D158</f>
        <v/>
      </c>
      <c r="N158" s="7">
        <f>Mecanismos!B4*(1-E158)</f>
        <v/>
      </c>
      <c r="O158" s="7">
        <f>Mecanismos!B5*(1-F158)</f>
        <v/>
      </c>
      <c r="P158" s="7">
        <f>Mecanismos!B6*(1-I158)</f>
        <v/>
      </c>
      <c r="Q158" s="7">
        <f>Mecanismos!B9*(1-G158)</f>
        <v/>
      </c>
      <c r="R158" s="7">
        <f>Mecanismos!B3*(1-D158)</f>
        <v/>
      </c>
      <c r="S158" s="7">
        <f>Mecanismos!B9*(1-J158)</f>
        <v/>
      </c>
      <c r="T158" s="7">
        <f>Mecanismos!B8*H158</f>
        <v/>
      </c>
      <c r="U158" s="7">
        <f>Mecanismos!B10*H158</f>
        <v/>
      </c>
      <c r="V158" s="7">
        <f>Mecanismos!B8*K158</f>
        <v/>
      </c>
      <c r="W158" s="7">
        <f>SUM(L158:S158)</f>
        <v/>
      </c>
      <c r="X158" s="7">
        <f>SUM(T158:V158)</f>
        <v/>
      </c>
      <c r="Y158" s="8">
        <f>MAX(0,MIN(1,Parametros!B2-W158*Parametros!B3+X158*Parametros!B4))</f>
        <v/>
      </c>
    </row>
    <row r="159">
      <c r="A159" t="inlineStr">
        <is>
          <t>ad0ux1</t>
        </is>
      </c>
      <c r="B159" t="inlineStr">
        <is>
          <t>Emanuelly da Rosa</t>
        </is>
      </c>
      <c r="C159" s="6" t="n">
        <v>0.6074000000000001</v>
      </c>
      <c r="D159" s="6" t="n">
        <v>0.6656</v>
      </c>
      <c r="E159" s="6" t="n">
        <v>0.6435999999999999</v>
      </c>
      <c r="F159" s="6" t="n">
        <v>0.3917</v>
      </c>
      <c r="G159" s="6" t="n">
        <v>0.5235</v>
      </c>
      <c r="H159" s="6" t="n">
        <v>0.6807</v>
      </c>
      <c r="I159" s="6" t="n">
        <v>0.6239</v>
      </c>
      <c r="J159" s="6" t="n">
        <v>0.9071</v>
      </c>
      <c r="K159" s="6" t="n">
        <v>0.7</v>
      </c>
      <c r="L159" s="7">
        <f>Mecanismos!B2*C159</f>
        <v/>
      </c>
      <c r="M159" s="7">
        <f>Mecanismos!B7*D159</f>
        <v/>
      </c>
      <c r="N159" s="7">
        <f>Mecanismos!B4*(1-E159)</f>
        <v/>
      </c>
      <c r="O159" s="7">
        <f>Mecanismos!B5*(1-F159)</f>
        <v/>
      </c>
      <c r="P159" s="7">
        <f>Mecanismos!B6*(1-I159)</f>
        <v/>
      </c>
      <c r="Q159" s="7">
        <f>Mecanismos!B9*(1-G159)</f>
        <v/>
      </c>
      <c r="R159" s="7">
        <f>Mecanismos!B3*(1-D159)</f>
        <v/>
      </c>
      <c r="S159" s="7">
        <f>Mecanismos!B9*(1-J159)</f>
        <v/>
      </c>
      <c r="T159" s="7">
        <f>Mecanismos!B8*H159</f>
        <v/>
      </c>
      <c r="U159" s="7">
        <f>Mecanismos!B10*H159</f>
        <v/>
      </c>
      <c r="V159" s="7">
        <f>Mecanismos!B8*K159</f>
        <v/>
      </c>
      <c r="W159" s="7">
        <f>SUM(L159:S159)</f>
        <v/>
      </c>
      <c r="X159" s="7">
        <f>SUM(T159:V159)</f>
        <v/>
      </c>
      <c r="Y159" s="8">
        <f>MAX(0,MIN(1,Parametros!B2-W159*Parametros!B3+X159*Parametros!B4))</f>
        <v/>
      </c>
    </row>
    <row r="160">
      <c r="A160" t="inlineStr">
        <is>
          <t>7k1huj</t>
        </is>
      </c>
      <c r="B160" t="inlineStr">
        <is>
          <t>Emilly Mendes</t>
        </is>
      </c>
      <c r="C160" s="6" t="n">
        <v>0.5109</v>
      </c>
      <c r="D160" s="6" t="n">
        <v>0.744</v>
      </c>
      <c r="E160" s="6" t="n">
        <v>0.5786</v>
      </c>
      <c r="F160" s="6" t="n">
        <v>0.4781</v>
      </c>
      <c r="G160" s="6" t="n">
        <v>0.536</v>
      </c>
      <c r="H160" s="6" t="n">
        <v>0.3828</v>
      </c>
      <c r="I160" s="6" t="n">
        <v>0.6843</v>
      </c>
      <c r="J160" s="6" t="n">
        <v>0.8954</v>
      </c>
      <c r="K160" s="6" t="n">
        <v>0.9524</v>
      </c>
      <c r="L160" s="7">
        <f>Mecanismos!B2*C160</f>
        <v/>
      </c>
      <c r="M160" s="7">
        <f>Mecanismos!B7*D160</f>
        <v/>
      </c>
      <c r="N160" s="7">
        <f>Mecanismos!B4*(1-E160)</f>
        <v/>
      </c>
      <c r="O160" s="7">
        <f>Mecanismos!B5*(1-F160)</f>
        <v/>
      </c>
      <c r="P160" s="7">
        <f>Mecanismos!B6*(1-I160)</f>
        <v/>
      </c>
      <c r="Q160" s="7">
        <f>Mecanismos!B9*(1-G160)</f>
        <v/>
      </c>
      <c r="R160" s="7">
        <f>Mecanismos!B3*(1-D160)</f>
        <v/>
      </c>
      <c r="S160" s="7">
        <f>Mecanismos!B9*(1-J160)</f>
        <v/>
      </c>
      <c r="T160" s="7">
        <f>Mecanismos!B8*H160</f>
        <v/>
      </c>
      <c r="U160" s="7">
        <f>Mecanismos!B10*H160</f>
        <v/>
      </c>
      <c r="V160" s="7">
        <f>Mecanismos!B8*K160</f>
        <v/>
      </c>
      <c r="W160" s="7">
        <f>SUM(L160:S160)</f>
        <v/>
      </c>
      <c r="X160" s="7">
        <f>SUM(T160:V160)</f>
        <v/>
      </c>
      <c r="Y160" s="8">
        <f>MAX(0,MIN(1,Parametros!B2-W160*Parametros!B3+X160*Parametros!B4))</f>
        <v/>
      </c>
    </row>
    <row r="161">
      <c r="A161" t="inlineStr">
        <is>
          <t>stc14u</t>
        </is>
      </c>
      <c r="B161" t="inlineStr">
        <is>
          <t>Enrico Cunha</t>
        </is>
      </c>
      <c r="C161" s="6" t="n">
        <v>0.5094</v>
      </c>
      <c r="D161" s="6" t="n">
        <v>0.347</v>
      </c>
      <c r="E161" s="6" t="n">
        <v>0.7249</v>
      </c>
      <c r="F161" s="6" t="n">
        <v>0.5044</v>
      </c>
      <c r="G161" s="6" t="n">
        <v>0.5687</v>
      </c>
      <c r="H161" s="6" t="n">
        <v>0.5032</v>
      </c>
      <c r="I161" s="6" t="n">
        <v>0.7735</v>
      </c>
      <c r="J161" s="6" t="n">
        <v>0.8656</v>
      </c>
      <c r="K161" s="6" t="n">
        <v>0.2388</v>
      </c>
      <c r="L161" s="7">
        <f>Mecanismos!B2*C161</f>
        <v/>
      </c>
      <c r="M161" s="7">
        <f>Mecanismos!B7*D161</f>
        <v/>
      </c>
      <c r="N161" s="7">
        <f>Mecanismos!B4*(1-E161)</f>
        <v/>
      </c>
      <c r="O161" s="7">
        <f>Mecanismos!B5*(1-F161)</f>
        <v/>
      </c>
      <c r="P161" s="7">
        <f>Mecanismos!B6*(1-I161)</f>
        <v/>
      </c>
      <c r="Q161" s="7">
        <f>Mecanismos!B9*(1-G161)</f>
        <v/>
      </c>
      <c r="R161" s="7">
        <f>Mecanismos!B3*(1-D161)</f>
        <v/>
      </c>
      <c r="S161" s="7">
        <f>Mecanismos!B9*(1-J161)</f>
        <v/>
      </c>
      <c r="T161" s="7">
        <f>Mecanismos!B8*H161</f>
        <v/>
      </c>
      <c r="U161" s="7">
        <f>Mecanismos!B10*H161</f>
        <v/>
      </c>
      <c r="V161" s="7">
        <f>Mecanismos!B8*K161</f>
        <v/>
      </c>
      <c r="W161" s="7">
        <f>SUM(L161:S161)</f>
        <v/>
      </c>
      <c r="X161" s="7">
        <f>SUM(T161:V161)</f>
        <v/>
      </c>
      <c r="Y161" s="8">
        <f>MAX(0,MIN(1,Parametros!B2-W161*Parametros!B3+X161*Parametros!B4))</f>
        <v/>
      </c>
    </row>
    <row r="162">
      <c r="A162" t="inlineStr">
        <is>
          <t>31qc8o</t>
        </is>
      </c>
      <c r="B162" t="inlineStr">
        <is>
          <t>Enrico da Rosa</t>
        </is>
      </c>
      <c r="C162" s="6" t="n">
        <v>0.4991</v>
      </c>
      <c r="D162" s="6" t="n">
        <v>0.392</v>
      </c>
      <c r="E162" s="6" t="n">
        <v>0.4955</v>
      </c>
      <c r="F162" s="6" t="n">
        <v>0.6633</v>
      </c>
      <c r="G162" s="6" t="n">
        <v>0.5001</v>
      </c>
      <c r="H162" s="6" t="n">
        <v>0.4766</v>
      </c>
      <c r="I162" s="6" t="n">
        <v>0.7224</v>
      </c>
      <c r="J162" s="6" t="n">
        <v>0.7225</v>
      </c>
      <c r="K162" s="6" t="n">
        <v>0.5626</v>
      </c>
      <c r="L162" s="7">
        <f>Mecanismos!B2*C162</f>
        <v/>
      </c>
      <c r="M162" s="7">
        <f>Mecanismos!B7*D162</f>
        <v/>
      </c>
      <c r="N162" s="7">
        <f>Mecanismos!B4*(1-E162)</f>
        <v/>
      </c>
      <c r="O162" s="7">
        <f>Mecanismos!B5*(1-F162)</f>
        <v/>
      </c>
      <c r="P162" s="7">
        <f>Mecanismos!B6*(1-I162)</f>
        <v/>
      </c>
      <c r="Q162" s="7">
        <f>Mecanismos!B9*(1-G162)</f>
        <v/>
      </c>
      <c r="R162" s="7">
        <f>Mecanismos!B3*(1-D162)</f>
        <v/>
      </c>
      <c r="S162" s="7">
        <f>Mecanismos!B9*(1-J162)</f>
        <v/>
      </c>
      <c r="T162" s="7">
        <f>Mecanismos!B8*H162</f>
        <v/>
      </c>
      <c r="U162" s="7">
        <f>Mecanismos!B10*H162</f>
        <v/>
      </c>
      <c r="V162" s="7">
        <f>Mecanismos!B8*K162</f>
        <v/>
      </c>
      <c r="W162" s="7">
        <f>SUM(L162:S162)</f>
        <v/>
      </c>
      <c r="X162" s="7">
        <f>SUM(T162:V162)</f>
        <v/>
      </c>
      <c r="Y162" s="8">
        <f>MAX(0,MIN(1,Parametros!B2-W162*Parametros!B3+X162*Parametros!B4))</f>
        <v/>
      </c>
    </row>
    <row r="163">
      <c r="A163" t="inlineStr">
        <is>
          <t>2aq9k8</t>
        </is>
      </c>
      <c r="B163" t="inlineStr">
        <is>
          <t>Enzo Cavalcante</t>
        </is>
      </c>
      <c r="C163" s="6" t="n">
        <v>0.7748</v>
      </c>
      <c r="D163" s="6" t="n">
        <v>0.3734</v>
      </c>
      <c r="E163" s="6" t="n">
        <v>0.6239</v>
      </c>
      <c r="F163" s="6" t="n">
        <v>0.8465</v>
      </c>
      <c r="G163" s="6" t="n">
        <v>0.4155</v>
      </c>
      <c r="H163" s="6" t="n">
        <v>0.7915</v>
      </c>
      <c r="I163" s="6" t="n">
        <v>0.7659</v>
      </c>
      <c r="J163" s="6" t="n">
        <v>0.8386</v>
      </c>
      <c r="K163" s="6" t="n">
        <v>0.2527</v>
      </c>
      <c r="L163" s="7">
        <f>Mecanismos!B2*C163</f>
        <v/>
      </c>
      <c r="M163" s="7">
        <f>Mecanismos!B7*D163</f>
        <v/>
      </c>
      <c r="N163" s="7">
        <f>Mecanismos!B4*(1-E163)</f>
        <v/>
      </c>
      <c r="O163" s="7">
        <f>Mecanismos!B5*(1-F163)</f>
        <v/>
      </c>
      <c r="P163" s="7">
        <f>Mecanismos!B6*(1-I163)</f>
        <v/>
      </c>
      <c r="Q163" s="7">
        <f>Mecanismos!B9*(1-G163)</f>
        <v/>
      </c>
      <c r="R163" s="7">
        <f>Mecanismos!B3*(1-D163)</f>
        <v/>
      </c>
      <c r="S163" s="7">
        <f>Mecanismos!B9*(1-J163)</f>
        <v/>
      </c>
      <c r="T163" s="7">
        <f>Mecanismos!B8*H163</f>
        <v/>
      </c>
      <c r="U163" s="7">
        <f>Mecanismos!B10*H163</f>
        <v/>
      </c>
      <c r="V163" s="7">
        <f>Mecanismos!B8*K163</f>
        <v/>
      </c>
      <c r="W163" s="7">
        <f>SUM(L163:S163)</f>
        <v/>
      </c>
      <c r="X163" s="7">
        <f>SUM(T163:V163)</f>
        <v/>
      </c>
      <c r="Y163" s="8">
        <f>MAX(0,MIN(1,Parametros!B2-W163*Parametros!B3+X163*Parametros!B4))</f>
        <v/>
      </c>
    </row>
    <row r="164">
      <c r="A164" t="inlineStr">
        <is>
          <t>gs7bci</t>
        </is>
      </c>
      <c r="B164" t="inlineStr">
        <is>
          <t>Enzo Gabriel Vasconcelos</t>
        </is>
      </c>
      <c r="C164" s="6" t="n">
        <v>0.5101</v>
      </c>
      <c r="D164" s="6" t="n">
        <v>0.5105</v>
      </c>
      <c r="E164" s="6" t="n">
        <v>0.6269</v>
      </c>
      <c r="F164" s="6" t="n">
        <v>0.5649999999999999</v>
      </c>
      <c r="G164" s="6" t="n">
        <v>0.6449</v>
      </c>
      <c r="H164" s="6" t="n">
        <v>0.3883</v>
      </c>
      <c r="I164" s="6" t="n">
        <v>0.6091</v>
      </c>
      <c r="J164" s="6" t="n">
        <v>0.8298</v>
      </c>
      <c r="K164" s="6" t="n">
        <v>0.7008</v>
      </c>
      <c r="L164" s="7">
        <f>Mecanismos!B2*C164</f>
        <v/>
      </c>
      <c r="M164" s="7">
        <f>Mecanismos!B7*D164</f>
        <v/>
      </c>
      <c r="N164" s="7">
        <f>Mecanismos!B4*(1-E164)</f>
        <v/>
      </c>
      <c r="O164" s="7">
        <f>Mecanismos!B5*(1-F164)</f>
        <v/>
      </c>
      <c r="P164" s="7">
        <f>Mecanismos!B6*(1-I164)</f>
        <v/>
      </c>
      <c r="Q164" s="7">
        <f>Mecanismos!B9*(1-G164)</f>
        <v/>
      </c>
      <c r="R164" s="7">
        <f>Mecanismos!B3*(1-D164)</f>
        <v/>
      </c>
      <c r="S164" s="7">
        <f>Mecanismos!B9*(1-J164)</f>
        <v/>
      </c>
      <c r="T164" s="7">
        <f>Mecanismos!B8*H164</f>
        <v/>
      </c>
      <c r="U164" s="7">
        <f>Mecanismos!B10*H164</f>
        <v/>
      </c>
      <c r="V164" s="7">
        <f>Mecanismos!B8*K164</f>
        <v/>
      </c>
      <c r="W164" s="7">
        <f>SUM(L164:S164)</f>
        <v/>
      </c>
      <c r="X164" s="7">
        <f>SUM(T164:V164)</f>
        <v/>
      </c>
      <c r="Y164" s="8">
        <f>MAX(0,MIN(1,Parametros!B2-W164*Parametros!B3+X164*Parametros!B4))</f>
        <v/>
      </c>
    </row>
    <row r="165">
      <c r="A165" t="inlineStr">
        <is>
          <t>0u5fff</t>
        </is>
      </c>
      <c r="B165" t="inlineStr">
        <is>
          <t>Enzo Lima</t>
        </is>
      </c>
      <c r="C165" s="6" t="n">
        <v>0.6566</v>
      </c>
      <c r="D165" s="6" t="n">
        <v>0.6</v>
      </c>
      <c r="E165" s="6" t="n">
        <v>0.3814</v>
      </c>
      <c r="F165" s="6" t="n">
        <v>0.3161</v>
      </c>
      <c r="G165" s="6" t="n">
        <v>0.668</v>
      </c>
      <c r="H165" s="6" t="n">
        <v>0.5992</v>
      </c>
      <c r="I165" s="6" t="n">
        <v>0.6918</v>
      </c>
      <c r="J165" s="6" t="n">
        <v>0.6337</v>
      </c>
      <c r="K165" s="6" t="n">
        <v>0.4018</v>
      </c>
      <c r="L165" s="7">
        <f>Mecanismos!B2*C165</f>
        <v/>
      </c>
      <c r="M165" s="7">
        <f>Mecanismos!B7*D165</f>
        <v/>
      </c>
      <c r="N165" s="7">
        <f>Mecanismos!B4*(1-E165)</f>
        <v/>
      </c>
      <c r="O165" s="7">
        <f>Mecanismos!B5*(1-F165)</f>
        <v/>
      </c>
      <c r="P165" s="7">
        <f>Mecanismos!B6*(1-I165)</f>
        <v/>
      </c>
      <c r="Q165" s="7">
        <f>Mecanismos!B9*(1-G165)</f>
        <v/>
      </c>
      <c r="R165" s="7">
        <f>Mecanismos!B3*(1-D165)</f>
        <v/>
      </c>
      <c r="S165" s="7">
        <f>Mecanismos!B9*(1-J165)</f>
        <v/>
      </c>
      <c r="T165" s="7">
        <f>Mecanismos!B8*H165</f>
        <v/>
      </c>
      <c r="U165" s="7">
        <f>Mecanismos!B10*H165</f>
        <v/>
      </c>
      <c r="V165" s="7">
        <f>Mecanismos!B8*K165</f>
        <v/>
      </c>
      <c r="W165" s="7">
        <f>SUM(L165:S165)</f>
        <v/>
      </c>
      <c r="X165" s="7">
        <f>SUM(T165:V165)</f>
        <v/>
      </c>
      <c r="Y165" s="8">
        <f>MAX(0,MIN(1,Parametros!B2-W165*Parametros!B3+X165*Parametros!B4))</f>
        <v/>
      </c>
    </row>
    <row r="166">
      <c r="A166" t="inlineStr">
        <is>
          <t>dwr3x9</t>
        </is>
      </c>
      <c r="B166" t="inlineStr">
        <is>
          <t>Erick Fonseca</t>
        </is>
      </c>
      <c r="C166" s="6" t="n">
        <v>0.6711</v>
      </c>
      <c r="D166" s="6" t="n">
        <v>0.596</v>
      </c>
      <c r="E166" s="6" t="n">
        <v>0.3871</v>
      </c>
      <c r="F166" s="6" t="n">
        <v>0.6213</v>
      </c>
      <c r="G166" s="6" t="n">
        <v>0.5563</v>
      </c>
      <c r="H166" s="6" t="n">
        <v>0.7594</v>
      </c>
      <c r="I166" s="6" t="n">
        <v>0.6647</v>
      </c>
      <c r="J166" s="6" t="n">
        <v>0.7151</v>
      </c>
      <c r="K166" s="6" t="n">
        <v>0.4137</v>
      </c>
      <c r="L166" s="7">
        <f>Mecanismos!B2*C166</f>
        <v/>
      </c>
      <c r="M166" s="7">
        <f>Mecanismos!B7*D166</f>
        <v/>
      </c>
      <c r="N166" s="7">
        <f>Mecanismos!B4*(1-E166)</f>
        <v/>
      </c>
      <c r="O166" s="7">
        <f>Mecanismos!B5*(1-F166)</f>
        <v/>
      </c>
      <c r="P166" s="7">
        <f>Mecanismos!B6*(1-I166)</f>
        <v/>
      </c>
      <c r="Q166" s="7">
        <f>Mecanismos!B9*(1-G166)</f>
        <v/>
      </c>
      <c r="R166" s="7">
        <f>Mecanismos!B3*(1-D166)</f>
        <v/>
      </c>
      <c r="S166" s="7">
        <f>Mecanismos!B9*(1-J166)</f>
        <v/>
      </c>
      <c r="T166" s="7">
        <f>Mecanismos!B8*H166</f>
        <v/>
      </c>
      <c r="U166" s="7">
        <f>Mecanismos!B10*H166</f>
        <v/>
      </c>
      <c r="V166" s="7">
        <f>Mecanismos!B8*K166</f>
        <v/>
      </c>
      <c r="W166" s="7">
        <f>SUM(L166:S166)</f>
        <v/>
      </c>
      <c r="X166" s="7">
        <f>SUM(T166:V166)</f>
        <v/>
      </c>
      <c r="Y166" s="8">
        <f>MAX(0,MIN(1,Parametros!B2-W166*Parametros!B3+X166*Parametros!B4))</f>
        <v/>
      </c>
    </row>
    <row r="167">
      <c r="A167" t="inlineStr">
        <is>
          <t>3k7sb7</t>
        </is>
      </c>
      <c r="B167" t="inlineStr">
        <is>
          <t>Erick Rios</t>
        </is>
      </c>
      <c r="C167" s="6" t="n">
        <v>0.6735</v>
      </c>
      <c r="D167" s="6" t="n">
        <v>0.4864</v>
      </c>
      <c r="E167" s="6" t="n">
        <v>0.5153</v>
      </c>
      <c r="F167" s="6" t="n">
        <v>0.7166</v>
      </c>
      <c r="G167" s="6" t="n">
        <v>0.7209</v>
      </c>
      <c r="H167" s="6" t="n">
        <v>0.5656</v>
      </c>
      <c r="I167" s="6" t="n">
        <v>0.6086</v>
      </c>
      <c r="J167" s="6" t="n">
        <v>0.7799</v>
      </c>
      <c r="K167" s="6" t="n">
        <v>0.4421</v>
      </c>
      <c r="L167" s="7">
        <f>Mecanismos!B2*C167</f>
        <v/>
      </c>
      <c r="M167" s="7">
        <f>Mecanismos!B7*D167</f>
        <v/>
      </c>
      <c r="N167" s="7">
        <f>Mecanismos!B4*(1-E167)</f>
        <v/>
      </c>
      <c r="O167" s="7">
        <f>Mecanismos!B5*(1-F167)</f>
        <v/>
      </c>
      <c r="P167" s="7">
        <f>Mecanismos!B6*(1-I167)</f>
        <v/>
      </c>
      <c r="Q167" s="7">
        <f>Mecanismos!B9*(1-G167)</f>
        <v/>
      </c>
      <c r="R167" s="7">
        <f>Mecanismos!B3*(1-D167)</f>
        <v/>
      </c>
      <c r="S167" s="7">
        <f>Mecanismos!B9*(1-J167)</f>
        <v/>
      </c>
      <c r="T167" s="7">
        <f>Mecanismos!B8*H167</f>
        <v/>
      </c>
      <c r="U167" s="7">
        <f>Mecanismos!B10*H167</f>
        <v/>
      </c>
      <c r="V167" s="7">
        <f>Mecanismos!B8*K167</f>
        <v/>
      </c>
      <c r="W167" s="7">
        <f>SUM(L167:S167)</f>
        <v/>
      </c>
      <c r="X167" s="7">
        <f>SUM(T167:V167)</f>
        <v/>
      </c>
      <c r="Y167" s="8">
        <f>MAX(0,MIN(1,Parametros!B2-W167*Parametros!B3+X167*Parametros!B4))</f>
        <v/>
      </c>
    </row>
    <row r="168">
      <c r="A168" t="inlineStr">
        <is>
          <t>kvkcpi</t>
        </is>
      </c>
      <c r="B168" t="inlineStr">
        <is>
          <t>Erick Sales</t>
        </is>
      </c>
      <c r="C168" s="6" t="n">
        <v>0.5976</v>
      </c>
      <c r="D168" s="6" t="n">
        <v>0.4828</v>
      </c>
      <c r="E168" s="6" t="n">
        <v>0.7576000000000001</v>
      </c>
      <c r="F168" s="6" t="n">
        <v>0.594</v>
      </c>
      <c r="G168" s="6" t="n">
        <v>0.583</v>
      </c>
      <c r="H168" s="6" t="n">
        <v>0.5387999999999999</v>
      </c>
      <c r="I168" s="6" t="n">
        <v>0.539</v>
      </c>
      <c r="J168" s="6" t="n">
        <v>0.9308</v>
      </c>
      <c r="K168" s="6" t="n">
        <v>0.148</v>
      </c>
      <c r="L168" s="7">
        <f>Mecanismos!B2*C168</f>
        <v/>
      </c>
      <c r="M168" s="7">
        <f>Mecanismos!B7*D168</f>
        <v/>
      </c>
      <c r="N168" s="7">
        <f>Mecanismos!B4*(1-E168)</f>
        <v/>
      </c>
      <c r="O168" s="7">
        <f>Mecanismos!B5*(1-F168)</f>
        <v/>
      </c>
      <c r="P168" s="7">
        <f>Mecanismos!B6*(1-I168)</f>
        <v/>
      </c>
      <c r="Q168" s="7">
        <f>Mecanismos!B9*(1-G168)</f>
        <v/>
      </c>
      <c r="R168" s="7">
        <f>Mecanismos!B3*(1-D168)</f>
        <v/>
      </c>
      <c r="S168" s="7">
        <f>Mecanismos!B9*(1-J168)</f>
        <v/>
      </c>
      <c r="T168" s="7">
        <f>Mecanismos!B8*H168</f>
        <v/>
      </c>
      <c r="U168" s="7">
        <f>Mecanismos!B10*H168</f>
        <v/>
      </c>
      <c r="V168" s="7">
        <f>Mecanismos!B8*K168</f>
        <v/>
      </c>
      <c r="W168" s="7">
        <f>SUM(L168:S168)</f>
        <v/>
      </c>
      <c r="X168" s="7">
        <f>SUM(T168:V168)</f>
        <v/>
      </c>
      <c r="Y168" s="8">
        <f>MAX(0,MIN(1,Parametros!B2-W168*Parametros!B3+X168*Parametros!B4))</f>
        <v/>
      </c>
    </row>
    <row r="169">
      <c r="A169" t="inlineStr">
        <is>
          <t>ung2id</t>
        </is>
      </c>
      <c r="B169" t="inlineStr">
        <is>
          <t>Ester Cunha</t>
        </is>
      </c>
      <c r="C169" s="6" t="n">
        <v>0.4582</v>
      </c>
      <c r="D169" s="6" t="n">
        <v>0.325</v>
      </c>
      <c r="E169" s="6" t="n">
        <v>0.5629999999999999</v>
      </c>
      <c r="F169" s="6" t="n">
        <v>0.7304</v>
      </c>
      <c r="G169" s="6" t="n">
        <v>0.3106</v>
      </c>
      <c r="H169" s="6" t="n">
        <v>0.5681</v>
      </c>
      <c r="I169" s="6" t="n">
        <v>0.7101</v>
      </c>
      <c r="J169" s="6" t="n">
        <v>0.8199</v>
      </c>
      <c r="K169" s="6" t="n">
        <v>0.4202</v>
      </c>
      <c r="L169" s="7">
        <f>Mecanismos!B2*C169</f>
        <v/>
      </c>
      <c r="M169" s="7">
        <f>Mecanismos!B7*D169</f>
        <v/>
      </c>
      <c r="N169" s="7">
        <f>Mecanismos!B4*(1-E169)</f>
        <v/>
      </c>
      <c r="O169" s="7">
        <f>Mecanismos!B5*(1-F169)</f>
        <v/>
      </c>
      <c r="P169" s="7">
        <f>Mecanismos!B6*(1-I169)</f>
        <v/>
      </c>
      <c r="Q169" s="7">
        <f>Mecanismos!B9*(1-G169)</f>
        <v/>
      </c>
      <c r="R169" s="7">
        <f>Mecanismos!B3*(1-D169)</f>
        <v/>
      </c>
      <c r="S169" s="7">
        <f>Mecanismos!B9*(1-J169)</f>
        <v/>
      </c>
      <c r="T169" s="7">
        <f>Mecanismos!B8*H169</f>
        <v/>
      </c>
      <c r="U169" s="7">
        <f>Mecanismos!B10*H169</f>
        <v/>
      </c>
      <c r="V169" s="7">
        <f>Mecanismos!B8*K169</f>
        <v/>
      </c>
      <c r="W169" s="7">
        <f>SUM(L169:S169)</f>
        <v/>
      </c>
      <c r="X169" s="7">
        <f>SUM(T169:V169)</f>
        <v/>
      </c>
      <c r="Y169" s="8">
        <f>MAX(0,MIN(1,Parametros!B2-W169*Parametros!B3+X169*Parametros!B4))</f>
        <v/>
      </c>
    </row>
    <row r="170">
      <c r="A170" t="inlineStr">
        <is>
          <t>qt14ax</t>
        </is>
      </c>
      <c r="B170" t="inlineStr">
        <is>
          <t>Esther Cassiano</t>
        </is>
      </c>
      <c r="C170" s="6" t="n">
        <v>0.6529</v>
      </c>
      <c r="D170" s="6" t="n">
        <v>0.7827</v>
      </c>
      <c r="E170" s="6" t="n">
        <v>0.6942</v>
      </c>
      <c r="F170" s="6" t="n">
        <v>0.7524</v>
      </c>
      <c r="G170" s="6" t="n">
        <v>0.721</v>
      </c>
      <c r="H170" s="6" t="n">
        <v>0.6618000000000001</v>
      </c>
      <c r="I170" s="6" t="n">
        <v>0.6696</v>
      </c>
      <c r="J170" s="6" t="n">
        <v>0.7657</v>
      </c>
      <c r="K170" s="6" t="n">
        <v>0.1481</v>
      </c>
      <c r="L170" s="7">
        <f>Mecanismos!B2*C170</f>
        <v/>
      </c>
      <c r="M170" s="7">
        <f>Mecanismos!B7*D170</f>
        <v/>
      </c>
      <c r="N170" s="7">
        <f>Mecanismos!B4*(1-E170)</f>
        <v/>
      </c>
      <c r="O170" s="7">
        <f>Mecanismos!B5*(1-F170)</f>
        <v/>
      </c>
      <c r="P170" s="7">
        <f>Mecanismos!B6*(1-I170)</f>
        <v/>
      </c>
      <c r="Q170" s="7">
        <f>Mecanismos!B9*(1-G170)</f>
        <v/>
      </c>
      <c r="R170" s="7">
        <f>Mecanismos!B3*(1-D170)</f>
        <v/>
      </c>
      <c r="S170" s="7">
        <f>Mecanismos!B9*(1-J170)</f>
        <v/>
      </c>
      <c r="T170" s="7">
        <f>Mecanismos!B8*H170</f>
        <v/>
      </c>
      <c r="U170" s="7">
        <f>Mecanismos!B10*H170</f>
        <v/>
      </c>
      <c r="V170" s="7">
        <f>Mecanismos!B8*K170</f>
        <v/>
      </c>
      <c r="W170" s="7">
        <f>SUM(L170:S170)</f>
        <v/>
      </c>
      <c r="X170" s="7">
        <f>SUM(T170:V170)</f>
        <v/>
      </c>
      <c r="Y170" s="8">
        <f>MAX(0,MIN(1,Parametros!B2-W170*Parametros!B3+X170*Parametros!B4))</f>
        <v/>
      </c>
    </row>
    <row r="171">
      <c r="A171" t="inlineStr">
        <is>
          <t>uugxqd</t>
        </is>
      </c>
      <c r="B171" t="inlineStr">
        <is>
          <t>Esther Ramos</t>
        </is>
      </c>
      <c r="C171" s="6" t="n">
        <v>0.7492</v>
      </c>
      <c r="D171" s="6" t="n">
        <v>0.3937</v>
      </c>
      <c r="E171" s="6" t="n">
        <v>0.4049</v>
      </c>
      <c r="F171" s="6" t="n">
        <v>0.2621</v>
      </c>
      <c r="G171" s="6" t="n">
        <v>0.3908</v>
      </c>
      <c r="H171" s="6" t="n">
        <v>0.6838</v>
      </c>
      <c r="I171" s="6" t="n">
        <v>0.5379</v>
      </c>
      <c r="J171" s="6" t="n">
        <v>0.866</v>
      </c>
      <c r="K171" s="6" t="n">
        <v>0.8151</v>
      </c>
      <c r="L171" s="7">
        <f>Mecanismos!B2*C171</f>
        <v/>
      </c>
      <c r="M171" s="7">
        <f>Mecanismos!B7*D171</f>
        <v/>
      </c>
      <c r="N171" s="7">
        <f>Mecanismos!B4*(1-E171)</f>
        <v/>
      </c>
      <c r="O171" s="7">
        <f>Mecanismos!B5*(1-F171)</f>
        <v/>
      </c>
      <c r="P171" s="7">
        <f>Mecanismos!B6*(1-I171)</f>
        <v/>
      </c>
      <c r="Q171" s="7">
        <f>Mecanismos!B9*(1-G171)</f>
        <v/>
      </c>
      <c r="R171" s="7">
        <f>Mecanismos!B3*(1-D171)</f>
        <v/>
      </c>
      <c r="S171" s="7">
        <f>Mecanismos!B9*(1-J171)</f>
        <v/>
      </c>
      <c r="T171" s="7">
        <f>Mecanismos!B8*H171</f>
        <v/>
      </c>
      <c r="U171" s="7">
        <f>Mecanismos!B10*H171</f>
        <v/>
      </c>
      <c r="V171" s="7">
        <f>Mecanismos!B8*K171</f>
        <v/>
      </c>
      <c r="W171" s="7">
        <f>SUM(L171:S171)</f>
        <v/>
      </c>
      <c r="X171" s="7">
        <f>SUM(T171:V171)</f>
        <v/>
      </c>
      <c r="Y171" s="8">
        <f>MAX(0,MIN(1,Parametros!B2-W171*Parametros!B3+X171*Parametros!B4))</f>
        <v/>
      </c>
    </row>
    <row r="172">
      <c r="A172" t="inlineStr">
        <is>
          <t>oikueg</t>
        </is>
      </c>
      <c r="B172" t="inlineStr">
        <is>
          <t>Esther Viana</t>
        </is>
      </c>
      <c r="C172" s="6" t="n">
        <v>0.6928</v>
      </c>
      <c r="D172" s="6" t="n">
        <v>0.5982</v>
      </c>
      <c r="E172" s="6" t="n">
        <v>0.495</v>
      </c>
      <c r="F172" s="6" t="n">
        <v>0.5875</v>
      </c>
      <c r="G172" s="6" t="n">
        <v>0.4775</v>
      </c>
      <c r="H172" s="6" t="n">
        <v>0.614</v>
      </c>
      <c r="I172" s="6" t="n">
        <v>0.8287</v>
      </c>
      <c r="J172" s="6" t="n">
        <v>0.8265</v>
      </c>
      <c r="K172" s="6" t="n">
        <v>0.6676</v>
      </c>
      <c r="L172" s="7">
        <f>Mecanismos!B2*C172</f>
        <v/>
      </c>
      <c r="M172" s="7">
        <f>Mecanismos!B7*D172</f>
        <v/>
      </c>
      <c r="N172" s="7">
        <f>Mecanismos!B4*(1-E172)</f>
        <v/>
      </c>
      <c r="O172" s="7">
        <f>Mecanismos!B5*(1-F172)</f>
        <v/>
      </c>
      <c r="P172" s="7">
        <f>Mecanismos!B6*(1-I172)</f>
        <v/>
      </c>
      <c r="Q172" s="7">
        <f>Mecanismos!B9*(1-G172)</f>
        <v/>
      </c>
      <c r="R172" s="7">
        <f>Mecanismos!B3*(1-D172)</f>
        <v/>
      </c>
      <c r="S172" s="7">
        <f>Mecanismos!B9*(1-J172)</f>
        <v/>
      </c>
      <c r="T172" s="7">
        <f>Mecanismos!B8*H172</f>
        <v/>
      </c>
      <c r="U172" s="7">
        <f>Mecanismos!B10*H172</f>
        <v/>
      </c>
      <c r="V172" s="7">
        <f>Mecanismos!B8*K172</f>
        <v/>
      </c>
      <c r="W172" s="7">
        <f>SUM(L172:S172)</f>
        <v/>
      </c>
      <c r="X172" s="7">
        <f>SUM(T172:V172)</f>
        <v/>
      </c>
      <c r="Y172" s="8">
        <f>MAX(0,MIN(1,Parametros!B2-W172*Parametros!B3+X172*Parametros!B4))</f>
        <v/>
      </c>
    </row>
    <row r="173">
      <c r="A173" t="inlineStr">
        <is>
          <t>jugp92</t>
        </is>
      </c>
      <c r="B173" t="inlineStr">
        <is>
          <t>Evelyn Nunes</t>
        </is>
      </c>
      <c r="C173" s="6" t="n">
        <v>0.7259</v>
      </c>
      <c r="D173" s="6" t="n">
        <v>0.6109</v>
      </c>
      <c r="E173" s="6" t="n">
        <v>0.6843</v>
      </c>
      <c r="F173" s="6" t="n">
        <v>0.4371</v>
      </c>
      <c r="G173" s="6" t="n">
        <v>0.5916</v>
      </c>
      <c r="H173" s="6" t="n">
        <v>0.7406</v>
      </c>
      <c r="I173" s="6" t="n">
        <v>0.2891</v>
      </c>
      <c r="J173" s="6" t="n">
        <v>0.6048</v>
      </c>
      <c r="K173" s="6" t="n">
        <v>0.6998</v>
      </c>
      <c r="L173" s="7">
        <f>Mecanismos!B2*C173</f>
        <v/>
      </c>
      <c r="M173" s="7">
        <f>Mecanismos!B7*D173</f>
        <v/>
      </c>
      <c r="N173" s="7">
        <f>Mecanismos!B4*(1-E173)</f>
        <v/>
      </c>
      <c r="O173" s="7">
        <f>Mecanismos!B5*(1-F173)</f>
        <v/>
      </c>
      <c r="P173" s="7">
        <f>Mecanismos!B6*(1-I173)</f>
        <v/>
      </c>
      <c r="Q173" s="7">
        <f>Mecanismos!B9*(1-G173)</f>
        <v/>
      </c>
      <c r="R173" s="7">
        <f>Mecanismos!B3*(1-D173)</f>
        <v/>
      </c>
      <c r="S173" s="7">
        <f>Mecanismos!B9*(1-J173)</f>
        <v/>
      </c>
      <c r="T173" s="7">
        <f>Mecanismos!B8*H173</f>
        <v/>
      </c>
      <c r="U173" s="7">
        <f>Mecanismos!B10*H173</f>
        <v/>
      </c>
      <c r="V173" s="7">
        <f>Mecanismos!B8*K173</f>
        <v/>
      </c>
      <c r="W173" s="7">
        <f>SUM(L173:S173)</f>
        <v/>
      </c>
      <c r="X173" s="7">
        <f>SUM(T173:V173)</f>
        <v/>
      </c>
      <c r="Y173" s="8">
        <f>MAX(0,MIN(1,Parametros!B2-W173*Parametros!B3+X173*Parametros!B4))</f>
        <v/>
      </c>
    </row>
    <row r="174">
      <c r="A174" t="inlineStr">
        <is>
          <t>gojczz</t>
        </is>
      </c>
      <c r="B174" t="inlineStr">
        <is>
          <t>Fernanda Novais</t>
        </is>
      </c>
      <c r="C174" s="6" t="n">
        <v>0.4873</v>
      </c>
      <c r="D174" s="6" t="n">
        <v>0.6193</v>
      </c>
      <c r="E174" s="6" t="n">
        <v>0.3406</v>
      </c>
      <c r="F174" s="6" t="n">
        <v>0.6667</v>
      </c>
      <c r="G174" s="6" t="n">
        <v>0.7137</v>
      </c>
      <c r="H174" s="6" t="n">
        <v>0.4083</v>
      </c>
      <c r="I174" s="6" t="n">
        <v>0.7151999999999999</v>
      </c>
      <c r="J174" s="6" t="n">
        <v>0.7581</v>
      </c>
      <c r="K174" s="6" t="n">
        <v>0.295</v>
      </c>
      <c r="L174" s="7">
        <f>Mecanismos!B2*C174</f>
        <v/>
      </c>
      <c r="M174" s="7">
        <f>Mecanismos!B7*D174</f>
        <v/>
      </c>
      <c r="N174" s="7">
        <f>Mecanismos!B4*(1-E174)</f>
        <v/>
      </c>
      <c r="O174" s="7">
        <f>Mecanismos!B5*(1-F174)</f>
        <v/>
      </c>
      <c r="P174" s="7">
        <f>Mecanismos!B6*(1-I174)</f>
        <v/>
      </c>
      <c r="Q174" s="7">
        <f>Mecanismos!B9*(1-G174)</f>
        <v/>
      </c>
      <c r="R174" s="7">
        <f>Mecanismos!B3*(1-D174)</f>
        <v/>
      </c>
      <c r="S174" s="7">
        <f>Mecanismos!B9*(1-J174)</f>
        <v/>
      </c>
      <c r="T174" s="7">
        <f>Mecanismos!B8*H174</f>
        <v/>
      </c>
      <c r="U174" s="7">
        <f>Mecanismos!B10*H174</f>
        <v/>
      </c>
      <c r="V174" s="7">
        <f>Mecanismos!B8*K174</f>
        <v/>
      </c>
      <c r="W174" s="7">
        <f>SUM(L174:S174)</f>
        <v/>
      </c>
      <c r="X174" s="7">
        <f>SUM(T174:V174)</f>
        <v/>
      </c>
      <c r="Y174" s="8">
        <f>MAX(0,MIN(1,Parametros!B2-W174*Parametros!B3+X174*Parametros!B4))</f>
        <v/>
      </c>
    </row>
    <row r="175">
      <c r="A175" t="inlineStr">
        <is>
          <t>0nnz6v</t>
        </is>
      </c>
      <c r="B175" t="inlineStr">
        <is>
          <t>Fernanda Sampaio</t>
        </is>
      </c>
      <c r="C175" s="6" t="n">
        <v>0.6796</v>
      </c>
      <c r="D175" s="6" t="n">
        <v>0.371</v>
      </c>
      <c r="E175" s="6" t="n">
        <v>0.551</v>
      </c>
      <c r="F175" s="6" t="n">
        <v>0.4004</v>
      </c>
      <c r="G175" s="6" t="n">
        <v>0.3459</v>
      </c>
      <c r="H175" s="6" t="n">
        <v>0.5795</v>
      </c>
      <c r="I175" s="6" t="n">
        <v>0.2484</v>
      </c>
      <c r="J175" s="6" t="n">
        <v>0.4181</v>
      </c>
      <c r="K175" s="6" t="n">
        <v>0.3171</v>
      </c>
      <c r="L175" s="7">
        <f>Mecanismos!B2*C175</f>
        <v/>
      </c>
      <c r="M175" s="7">
        <f>Mecanismos!B7*D175</f>
        <v/>
      </c>
      <c r="N175" s="7">
        <f>Mecanismos!B4*(1-E175)</f>
        <v/>
      </c>
      <c r="O175" s="7">
        <f>Mecanismos!B5*(1-F175)</f>
        <v/>
      </c>
      <c r="P175" s="7">
        <f>Mecanismos!B6*(1-I175)</f>
        <v/>
      </c>
      <c r="Q175" s="7">
        <f>Mecanismos!B9*(1-G175)</f>
        <v/>
      </c>
      <c r="R175" s="7">
        <f>Mecanismos!B3*(1-D175)</f>
        <v/>
      </c>
      <c r="S175" s="7">
        <f>Mecanismos!B9*(1-J175)</f>
        <v/>
      </c>
      <c r="T175" s="7">
        <f>Mecanismos!B8*H175</f>
        <v/>
      </c>
      <c r="U175" s="7">
        <f>Mecanismos!B10*H175</f>
        <v/>
      </c>
      <c r="V175" s="7">
        <f>Mecanismos!B8*K175</f>
        <v/>
      </c>
      <c r="W175" s="7">
        <f>SUM(L175:S175)</f>
        <v/>
      </c>
      <c r="X175" s="7">
        <f>SUM(T175:V175)</f>
        <v/>
      </c>
      <c r="Y175" s="8">
        <f>MAX(0,MIN(1,Parametros!B2-W175*Parametros!B3+X175*Parametros!B4))</f>
        <v/>
      </c>
    </row>
    <row r="176">
      <c r="A176" t="inlineStr">
        <is>
          <t>6n859q</t>
        </is>
      </c>
      <c r="B176" t="inlineStr">
        <is>
          <t>Fernando Alves</t>
        </is>
      </c>
      <c r="C176" s="6" t="n">
        <v>0.7703</v>
      </c>
      <c r="D176" s="6" t="n">
        <v>0.4153</v>
      </c>
      <c r="E176" s="6" t="n">
        <v>0.5759</v>
      </c>
      <c r="F176" s="6" t="n">
        <v>0.3282</v>
      </c>
      <c r="G176" s="6" t="n">
        <v>0.4259</v>
      </c>
      <c r="H176" s="6" t="n">
        <v>0.5212</v>
      </c>
      <c r="I176" s="6" t="n">
        <v>0.2068</v>
      </c>
      <c r="J176" s="6" t="n">
        <v>0.2667</v>
      </c>
      <c r="K176" s="6" t="n">
        <v>0.3426</v>
      </c>
      <c r="L176" s="7">
        <f>Mecanismos!B2*C176</f>
        <v/>
      </c>
      <c r="M176" s="7">
        <f>Mecanismos!B7*D176</f>
        <v/>
      </c>
      <c r="N176" s="7">
        <f>Mecanismos!B4*(1-E176)</f>
        <v/>
      </c>
      <c r="O176" s="7">
        <f>Mecanismos!B5*(1-F176)</f>
        <v/>
      </c>
      <c r="P176" s="7">
        <f>Mecanismos!B6*(1-I176)</f>
        <v/>
      </c>
      <c r="Q176" s="7">
        <f>Mecanismos!B9*(1-G176)</f>
        <v/>
      </c>
      <c r="R176" s="7">
        <f>Mecanismos!B3*(1-D176)</f>
        <v/>
      </c>
      <c r="S176" s="7">
        <f>Mecanismos!B9*(1-J176)</f>
        <v/>
      </c>
      <c r="T176" s="7">
        <f>Mecanismos!B8*H176</f>
        <v/>
      </c>
      <c r="U176" s="7">
        <f>Mecanismos!B10*H176</f>
        <v/>
      </c>
      <c r="V176" s="7">
        <f>Mecanismos!B8*K176</f>
        <v/>
      </c>
      <c r="W176" s="7">
        <f>SUM(L176:S176)</f>
        <v/>
      </c>
      <c r="X176" s="7">
        <f>SUM(T176:V176)</f>
        <v/>
      </c>
      <c r="Y176" s="8">
        <f>MAX(0,MIN(1,Parametros!B2-W176*Parametros!B3+X176*Parametros!B4))</f>
        <v/>
      </c>
    </row>
    <row r="177">
      <c r="A177" t="inlineStr">
        <is>
          <t>nahmv2</t>
        </is>
      </c>
      <c r="B177" t="inlineStr">
        <is>
          <t>Fernando Duarte</t>
        </is>
      </c>
      <c r="C177" s="6" t="n">
        <v>0.8459</v>
      </c>
      <c r="D177" s="6" t="n">
        <v>0.4997</v>
      </c>
      <c r="E177" s="6" t="n">
        <v>0.6473</v>
      </c>
      <c r="F177" s="6" t="n">
        <v>0.4596</v>
      </c>
      <c r="G177" s="6" t="n">
        <v>0.6883</v>
      </c>
      <c r="H177" s="6" t="n">
        <v>0.5145</v>
      </c>
      <c r="I177" s="6" t="n">
        <v>0.3363</v>
      </c>
      <c r="J177" s="6" t="n">
        <v>0.8162</v>
      </c>
      <c r="K177" s="6" t="n">
        <v>0.377</v>
      </c>
      <c r="L177" s="7">
        <f>Mecanismos!B2*C177</f>
        <v/>
      </c>
      <c r="M177" s="7">
        <f>Mecanismos!B7*D177</f>
        <v/>
      </c>
      <c r="N177" s="7">
        <f>Mecanismos!B4*(1-E177)</f>
        <v/>
      </c>
      <c r="O177" s="7">
        <f>Mecanismos!B5*(1-F177)</f>
        <v/>
      </c>
      <c r="P177" s="7">
        <f>Mecanismos!B6*(1-I177)</f>
        <v/>
      </c>
      <c r="Q177" s="7">
        <f>Mecanismos!B9*(1-G177)</f>
        <v/>
      </c>
      <c r="R177" s="7">
        <f>Mecanismos!B3*(1-D177)</f>
        <v/>
      </c>
      <c r="S177" s="7">
        <f>Mecanismos!B9*(1-J177)</f>
        <v/>
      </c>
      <c r="T177" s="7">
        <f>Mecanismos!B8*H177</f>
        <v/>
      </c>
      <c r="U177" s="7">
        <f>Mecanismos!B10*H177</f>
        <v/>
      </c>
      <c r="V177" s="7">
        <f>Mecanismos!B8*K177</f>
        <v/>
      </c>
      <c r="W177" s="7">
        <f>SUM(L177:S177)</f>
        <v/>
      </c>
      <c r="X177" s="7">
        <f>SUM(T177:V177)</f>
        <v/>
      </c>
      <c r="Y177" s="8">
        <f>MAX(0,MIN(1,Parametros!B2-W177*Parametros!B3+X177*Parametros!B4))</f>
        <v/>
      </c>
    </row>
    <row r="178">
      <c r="A178" t="inlineStr">
        <is>
          <t>0kwpcx</t>
        </is>
      </c>
      <c r="B178" t="inlineStr">
        <is>
          <t>Fernando Monteiro</t>
        </is>
      </c>
      <c r="C178" s="6" t="n">
        <v>0.5615</v>
      </c>
      <c r="D178" s="6" t="n">
        <v>0.4388</v>
      </c>
      <c r="E178" s="6" t="n">
        <v>0.5483</v>
      </c>
      <c r="F178" s="6" t="n">
        <v>0.193</v>
      </c>
      <c r="G178" s="6" t="n">
        <v>0.6133</v>
      </c>
      <c r="H178" s="6" t="n">
        <v>0.6091</v>
      </c>
      <c r="I178" s="6" t="n">
        <v>0.1623</v>
      </c>
      <c r="J178" s="6" t="n">
        <v>0.5590000000000001</v>
      </c>
      <c r="K178" s="6" t="n">
        <v>0.1486</v>
      </c>
      <c r="L178" s="7">
        <f>Mecanismos!B2*C178</f>
        <v/>
      </c>
      <c r="M178" s="7">
        <f>Mecanismos!B7*D178</f>
        <v/>
      </c>
      <c r="N178" s="7">
        <f>Mecanismos!B4*(1-E178)</f>
        <v/>
      </c>
      <c r="O178" s="7">
        <f>Mecanismos!B5*(1-F178)</f>
        <v/>
      </c>
      <c r="P178" s="7">
        <f>Mecanismos!B6*(1-I178)</f>
        <v/>
      </c>
      <c r="Q178" s="7">
        <f>Mecanismos!B9*(1-G178)</f>
        <v/>
      </c>
      <c r="R178" s="7">
        <f>Mecanismos!B3*(1-D178)</f>
        <v/>
      </c>
      <c r="S178" s="7">
        <f>Mecanismos!B9*(1-J178)</f>
        <v/>
      </c>
      <c r="T178" s="7">
        <f>Mecanismos!B8*H178</f>
        <v/>
      </c>
      <c r="U178" s="7">
        <f>Mecanismos!B10*H178</f>
        <v/>
      </c>
      <c r="V178" s="7">
        <f>Mecanismos!B8*K178</f>
        <v/>
      </c>
      <c r="W178" s="7">
        <f>SUM(L178:S178)</f>
        <v/>
      </c>
      <c r="X178" s="7">
        <f>SUM(T178:V178)</f>
        <v/>
      </c>
      <c r="Y178" s="8">
        <f>MAX(0,MIN(1,Parametros!B2-W178*Parametros!B3+X178*Parametros!B4))</f>
        <v/>
      </c>
    </row>
    <row r="179">
      <c r="A179" t="inlineStr">
        <is>
          <t>h1dnvl</t>
        </is>
      </c>
      <c r="B179" t="inlineStr">
        <is>
          <t>Gabriel Barros</t>
        </is>
      </c>
      <c r="C179" s="6" t="n">
        <v>0.8898</v>
      </c>
      <c r="D179" s="6" t="n">
        <v>0.3473</v>
      </c>
      <c r="E179" s="6" t="n">
        <v>0.7708</v>
      </c>
      <c r="F179" s="6" t="n">
        <v>0.4602</v>
      </c>
      <c r="G179" s="6" t="n">
        <v>0.4799</v>
      </c>
      <c r="H179" s="6" t="n">
        <v>0.6341</v>
      </c>
      <c r="I179" s="6" t="n">
        <v>0.2373</v>
      </c>
      <c r="J179" s="6" t="n">
        <v>0.7013</v>
      </c>
      <c r="K179" s="6" t="n">
        <v>0.3428</v>
      </c>
      <c r="L179" s="7">
        <f>Mecanismos!B2*C179</f>
        <v/>
      </c>
      <c r="M179" s="7">
        <f>Mecanismos!B7*D179</f>
        <v/>
      </c>
      <c r="N179" s="7">
        <f>Mecanismos!B4*(1-E179)</f>
        <v/>
      </c>
      <c r="O179" s="7">
        <f>Mecanismos!B5*(1-F179)</f>
        <v/>
      </c>
      <c r="P179" s="7">
        <f>Mecanismos!B6*(1-I179)</f>
        <v/>
      </c>
      <c r="Q179" s="7">
        <f>Mecanismos!B9*(1-G179)</f>
        <v/>
      </c>
      <c r="R179" s="7">
        <f>Mecanismos!B3*(1-D179)</f>
        <v/>
      </c>
      <c r="S179" s="7">
        <f>Mecanismos!B9*(1-J179)</f>
        <v/>
      </c>
      <c r="T179" s="7">
        <f>Mecanismos!B8*H179</f>
        <v/>
      </c>
      <c r="U179" s="7">
        <f>Mecanismos!B10*H179</f>
        <v/>
      </c>
      <c r="V179" s="7">
        <f>Mecanismos!B8*K179</f>
        <v/>
      </c>
      <c r="W179" s="7">
        <f>SUM(L179:S179)</f>
        <v/>
      </c>
      <c r="X179" s="7">
        <f>SUM(T179:V179)</f>
        <v/>
      </c>
      <c r="Y179" s="8">
        <f>MAX(0,MIN(1,Parametros!B2-W179*Parametros!B3+X179*Parametros!B4))</f>
        <v/>
      </c>
    </row>
    <row r="180">
      <c r="A180" t="inlineStr">
        <is>
          <t>pc6sd4</t>
        </is>
      </c>
      <c r="B180" t="inlineStr">
        <is>
          <t>Gabriela Castro</t>
        </is>
      </c>
      <c r="C180" s="6" t="n">
        <v>0.504</v>
      </c>
      <c r="D180" s="6" t="n">
        <v>0.1633</v>
      </c>
      <c r="E180" s="6" t="n">
        <v>0.6834</v>
      </c>
      <c r="F180" s="6" t="n">
        <v>0.4957</v>
      </c>
      <c r="G180" s="6" t="n">
        <v>0.3858</v>
      </c>
      <c r="H180" s="6" t="n">
        <v>0.6229</v>
      </c>
      <c r="I180" s="6" t="n">
        <v>0.7247</v>
      </c>
      <c r="J180" s="6" t="n">
        <v>0.7705</v>
      </c>
      <c r="K180" s="6" t="n">
        <v>0.5753</v>
      </c>
      <c r="L180" s="7">
        <f>Mecanismos!B2*C180</f>
        <v/>
      </c>
      <c r="M180" s="7">
        <f>Mecanismos!B7*D180</f>
        <v/>
      </c>
      <c r="N180" s="7">
        <f>Mecanismos!B4*(1-E180)</f>
        <v/>
      </c>
      <c r="O180" s="7">
        <f>Mecanismos!B5*(1-F180)</f>
        <v/>
      </c>
      <c r="P180" s="7">
        <f>Mecanismos!B6*(1-I180)</f>
        <v/>
      </c>
      <c r="Q180" s="7">
        <f>Mecanismos!B9*(1-G180)</f>
        <v/>
      </c>
      <c r="R180" s="7">
        <f>Mecanismos!B3*(1-D180)</f>
        <v/>
      </c>
      <c r="S180" s="7">
        <f>Mecanismos!B9*(1-J180)</f>
        <v/>
      </c>
      <c r="T180" s="7">
        <f>Mecanismos!B8*H180</f>
        <v/>
      </c>
      <c r="U180" s="7">
        <f>Mecanismos!B10*H180</f>
        <v/>
      </c>
      <c r="V180" s="7">
        <f>Mecanismos!B8*K180</f>
        <v/>
      </c>
      <c r="W180" s="7">
        <f>SUM(L180:S180)</f>
        <v/>
      </c>
      <c r="X180" s="7">
        <f>SUM(T180:V180)</f>
        <v/>
      </c>
      <c r="Y180" s="8">
        <f>MAX(0,MIN(1,Parametros!B2-W180*Parametros!B3+X180*Parametros!B4))</f>
        <v/>
      </c>
    </row>
    <row r="181">
      <c r="A181" t="inlineStr">
        <is>
          <t>j7b8fb</t>
        </is>
      </c>
      <c r="B181" t="inlineStr">
        <is>
          <t>Gabriela Costela</t>
        </is>
      </c>
      <c r="C181" s="6" t="n">
        <v>0.4665</v>
      </c>
      <c r="D181" s="6" t="n">
        <v>0.6063</v>
      </c>
      <c r="E181" s="6" t="n">
        <v>0.379</v>
      </c>
      <c r="F181" s="6" t="n">
        <v>0.674</v>
      </c>
      <c r="G181" s="6" t="n">
        <v>0.4501</v>
      </c>
      <c r="H181" s="6" t="n">
        <v>0.4668</v>
      </c>
      <c r="I181" s="6" t="n">
        <v>0.7417</v>
      </c>
      <c r="J181" s="6" t="n">
        <v>0.7292</v>
      </c>
      <c r="K181" s="6" t="n">
        <v>0.5767</v>
      </c>
      <c r="L181" s="7">
        <f>Mecanismos!B2*C181</f>
        <v/>
      </c>
      <c r="M181" s="7">
        <f>Mecanismos!B7*D181</f>
        <v/>
      </c>
      <c r="N181" s="7">
        <f>Mecanismos!B4*(1-E181)</f>
        <v/>
      </c>
      <c r="O181" s="7">
        <f>Mecanismos!B5*(1-F181)</f>
        <v/>
      </c>
      <c r="P181" s="7">
        <f>Mecanismos!B6*(1-I181)</f>
        <v/>
      </c>
      <c r="Q181" s="7">
        <f>Mecanismos!B9*(1-G181)</f>
        <v/>
      </c>
      <c r="R181" s="7">
        <f>Mecanismos!B3*(1-D181)</f>
        <v/>
      </c>
      <c r="S181" s="7">
        <f>Mecanismos!B9*(1-J181)</f>
        <v/>
      </c>
      <c r="T181" s="7">
        <f>Mecanismos!B8*H181</f>
        <v/>
      </c>
      <c r="U181" s="7">
        <f>Mecanismos!B10*H181</f>
        <v/>
      </c>
      <c r="V181" s="7">
        <f>Mecanismos!B8*K181</f>
        <v/>
      </c>
      <c r="W181" s="7">
        <f>SUM(L181:S181)</f>
        <v/>
      </c>
      <c r="X181" s="7">
        <f>SUM(T181:V181)</f>
        <v/>
      </c>
      <c r="Y181" s="8">
        <f>MAX(0,MIN(1,Parametros!B2-W181*Parametros!B3+X181*Parametros!B4))</f>
        <v/>
      </c>
    </row>
    <row r="182">
      <c r="A182" t="inlineStr">
        <is>
          <t>ktnh74</t>
        </is>
      </c>
      <c r="B182" t="inlineStr">
        <is>
          <t>Gabriela Fernandes</t>
        </is>
      </c>
      <c r="C182" s="6" t="n">
        <v>0.4536</v>
      </c>
      <c r="D182" s="6" t="n">
        <v>0.5188</v>
      </c>
      <c r="E182" s="6" t="n">
        <v>0.7073</v>
      </c>
      <c r="F182" s="6" t="n">
        <v>0.6212</v>
      </c>
      <c r="G182" s="6" t="n">
        <v>0.3598</v>
      </c>
      <c r="H182" s="6" t="n">
        <v>0.7749</v>
      </c>
      <c r="I182" s="6" t="n">
        <v>0.5004999999999999</v>
      </c>
      <c r="J182" s="6" t="n">
        <v>0.7478</v>
      </c>
      <c r="K182" s="6" t="n">
        <v>0.6061</v>
      </c>
      <c r="L182" s="7">
        <f>Mecanismos!B2*C182</f>
        <v/>
      </c>
      <c r="M182" s="7">
        <f>Mecanismos!B7*D182</f>
        <v/>
      </c>
      <c r="N182" s="7">
        <f>Mecanismos!B4*(1-E182)</f>
        <v/>
      </c>
      <c r="O182" s="7">
        <f>Mecanismos!B5*(1-F182)</f>
        <v/>
      </c>
      <c r="P182" s="7">
        <f>Mecanismos!B6*(1-I182)</f>
        <v/>
      </c>
      <c r="Q182" s="7">
        <f>Mecanismos!B9*(1-G182)</f>
        <v/>
      </c>
      <c r="R182" s="7">
        <f>Mecanismos!B3*(1-D182)</f>
        <v/>
      </c>
      <c r="S182" s="7">
        <f>Mecanismos!B9*(1-J182)</f>
        <v/>
      </c>
      <c r="T182" s="7">
        <f>Mecanismos!B8*H182</f>
        <v/>
      </c>
      <c r="U182" s="7">
        <f>Mecanismos!B10*H182</f>
        <v/>
      </c>
      <c r="V182" s="7">
        <f>Mecanismos!B8*K182</f>
        <v/>
      </c>
      <c r="W182" s="7">
        <f>SUM(L182:S182)</f>
        <v/>
      </c>
      <c r="X182" s="7">
        <f>SUM(T182:V182)</f>
        <v/>
      </c>
      <c r="Y182" s="8">
        <f>MAX(0,MIN(1,Parametros!B2-W182*Parametros!B3+X182*Parametros!B4))</f>
        <v/>
      </c>
    </row>
    <row r="183">
      <c r="A183" t="inlineStr">
        <is>
          <t>zv8lys</t>
        </is>
      </c>
      <c r="B183" t="inlineStr">
        <is>
          <t>Gabriela da Mota</t>
        </is>
      </c>
      <c r="C183" s="6" t="n">
        <v>0.645</v>
      </c>
      <c r="D183" s="6" t="n">
        <v>0.6159</v>
      </c>
      <c r="E183" s="6" t="n">
        <v>0.4228</v>
      </c>
      <c r="F183" s="6" t="n">
        <v>0.7383</v>
      </c>
      <c r="G183" s="6" t="n">
        <v>0.6316000000000001</v>
      </c>
      <c r="H183" s="6" t="n">
        <v>0.5512</v>
      </c>
      <c r="I183" s="6" t="n">
        <v>0.8544</v>
      </c>
      <c r="J183" s="6" t="n">
        <v>0.5622</v>
      </c>
      <c r="K183" s="6" t="n">
        <v>0.598</v>
      </c>
      <c r="L183" s="7">
        <f>Mecanismos!B2*C183</f>
        <v/>
      </c>
      <c r="M183" s="7">
        <f>Mecanismos!B7*D183</f>
        <v/>
      </c>
      <c r="N183" s="7">
        <f>Mecanismos!B4*(1-E183)</f>
        <v/>
      </c>
      <c r="O183" s="7">
        <f>Mecanismos!B5*(1-F183)</f>
        <v/>
      </c>
      <c r="P183" s="7">
        <f>Mecanismos!B6*(1-I183)</f>
        <v/>
      </c>
      <c r="Q183" s="7">
        <f>Mecanismos!B9*(1-G183)</f>
        <v/>
      </c>
      <c r="R183" s="7">
        <f>Mecanismos!B3*(1-D183)</f>
        <v/>
      </c>
      <c r="S183" s="7">
        <f>Mecanismos!B9*(1-J183)</f>
        <v/>
      </c>
      <c r="T183" s="7">
        <f>Mecanismos!B8*H183</f>
        <v/>
      </c>
      <c r="U183" s="7">
        <f>Mecanismos!B10*H183</f>
        <v/>
      </c>
      <c r="V183" s="7">
        <f>Mecanismos!B8*K183</f>
        <v/>
      </c>
      <c r="W183" s="7">
        <f>SUM(L183:S183)</f>
        <v/>
      </c>
      <c r="X183" s="7">
        <f>SUM(T183:V183)</f>
        <v/>
      </c>
      <c r="Y183" s="8">
        <f>MAX(0,MIN(1,Parametros!B2-W183*Parametros!B3+X183*Parametros!B4))</f>
        <v/>
      </c>
    </row>
    <row r="184">
      <c r="A184" t="inlineStr">
        <is>
          <t>iqaxry</t>
        </is>
      </c>
      <c r="B184" t="inlineStr">
        <is>
          <t>Gabrielly Jesus</t>
        </is>
      </c>
      <c r="C184" s="6" t="n">
        <v>0.7048</v>
      </c>
      <c r="D184" s="6" t="n">
        <v>0.5137</v>
      </c>
      <c r="E184" s="6" t="n">
        <v>0.6037</v>
      </c>
      <c r="F184" s="6" t="n">
        <v>0.5713</v>
      </c>
      <c r="G184" s="6" t="n">
        <v>0.6269</v>
      </c>
      <c r="H184" s="6" t="n">
        <v>0.5474</v>
      </c>
      <c r="I184" s="6" t="n">
        <v>0.4342</v>
      </c>
      <c r="J184" s="6" t="n">
        <v>0.8848</v>
      </c>
      <c r="K184" s="6" t="n">
        <v>0.751</v>
      </c>
      <c r="L184" s="7">
        <f>Mecanismos!B2*C184</f>
        <v/>
      </c>
      <c r="M184" s="7">
        <f>Mecanismos!B7*D184</f>
        <v/>
      </c>
      <c r="N184" s="7">
        <f>Mecanismos!B4*(1-E184)</f>
        <v/>
      </c>
      <c r="O184" s="7">
        <f>Mecanismos!B5*(1-F184)</f>
        <v/>
      </c>
      <c r="P184" s="7">
        <f>Mecanismos!B6*(1-I184)</f>
        <v/>
      </c>
      <c r="Q184" s="7">
        <f>Mecanismos!B9*(1-G184)</f>
        <v/>
      </c>
      <c r="R184" s="7">
        <f>Mecanismos!B3*(1-D184)</f>
        <v/>
      </c>
      <c r="S184" s="7">
        <f>Mecanismos!B9*(1-J184)</f>
        <v/>
      </c>
      <c r="T184" s="7">
        <f>Mecanismos!B8*H184</f>
        <v/>
      </c>
      <c r="U184" s="7">
        <f>Mecanismos!B10*H184</f>
        <v/>
      </c>
      <c r="V184" s="7">
        <f>Mecanismos!B8*K184</f>
        <v/>
      </c>
      <c r="W184" s="7">
        <f>SUM(L184:S184)</f>
        <v/>
      </c>
      <c r="X184" s="7">
        <f>SUM(T184:V184)</f>
        <v/>
      </c>
      <c r="Y184" s="8">
        <f>MAX(0,MIN(1,Parametros!B2-W184*Parametros!B3+X184*Parametros!B4))</f>
        <v/>
      </c>
    </row>
    <row r="185">
      <c r="A185" t="inlineStr">
        <is>
          <t>g4tzet</t>
        </is>
      </c>
      <c r="B185" t="inlineStr">
        <is>
          <t>Gael Henrique Farias</t>
        </is>
      </c>
      <c r="C185" s="6" t="n">
        <v>0.8298</v>
      </c>
      <c r="D185" s="6" t="n">
        <v>0.2366</v>
      </c>
      <c r="E185" s="6" t="n">
        <v>0.7223000000000001</v>
      </c>
      <c r="F185" s="6" t="n">
        <v>0.6697</v>
      </c>
      <c r="G185" s="6" t="n">
        <v>0.3304</v>
      </c>
      <c r="H185" s="6" t="n">
        <v>0.786</v>
      </c>
      <c r="I185" s="6" t="n">
        <v>0.8474</v>
      </c>
      <c r="J185" s="6" t="n">
        <v>0.6025</v>
      </c>
      <c r="K185" s="6" t="n">
        <v>0.4338</v>
      </c>
      <c r="L185" s="7">
        <f>Mecanismos!B2*C185</f>
        <v/>
      </c>
      <c r="M185" s="7">
        <f>Mecanismos!B7*D185</f>
        <v/>
      </c>
      <c r="N185" s="7">
        <f>Mecanismos!B4*(1-E185)</f>
        <v/>
      </c>
      <c r="O185" s="7">
        <f>Mecanismos!B5*(1-F185)</f>
        <v/>
      </c>
      <c r="P185" s="7">
        <f>Mecanismos!B6*(1-I185)</f>
        <v/>
      </c>
      <c r="Q185" s="7">
        <f>Mecanismos!B9*(1-G185)</f>
        <v/>
      </c>
      <c r="R185" s="7">
        <f>Mecanismos!B3*(1-D185)</f>
        <v/>
      </c>
      <c r="S185" s="7">
        <f>Mecanismos!B9*(1-J185)</f>
        <v/>
      </c>
      <c r="T185" s="7">
        <f>Mecanismos!B8*H185</f>
        <v/>
      </c>
      <c r="U185" s="7">
        <f>Mecanismos!B10*H185</f>
        <v/>
      </c>
      <c r="V185" s="7">
        <f>Mecanismos!B8*K185</f>
        <v/>
      </c>
      <c r="W185" s="7">
        <f>SUM(L185:S185)</f>
        <v/>
      </c>
      <c r="X185" s="7">
        <f>SUM(T185:V185)</f>
        <v/>
      </c>
      <c r="Y185" s="8">
        <f>MAX(0,MIN(1,Parametros!B2-W185*Parametros!B3+X185*Parametros!B4))</f>
        <v/>
      </c>
    </row>
    <row r="186">
      <c r="A186" t="inlineStr">
        <is>
          <t>wf78vw</t>
        </is>
      </c>
      <c r="B186" t="inlineStr">
        <is>
          <t>Gael Henrique Pires</t>
        </is>
      </c>
      <c r="C186" s="6" t="n">
        <v>0.4872</v>
      </c>
      <c r="D186" s="6" t="n">
        <v>0.2855</v>
      </c>
      <c r="E186" s="6" t="n">
        <v>0.4253</v>
      </c>
      <c r="F186" s="6" t="n">
        <v>0.6052999999999999</v>
      </c>
      <c r="G186" s="6" t="n">
        <v>0.5078</v>
      </c>
      <c r="H186" s="6" t="n">
        <v>0.6935</v>
      </c>
      <c r="I186" s="6" t="n">
        <v>0.644</v>
      </c>
      <c r="J186" s="6" t="n">
        <v>0.9287</v>
      </c>
      <c r="K186" s="6" t="n">
        <v>0.5108</v>
      </c>
      <c r="L186" s="7">
        <f>Mecanismos!B2*C186</f>
        <v/>
      </c>
      <c r="M186" s="7">
        <f>Mecanismos!B7*D186</f>
        <v/>
      </c>
      <c r="N186" s="7">
        <f>Mecanismos!B4*(1-E186)</f>
        <v/>
      </c>
      <c r="O186" s="7">
        <f>Mecanismos!B5*(1-F186)</f>
        <v/>
      </c>
      <c r="P186" s="7">
        <f>Mecanismos!B6*(1-I186)</f>
        <v/>
      </c>
      <c r="Q186" s="7">
        <f>Mecanismos!B9*(1-G186)</f>
        <v/>
      </c>
      <c r="R186" s="7">
        <f>Mecanismos!B3*(1-D186)</f>
        <v/>
      </c>
      <c r="S186" s="7">
        <f>Mecanismos!B9*(1-J186)</f>
        <v/>
      </c>
      <c r="T186" s="7">
        <f>Mecanismos!B8*H186</f>
        <v/>
      </c>
      <c r="U186" s="7">
        <f>Mecanismos!B10*H186</f>
        <v/>
      </c>
      <c r="V186" s="7">
        <f>Mecanismos!B8*K186</f>
        <v/>
      </c>
      <c r="W186" s="7">
        <f>SUM(L186:S186)</f>
        <v/>
      </c>
      <c r="X186" s="7">
        <f>SUM(T186:V186)</f>
        <v/>
      </c>
      <c r="Y186" s="8">
        <f>MAX(0,MIN(1,Parametros!B2-W186*Parametros!B3+X186*Parametros!B4))</f>
        <v/>
      </c>
    </row>
    <row r="187">
      <c r="A187" t="inlineStr">
        <is>
          <t>z18mn8</t>
        </is>
      </c>
      <c r="B187" t="inlineStr">
        <is>
          <t>Gael Henrique da Conceição</t>
        </is>
      </c>
      <c r="C187" s="6" t="n">
        <v>0.658</v>
      </c>
      <c r="D187" s="6" t="n">
        <v>0.7043</v>
      </c>
      <c r="E187" s="6" t="n">
        <v>0.4683</v>
      </c>
      <c r="F187" s="6" t="n">
        <v>0.5901</v>
      </c>
      <c r="G187" s="6" t="n">
        <v>0.7228</v>
      </c>
      <c r="H187" s="6" t="n">
        <v>0.5797</v>
      </c>
      <c r="I187" s="6" t="n">
        <v>0.7323</v>
      </c>
      <c r="J187" s="6" t="n">
        <v>0.8562</v>
      </c>
      <c r="K187" s="6" t="n">
        <v>0.3559</v>
      </c>
      <c r="L187" s="7">
        <f>Mecanismos!B2*C187</f>
        <v/>
      </c>
      <c r="M187" s="7">
        <f>Mecanismos!B7*D187</f>
        <v/>
      </c>
      <c r="N187" s="7">
        <f>Mecanismos!B4*(1-E187)</f>
        <v/>
      </c>
      <c r="O187" s="7">
        <f>Mecanismos!B5*(1-F187)</f>
        <v/>
      </c>
      <c r="P187" s="7">
        <f>Mecanismos!B6*(1-I187)</f>
        <v/>
      </c>
      <c r="Q187" s="7">
        <f>Mecanismos!B9*(1-G187)</f>
        <v/>
      </c>
      <c r="R187" s="7">
        <f>Mecanismos!B3*(1-D187)</f>
        <v/>
      </c>
      <c r="S187" s="7">
        <f>Mecanismos!B9*(1-J187)</f>
        <v/>
      </c>
      <c r="T187" s="7">
        <f>Mecanismos!B8*H187</f>
        <v/>
      </c>
      <c r="U187" s="7">
        <f>Mecanismos!B10*H187</f>
        <v/>
      </c>
      <c r="V187" s="7">
        <f>Mecanismos!B8*K187</f>
        <v/>
      </c>
      <c r="W187" s="7">
        <f>SUM(L187:S187)</f>
        <v/>
      </c>
      <c r="X187" s="7">
        <f>SUM(T187:V187)</f>
        <v/>
      </c>
      <c r="Y187" s="8">
        <f>MAX(0,MIN(1,Parametros!B2-W187*Parametros!B3+X187*Parametros!B4))</f>
        <v/>
      </c>
    </row>
    <row r="188">
      <c r="A188" t="inlineStr">
        <is>
          <t>y8ewkd</t>
        </is>
      </c>
      <c r="B188" t="inlineStr">
        <is>
          <t>Gael Viana</t>
        </is>
      </c>
      <c r="C188" s="6" t="n">
        <v>0.7963</v>
      </c>
      <c r="D188" s="6" t="n">
        <v>0.4547</v>
      </c>
      <c r="E188" s="6" t="n">
        <v>0.5152</v>
      </c>
      <c r="F188" s="6" t="n">
        <v>0.5094</v>
      </c>
      <c r="G188" s="6" t="n">
        <v>0.4649</v>
      </c>
      <c r="H188" s="6" t="n">
        <v>0.4168</v>
      </c>
      <c r="I188" s="6" t="n">
        <v>0.2887</v>
      </c>
      <c r="J188" s="6" t="n">
        <v>0.8863</v>
      </c>
      <c r="K188" s="6" t="n">
        <v>0.3803</v>
      </c>
      <c r="L188" s="7">
        <f>Mecanismos!B2*C188</f>
        <v/>
      </c>
      <c r="M188" s="7">
        <f>Mecanismos!B7*D188</f>
        <v/>
      </c>
      <c r="N188" s="7">
        <f>Mecanismos!B4*(1-E188)</f>
        <v/>
      </c>
      <c r="O188" s="7">
        <f>Mecanismos!B5*(1-F188)</f>
        <v/>
      </c>
      <c r="P188" s="7">
        <f>Mecanismos!B6*(1-I188)</f>
        <v/>
      </c>
      <c r="Q188" s="7">
        <f>Mecanismos!B9*(1-G188)</f>
        <v/>
      </c>
      <c r="R188" s="7">
        <f>Mecanismos!B3*(1-D188)</f>
        <v/>
      </c>
      <c r="S188" s="7">
        <f>Mecanismos!B9*(1-J188)</f>
        <v/>
      </c>
      <c r="T188" s="7">
        <f>Mecanismos!B8*H188</f>
        <v/>
      </c>
      <c r="U188" s="7">
        <f>Mecanismos!B10*H188</f>
        <v/>
      </c>
      <c r="V188" s="7">
        <f>Mecanismos!B8*K188</f>
        <v/>
      </c>
      <c r="W188" s="7">
        <f>SUM(L188:S188)</f>
        <v/>
      </c>
      <c r="X188" s="7">
        <f>SUM(T188:V188)</f>
        <v/>
      </c>
      <c r="Y188" s="8">
        <f>MAX(0,MIN(1,Parametros!B2-W188*Parametros!B3+X188*Parametros!B4))</f>
        <v/>
      </c>
    </row>
    <row r="189">
      <c r="A189" t="inlineStr">
        <is>
          <t>lbj4wj</t>
        </is>
      </c>
      <c r="B189" t="inlineStr">
        <is>
          <t>Giovanna Vargas</t>
        </is>
      </c>
      <c r="C189" s="6" t="n">
        <v>0.6908</v>
      </c>
      <c r="D189" s="6" t="n">
        <v>0.3116</v>
      </c>
      <c r="E189" s="6" t="n">
        <v>0.5968</v>
      </c>
      <c r="F189" s="6" t="n">
        <v>0.5397999999999999</v>
      </c>
      <c r="G189" s="6" t="n">
        <v>0.5322</v>
      </c>
      <c r="H189" s="6" t="n">
        <v>0.5702</v>
      </c>
      <c r="I189" s="6" t="n">
        <v>0.4549</v>
      </c>
      <c r="J189" s="6" t="n">
        <v>0.7037</v>
      </c>
      <c r="K189" s="6" t="n">
        <v>0.3317</v>
      </c>
      <c r="L189" s="7">
        <f>Mecanismos!B2*C189</f>
        <v/>
      </c>
      <c r="M189" s="7">
        <f>Mecanismos!B7*D189</f>
        <v/>
      </c>
      <c r="N189" s="7">
        <f>Mecanismos!B4*(1-E189)</f>
        <v/>
      </c>
      <c r="O189" s="7">
        <f>Mecanismos!B5*(1-F189)</f>
        <v/>
      </c>
      <c r="P189" s="7">
        <f>Mecanismos!B6*(1-I189)</f>
        <v/>
      </c>
      <c r="Q189" s="7">
        <f>Mecanismos!B9*(1-G189)</f>
        <v/>
      </c>
      <c r="R189" s="7">
        <f>Mecanismos!B3*(1-D189)</f>
        <v/>
      </c>
      <c r="S189" s="7">
        <f>Mecanismos!B9*(1-J189)</f>
        <v/>
      </c>
      <c r="T189" s="7">
        <f>Mecanismos!B8*H189</f>
        <v/>
      </c>
      <c r="U189" s="7">
        <f>Mecanismos!B10*H189</f>
        <v/>
      </c>
      <c r="V189" s="7">
        <f>Mecanismos!B8*K189</f>
        <v/>
      </c>
      <c r="W189" s="7">
        <f>SUM(L189:S189)</f>
        <v/>
      </c>
      <c r="X189" s="7">
        <f>SUM(T189:V189)</f>
        <v/>
      </c>
      <c r="Y189" s="8">
        <f>MAX(0,MIN(1,Parametros!B2-W189*Parametros!B3+X189*Parametros!B4))</f>
        <v/>
      </c>
    </row>
    <row r="190">
      <c r="A190" t="inlineStr">
        <is>
          <t>oopua6</t>
        </is>
      </c>
      <c r="B190" t="inlineStr">
        <is>
          <t>Giovanna da Paz</t>
        </is>
      </c>
      <c r="C190" s="6" t="n">
        <v>0.4563</v>
      </c>
      <c r="D190" s="6" t="n">
        <v>0.5099</v>
      </c>
      <c r="E190" s="6" t="n">
        <v>0.4412</v>
      </c>
      <c r="F190" s="6" t="n">
        <v>0.6755</v>
      </c>
      <c r="G190" s="6" t="n">
        <v>0.4023</v>
      </c>
      <c r="H190" s="6" t="n">
        <v>0.2423</v>
      </c>
      <c r="I190" s="6" t="n">
        <v>0.7765</v>
      </c>
      <c r="J190" s="6" t="n">
        <v>0.7891</v>
      </c>
      <c r="K190" s="6" t="n">
        <v>0.6212</v>
      </c>
      <c r="L190" s="7">
        <f>Mecanismos!B2*C190</f>
        <v/>
      </c>
      <c r="M190" s="7">
        <f>Mecanismos!B7*D190</f>
        <v/>
      </c>
      <c r="N190" s="7">
        <f>Mecanismos!B4*(1-E190)</f>
        <v/>
      </c>
      <c r="O190" s="7">
        <f>Mecanismos!B5*(1-F190)</f>
        <v/>
      </c>
      <c r="P190" s="7">
        <f>Mecanismos!B6*(1-I190)</f>
        <v/>
      </c>
      <c r="Q190" s="7">
        <f>Mecanismos!B9*(1-G190)</f>
        <v/>
      </c>
      <c r="R190" s="7">
        <f>Mecanismos!B3*(1-D190)</f>
        <v/>
      </c>
      <c r="S190" s="7">
        <f>Mecanismos!B9*(1-J190)</f>
        <v/>
      </c>
      <c r="T190" s="7">
        <f>Mecanismos!B8*H190</f>
        <v/>
      </c>
      <c r="U190" s="7">
        <f>Mecanismos!B10*H190</f>
        <v/>
      </c>
      <c r="V190" s="7">
        <f>Mecanismos!B8*K190</f>
        <v/>
      </c>
      <c r="W190" s="7">
        <f>SUM(L190:S190)</f>
        <v/>
      </c>
      <c r="X190" s="7">
        <f>SUM(T190:V190)</f>
        <v/>
      </c>
      <c r="Y190" s="8">
        <f>MAX(0,MIN(1,Parametros!B2-W190*Parametros!B3+X190*Parametros!B4))</f>
        <v/>
      </c>
    </row>
    <row r="191">
      <c r="A191" t="inlineStr">
        <is>
          <t>0lgt20</t>
        </is>
      </c>
      <c r="B191" t="inlineStr">
        <is>
          <t>Guilherme Nogueira</t>
        </is>
      </c>
      <c r="C191" s="6" t="n">
        <v>0.6585</v>
      </c>
      <c r="D191" s="6" t="n">
        <v>0.5481</v>
      </c>
      <c r="E191" s="6" t="n">
        <v>0.4322</v>
      </c>
      <c r="F191" s="6" t="n">
        <v>0.5885</v>
      </c>
      <c r="G191" s="6" t="n">
        <v>0.4486</v>
      </c>
      <c r="H191" s="6" t="n">
        <v>0.4098</v>
      </c>
      <c r="I191" s="6" t="n">
        <v>0.4092</v>
      </c>
      <c r="J191" s="6" t="n">
        <v>0.7171</v>
      </c>
      <c r="K191" s="6" t="n">
        <v>0.6754</v>
      </c>
      <c r="L191" s="7">
        <f>Mecanismos!B2*C191</f>
        <v/>
      </c>
      <c r="M191" s="7">
        <f>Mecanismos!B7*D191</f>
        <v/>
      </c>
      <c r="N191" s="7">
        <f>Mecanismos!B4*(1-E191)</f>
        <v/>
      </c>
      <c r="O191" s="7">
        <f>Mecanismos!B5*(1-F191)</f>
        <v/>
      </c>
      <c r="P191" s="7">
        <f>Mecanismos!B6*(1-I191)</f>
        <v/>
      </c>
      <c r="Q191" s="7">
        <f>Mecanismos!B9*(1-G191)</f>
        <v/>
      </c>
      <c r="R191" s="7">
        <f>Mecanismos!B3*(1-D191)</f>
        <v/>
      </c>
      <c r="S191" s="7">
        <f>Mecanismos!B9*(1-J191)</f>
        <v/>
      </c>
      <c r="T191" s="7">
        <f>Mecanismos!B8*H191</f>
        <v/>
      </c>
      <c r="U191" s="7">
        <f>Mecanismos!B10*H191</f>
        <v/>
      </c>
      <c r="V191" s="7">
        <f>Mecanismos!B8*K191</f>
        <v/>
      </c>
      <c r="W191" s="7">
        <f>SUM(L191:S191)</f>
        <v/>
      </c>
      <c r="X191" s="7">
        <f>SUM(T191:V191)</f>
        <v/>
      </c>
      <c r="Y191" s="8">
        <f>MAX(0,MIN(1,Parametros!B2-W191*Parametros!B3+X191*Parametros!B4))</f>
        <v/>
      </c>
    </row>
    <row r="192">
      <c r="A192" t="inlineStr">
        <is>
          <t>mag8dk</t>
        </is>
      </c>
      <c r="B192" t="inlineStr">
        <is>
          <t>Guilherme da Cunha</t>
        </is>
      </c>
      <c r="C192" s="6" t="n">
        <v>0.535</v>
      </c>
      <c r="D192" s="6" t="n">
        <v>0.4636</v>
      </c>
      <c r="E192" s="6" t="n">
        <v>0.6252</v>
      </c>
      <c r="F192" s="6" t="n">
        <v>0.4506</v>
      </c>
      <c r="G192" s="6" t="n">
        <v>0.2614</v>
      </c>
      <c r="H192" s="6" t="n">
        <v>0.5764</v>
      </c>
      <c r="I192" s="6" t="n">
        <v>0.3641</v>
      </c>
      <c r="J192" s="6" t="n">
        <v>0.8734</v>
      </c>
      <c r="K192" s="6" t="n">
        <v>0.6477000000000001</v>
      </c>
      <c r="L192" s="7">
        <f>Mecanismos!B2*C192</f>
        <v/>
      </c>
      <c r="M192" s="7">
        <f>Mecanismos!B7*D192</f>
        <v/>
      </c>
      <c r="N192" s="7">
        <f>Mecanismos!B4*(1-E192)</f>
        <v/>
      </c>
      <c r="O192" s="7">
        <f>Mecanismos!B5*(1-F192)</f>
        <v/>
      </c>
      <c r="P192" s="7">
        <f>Mecanismos!B6*(1-I192)</f>
        <v/>
      </c>
      <c r="Q192" s="7">
        <f>Mecanismos!B9*(1-G192)</f>
        <v/>
      </c>
      <c r="R192" s="7">
        <f>Mecanismos!B3*(1-D192)</f>
        <v/>
      </c>
      <c r="S192" s="7">
        <f>Mecanismos!B9*(1-J192)</f>
        <v/>
      </c>
      <c r="T192" s="7">
        <f>Mecanismos!B8*H192</f>
        <v/>
      </c>
      <c r="U192" s="7">
        <f>Mecanismos!B10*H192</f>
        <v/>
      </c>
      <c r="V192" s="7">
        <f>Mecanismos!B8*K192</f>
        <v/>
      </c>
      <c r="W192" s="7">
        <f>SUM(L192:S192)</f>
        <v/>
      </c>
      <c r="X192" s="7">
        <f>SUM(T192:V192)</f>
        <v/>
      </c>
      <c r="Y192" s="8">
        <f>MAX(0,MIN(1,Parametros!B2-W192*Parametros!B3+X192*Parametros!B4))</f>
        <v/>
      </c>
    </row>
    <row r="193">
      <c r="A193" t="inlineStr">
        <is>
          <t>t8voee</t>
        </is>
      </c>
      <c r="B193" t="inlineStr">
        <is>
          <t>Guilherme da Mota</t>
        </is>
      </c>
      <c r="C193" s="6" t="n">
        <v>0.7054</v>
      </c>
      <c r="D193" s="6" t="n">
        <v>0.5197000000000001</v>
      </c>
      <c r="E193" s="6" t="n">
        <v>0.6383</v>
      </c>
      <c r="F193" s="6" t="n">
        <v>0.3927</v>
      </c>
      <c r="G193" s="6" t="n">
        <v>0.2304</v>
      </c>
      <c r="H193" s="6" t="n">
        <v>0.4844</v>
      </c>
      <c r="I193" s="6" t="n">
        <v>0.441</v>
      </c>
      <c r="J193" s="6" t="n">
        <v>0.5333</v>
      </c>
      <c r="K193" s="6" t="n">
        <v>0.3607</v>
      </c>
      <c r="L193" s="7">
        <f>Mecanismos!B2*C193</f>
        <v/>
      </c>
      <c r="M193" s="7">
        <f>Mecanismos!B7*D193</f>
        <v/>
      </c>
      <c r="N193" s="7">
        <f>Mecanismos!B4*(1-E193)</f>
        <v/>
      </c>
      <c r="O193" s="7">
        <f>Mecanismos!B5*(1-F193)</f>
        <v/>
      </c>
      <c r="P193" s="7">
        <f>Mecanismos!B6*(1-I193)</f>
        <v/>
      </c>
      <c r="Q193" s="7">
        <f>Mecanismos!B9*(1-G193)</f>
        <v/>
      </c>
      <c r="R193" s="7">
        <f>Mecanismos!B3*(1-D193)</f>
        <v/>
      </c>
      <c r="S193" s="7">
        <f>Mecanismos!B9*(1-J193)</f>
        <v/>
      </c>
      <c r="T193" s="7">
        <f>Mecanismos!B8*H193</f>
        <v/>
      </c>
      <c r="U193" s="7">
        <f>Mecanismos!B10*H193</f>
        <v/>
      </c>
      <c r="V193" s="7">
        <f>Mecanismos!B8*K193</f>
        <v/>
      </c>
      <c r="W193" s="7">
        <f>SUM(L193:S193)</f>
        <v/>
      </c>
      <c r="X193" s="7">
        <f>SUM(T193:V193)</f>
        <v/>
      </c>
      <c r="Y193" s="8">
        <f>MAX(0,MIN(1,Parametros!B2-W193*Parametros!B3+X193*Parametros!B4))</f>
        <v/>
      </c>
    </row>
    <row r="194">
      <c r="A194" t="inlineStr">
        <is>
          <t>5jgmy4</t>
        </is>
      </c>
      <c r="B194" t="inlineStr">
        <is>
          <t>Gustavo Henrique Casa Grande</t>
        </is>
      </c>
      <c r="C194" s="6" t="n">
        <v>0.6082</v>
      </c>
      <c r="D194" s="6" t="n">
        <v>0.4196</v>
      </c>
      <c r="E194" s="6" t="n">
        <v>0.4128</v>
      </c>
      <c r="F194" s="6" t="n">
        <v>0.5403</v>
      </c>
      <c r="G194" s="6" t="n">
        <v>0.617</v>
      </c>
      <c r="H194" s="6" t="n">
        <v>0.6831</v>
      </c>
      <c r="I194" s="6" t="n">
        <v>0.8051</v>
      </c>
      <c r="J194" s="6" t="n">
        <v>0.9350000000000001</v>
      </c>
      <c r="K194" s="6" t="n">
        <v>0.7941</v>
      </c>
      <c r="L194" s="7">
        <f>Mecanismos!B2*C194</f>
        <v/>
      </c>
      <c r="M194" s="7">
        <f>Mecanismos!B7*D194</f>
        <v/>
      </c>
      <c r="N194" s="7">
        <f>Mecanismos!B4*(1-E194)</f>
        <v/>
      </c>
      <c r="O194" s="7">
        <f>Mecanismos!B5*(1-F194)</f>
        <v/>
      </c>
      <c r="P194" s="7">
        <f>Mecanismos!B6*(1-I194)</f>
        <v/>
      </c>
      <c r="Q194" s="7">
        <f>Mecanismos!B9*(1-G194)</f>
        <v/>
      </c>
      <c r="R194" s="7">
        <f>Mecanismos!B3*(1-D194)</f>
        <v/>
      </c>
      <c r="S194" s="7">
        <f>Mecanismos!B9*(1-J194)</f>
        <v/>
      </c>
      <c r="T194" s="7">
        <f>Mecanismos!B8*H194</f>
        <v/>
      </c>
      <c r="U194" s="7">
        <f>Mecanismos!B10*H194</f>
        <v/>
      </c>
      <c r="V194" s="7">
        <f>Mecanismos!B8*K194</f>
        <v/>
      </c>
      <c r="W194" s="7">
        <f>SUM(L194:S194)</f>
        <v/>
      </c>
      <c r="X194" s="7">
        <f>SUM(T194:V194)</f>
        <v/>
      </c>
      <c r="Y194" s="8">
        <f>MAX(0,MIN(1,Parametros!B2-W194*Parametros!B3+X194*Parametros!B4))</f>
        <v/>
      </c>
    </row>
    <row r="195">
      <c r="A195" t="inlineStr">
        <is>
          <t>k5kf1k</t>
        </is>
      </c>
      <c r="B195" t="inlineStr">
        <is>
          <t>Gustavo Henrique Nascimento</t>
        </is>
      </c>
      <c r="C195" s="6" t="n">
        <v>0.6402</v>
      </c>
      <c r="D195" s="6" t="n">
        <v>0.522</v>
      </c>
      <c r="E195" s="6" t="n">
        <v>0.4418</v>
      </c>
      <c r="F195" s="6" t="n">
        <v>0.5135999999999999</v>
      </c>
      <c r="G195" s="6" t="n">
        <v>0.6976</v>
      </c>
      <c r="H195" s="6" t="n">
        <v>0.6752</v>
      </c>
      <c r="I195" s="6" t="n">
        <v>0.858</v>
      </c>
      <c r="J195" s="6" t="n">
        <v>0.8907</v>
      </c>
      <c r="K195" s="6" t="n">
        <v>0.4073</v>
      </c>
      <c r="L195" s="7">
        <f>Mecanismos!B2*C195</f>
        <v/>
      </c>
      <c r="M195" s="7">
        <f>Mecanismos!B7*D195</f>
        <v/>
      </c>
      <c r="N195" s="7">
        <f>Mecanismos!B4*(1-E195)</f>
        <v/>
      </c>
      <c r="O195" s="7">
        <f>Mecanismos!B5*(1-F195)</f>
        <v/>
      </c>
      <c r="P195" s="7">
        <f>Mecanismos!B6*(1-I195)</f>
        <v/>
      </c>
      <c r="Q195" s="7">
        <f>Mecanismos!B9*(1-G195)</f>
        <v/>
      </c>
      <c r="R195" s="7">
        <f>Mecanismos!B3*(1-D195)</f>
        <v/>
      </c>
      <c r="S195" s="7">
        <f>Mecanismos!B9*(1-J195)</f>
        <v/>
      </c>
      <c r="T195" s="7">
        <f>Mecanismos!B8*H195</f>
        <v/>
      </c>
      <c r="U195" s="7">
        <f>Mecanismos!B10*H195</f>
        <v/>
      </c>
      <c r="V195" s="7">
        <f>Mecanismos!B8*K195</f>
        <v/>
      </c>
      <c r="W195" s="7">
        <f>SUM(L195:S195)</f>
        <v/>
      </c>
      <c r="X195" s="7">
        <f>SUM(T195:V195)</f>
        <v/>
      </c>
      <c r="Y195" s="8">
        <f>MAX(0,MIN(1,Parametros!B2-W195*Parametros!B3+X195*Parametros!B4))</f>
        <v/>
      </c>
    </row>
    <row r="196">
      <c r="A196" t="inlineStr">
        <is>
          <t>dvo4ea</t>
        </is>
      </c>
      <c r="B196" t="inlineStr">
        <is>
          <t>Hadassa Aragão</t>
        </is>
      </c>
      <c r="C196" s="6" t="n">
        <v>0.621</v>
      </c>
      <c r="D196" s="6" t="n">
        <v>0.6121</v>
      </c>
      <c r="E196" s="6" t="n">
        <v>0.4546</v>
      </c>
      <c r="F196" s="6" t="n">
        <v>0.3315</v>
      </c>
      <c r="G196" s="6" t="n">
        <v>0.4153</v>
      </c>
      <c r="H196" s="6" t="n">
        <v>0.5407999999999999</v>
      </c>
      <c r="I196" s="6" t="n">
        <v>0.5194</v>
      </c>
      <c r="J196" s="6" t="n">
        <v>0.8465</v>
      </c>
      <c r="K196" s="6" t="n">
        <v>0.662</v>
      </c>
      <c r="L196" s="7">
        <f>Mecanismos!B2*C196</f>
        <v/>
      </c>
      <c r="M196" s="7">
        <f>Mecanismos!B7*D196</f>
        <v/>
      </c>
      <c r="N196" s="7">
        <f>Mecanismos!B4*(1-E196)</f>
        <v/>
      </c>
      <c r="O196" s="7">
        <f>Mecanismos!B5*(1-F196)</f>
        <v/>
      </c>
      <c r="P196" s="7">
        <f>Mecanismos!B6*(1-I196)</f>
        <v/>
      </c>
      <c r="Q196" s="7">
        <f>Mecanismos!B9*(1-G196)</f>
        <v/>
      </c>
      <c r="R196" s="7">
        <f>Mecanismos!B3*(1-D196)</f>
        <v/>
      </c>
      <c r="S196" s="7">
        <f>Mecanismos!B9*(1-J196)</f>
        <v/>
      </c>
      <c r="T196" s="7">
        <f>Mecanismos!B8*H196</f>
        <v/>
      </c>
      <c r="U196" s="7">
        <f>Mecanismos!B10*H196</f>
        <v/>
      </c>
      <c r="V196" s="7">
        <f>Mecanismos!B8*K196</f>
        <v/>
      </c>
      <c r="W196" s="7">
        <f>SUM(L196:S196)</f>
        <v/>
      </c>
      <c r="X196" s="7">
        <f>SUM(T196:V196)</f>
        <v/>
      </c>
      <c r="Y196" s="8">
        <f>MAX(0,MIN(1,Parametros!B2-W196*Parametros!B3+X196*Parametros!B4))</f>
        <v/>
      </c>
    </row>
    <row r="197">
      <c r="A197" t="inlineStr">
        <is>
          <t>hwjnhv</t>
        </is>
      </c>
      <c r="B197" t="inlineStr">
        <is>
          <t>Hadassa Cavalcanti</t>
        </is>
      </c>
      <c r="C197" s="6" t="n">
        <v>0.5544</v>
      </c>
      <c r="D197" s="6" t="n">
        <v>0.4624</v>
      </c>
      <c r="E197" s="6" t="n">
        <v>0.6315</v>
      </c>
      <c r="F197" s="6" t="n">
        <v>0.5324</v>
      </c>
      <c r="G197" s="6" t="n">
        <v>0.3748</v>
      </c>
      <c r="H197" s="6" t="n">
        <v>0.5144</v>
      </c>
      <c r="I197" s="6" t="n">
        <v>0.3579</v>
      </c>
      <c r="J197" s="6" t="n">
        <v>0.6278</v>
      </c>
      <c r="K197" s="6" t="n">
        <v>0.3358</v>
      </c>
      <c r="L197" s="7">
        <f>Mecanismos!B2*C197</f>
        <v/>
      </c>
      <c r="M197" s="7">
        <f>Mecanismos!B7*D197</f>
        <v/>
      </c>
      <c r="N197" s="7">
        <f>Mecanismos!B4*(1-E197)</f>
        <v/>
      </c>
      <c r="O197" s="7">
        <f>Mecanismos!B5*(1-F197)</f>
        <v/>
      </c>
      <c r="P197" s="7">
        <f>Mecanismos!B6*(1-I197)</f>
        <v/>
      </c>
      <c r="Q197" s="7">
        <f>Mecanismos!B9*(1-G197)</f>
        <v/>
      </c>
      <c r="R197" s="7">
        <f>Mecanismos!B3*(1-D197)</f>
        <v/>
      </c>
      <c r="S197" s="7">
        <f>Mecanismos!B9*(1-J197)</f>
        <v/>
      </c>
      <c r="T197" s="7">
        <f>Mecanismos!B8*H197</f>
        <v/>
      </c>
      <c r="U197" s="7">
        <f>Mecanismos!B10*H197</f>
        <v/>
      </c>
      <c r="V197" s="7">
        <f>Mecanismos!B8*K197</f>
        <v/>
      </c>
      <c r="W197" s="7">
        <f>SUM(L197:S197)</f>
        <v/>
      </c>
      <c r="X197" s="7">
        <f>SUM(T197:V197)</f>
        <v/>
      </c>
      <c r="Y197" s="8">
        <f>MAX(0,MIN(1,Parametros!B2-W197*Parametros!B3+X197*Parametros!B4))</f>
        <v/>
      </c>
    </row>
    <row r="198">
      <c r="A198" t="inlineStr">
        <is>
          <t>29kjj6</t>
        </is>
      </c>
      <c r="B198" t="inlineStr">
        <is>
          <t>Hadassa Guerra</t>
        </is>
      </c>
      <c r="C198" s="6" t="n">
        <v>0.4976</v>
      </c>
      <c r="D198" s="6" t="n">
        <v>0.5619</v>
      </c>
      <c r="E198" s="6" t="n">
        <v>0.4157</v>
      </c>
      <c r="F198" s="6" t="n">
        <v>0.5803</v>
      </c>
      <c r="G198" s="6" t="n">
        <v>0.6339</v>
      </c>
      <c r="H198" s="6" t="n">
        <v>0.7173</v>
      </c>
      <c r="I198" s="6" t="n">
        <v>0.5600000000000001</v>
      </c>
      <c r="J198" s="6" t="n">
        <v>0.7428</v>
      </c>
      <c r="K198" s="6" t="n">
        <v>0.1475</v>
      </c>
      <c r="L198" s="7">
        <f>Mecanismos!B2*C198</f>
        <v/>
      </c>
      <c r="M198" s="7">
        <f>Mecanismos!B7*D198</f>
        <v/>
      </c>
      <c r="N198" s="7">
        <f>Mecanismos!B4*(1-E198)</f>
        <v/>
      </c>
      <c r="O198" s="7">
        <f>Mecanismos!B5*(1-F198)</f>
        <v/>
      </c>
      <c r="P198" s="7">
        <f>Mecanismos!B6*(1-I198)</f>
        <v/>
      </c>
      <c r="Q198" s="7">
        <f>Mecanismos!B9*(1-G198)</f>
        <v/>
      </c>
      <c r="R198" s="7">
        <f>Mecanismos!B3*(1-D198)</f>
        <v/>
      </c>
      <c r="S198" s="7">
        <f>Mecanismos!B9*(1-J198)</f>
        <v/>
      </c>
      <c r="T198" s="7">
        <f>Mecanismos!B8*H198</f>
        <v/>
      </c>
      <c r="U198" s="7">
        <f>Mecanismos!B10*H198</f>
        <v/>
      </c>
      <c r="V198" s="7">
        <f>Mecanismos!B8*K198</f>
        <v/>
      </c>
      <c r="W198" s="7">
        <f>SUM(L198:S198)</f>
        <v/>
      </c>
      <c r="X198" s="7">
        <f>SUM(T198:V198)</f>
        <v/>
      </c>
      <c r="Y198" s="8">
        <f>MAX(0,MIN(1,Parametros!B2-W198*Parametros!B3+X198*Parametros!B4))</f>
        <v/>
      </c>
    </row>
    <row r="199">
      <c r="A199" t="inlineStr">
        <is>
          <t>gqkwf0</t>
        </is>
      </c>
      <c r="B199" t="inlineStr">
        <is>
          <t>Heitor Fernandes</t>
        </is>
      </c>
      <c r="C199" s="6" t="n">
        <v>0.431</v>
      </c>
      <c r="D199" s="6" t="n">
        <v>0.5562</v>
      </c>
      <c r="E199" s="6" t="n">
        <v>0.7052</v>
      </c>
      <c r="F199" s="6" t="n">
        <v>0.5845</v>
      </c>
      <c r="G199" s="6" t="n">
        <v>0.4201</v>
      </c>
      <c r="H199" s="6" t="n">
        <v>0.7914</v>
      </c>
      <c r="I199" s="6" t="n">
        <v>0.5620000000000001</v>
      </c>
      <c r="J199" s="6" t="n">
        <v>0.9266</v>
      </c>
      <c r="K199" s="6" t="n">
        <v>0.548</v>
      </c>
      <c r="L199" s="7">
        <f>Mecanismos!B2*C199</f>
        <v/>
      </c>
      <c r="M199" s="7">
        <f>Mecanismos!B7*D199</f>
        <v/>
      </c>
      <c r="N199" s="7">
        <f>Mecanismos!B4*(1-E199)</f>
        <v/>
      </c>
      <c r="O199" s="7">
        <f>Mecanismos!B5*(1-F199)</f>
        <v/>
      </c>
      <c r="P199" s="7">
        <f>Mecanismos!B6*(1-I199)</f>
        <v/>
      </c>
      <c r="Q199" s="7">
        <f>Mecanismos!B9*(1-G199)</f>
        <v/>
      </c>
      <c r="R199" s="7">
        <f>Mecanismos!B3*(1-D199)</f>
        <v/>
      </c>
      <c r="S199" s="7">
        <f>Mecanismos!B9*(1-J199)</f>
        <v/>
      </c>
      <c r="T199" s="7">
        <f>Mecanismos!B8*H199</f>
        <v/>
      </c>
      <c r="U199" s="7">
        <f>Mecanismos!B10*H199</f>
        <v/>
      </c>
      <c r="V199" s="7">
        <f>Mecanismos!B8*K199</f>
        <v/>
      </c>
      <c r="W199" s="7">
        <f>SUM(L199:S199)</f>
        <v/>
      </c>
      <c r="X199" s="7">
        <f>SUM(T199:V199)</f>
        <v/>
      </c>
      <c r="Y199" s="8">
        <f>MAX(0,MIN(1,Parametros!B2-W199*Parametros!B3+X199*Parametros!B4))</f>
        <v/>
      </c>
    </row>
    <row r="200">
      <c r="A200" t="inlineStr">
        <is>
          <t>czi524</t>
        </is>
      </c>
      <c r="B200" t="inlineStr">
        <is>
          <t>Helena Alves</t>
        </is>
      </c>
      <c r="C200" s="6" t="n">
        <v>0.5009</v>
      </c>
      <c r="D200" s="6" t="n">
        <v>0.3282</v>
      </c>
      <c r="E200" s="6" t="n">
        <v>0.5810999999999999</v>
      </c>
      <c r="F200" s="6" t="n">
        <v>0.635</v>
      </c>
      <c r="G200" s="6" t="n">
        <v>0.5843</v>
      </c>
      <c r="H200" s="6" t="n">
        <v>0.5073</v>
      </c>
      <c r="I200" s="6" t="n">
        <v>0.3103</v>
      </c>
      <c r="J200" s="6" t="n">
        <v>0.6637999999999999</v>
      </c>
      <c r="K200" s="6" t="n">
        <v>0.9484</v>
      </c>
      <c r="L200" s="7">
        <f>Mecanismos!B2*C200</f>
        <v/>
      </c>
      <c r="M200" s="7">
        <f>Mecanismos!B7*D200</f>
        <v/>
      </c>
      <c r="N200" s="7">
        <f>Mecanismos!B4*(1-E200)</f>
        <v/>
      </c>
      <c r="O200" s="7">
        <f>Mecanismos!B5*(1-F200)</f>
        <v/>
      </c>
      <c r="P200" s="7">
        <f>Mecanismos!B6*(1-I200)</f>
        <v/>
      </c>
      <c r="Q200" s="7">
        <f>Mecanismos!B9*(1-G200)</f>
        <v/>
      </c>
      <c r="R200" s="7">
        <f>Mecanismos!B3*(1-D200)</f>
        <v/>
      </c>
      <c r="S200" s="7">
        <f>Mecanismos!B9*(1-J200)</f>
        <v/>
      </c>
      <c r="T200" s="7">
        <f>Mecanismos!B8*H200</f>
        <v/>
      </c>
      <c r="U200" s="7">
        <f>Mecanismos!B10*H200</f>
        <v/>
      </c>
      <c r="V200" s="7">
        <f>Mecanismos!B8*K200</f>
        <v/>
      </c>
      <c r="W200" s="7">
        <f>SUM(L200:S200)</f>
        <v/>
      </c>
      <c r="X200" s="7">
        <f>SUM(T200:V200)</f>
        <v/>
      </c>
      <c r="Y200" s="8">
        <f>MAX(0,MIN(1,Parametros!B2-W200*Parametros!B3+X200*Parametros!B4))</f>
        <v/>
      </c>
    </row>
    <row r="201">
      <c r="A201" t="inlineStr">
        <is>
          <t>sm9xby</t>
        </is>
      </c>
      <c r="B201" t="inlineStr">
        <is>
          <t>Hellena Azevedo</t>
        </is>
      </c>
      <c r="C201" s="6" t="n">
        <v>0.3541</v>
      </c>
      <c r="D201" s="6" t="n">
        <v>0.4415</v>
      </c>
      <c r="E201" s="6" t="n">
        <v>0.6659</v>
      </c>
      <c r="F201" s="6" t="n">
        <v>0.5256999999999999</v>
      </c>
      <c r="G201" s="6" t="n">
        <v>0.8468</v>
      </c>
      <c r="H201" s="6" t="n">
        <v>0.6321</v>
      </c>
      <c r="I201" s="6" t="n">
        <v>0.6273</v>
      </c>
      <c r="J201" s="6" t="n">
        <v>0.5875</v>
      </c>
      <c r="K201" s="6" t="n">
        <v>0.721</v>
      </c>
      <c r="L201" s="7">
        <f>Mecanismos!B2*C201</f>
        <v/>
      </c>
      <c r="M201" s="7">
        <f>Mecanismos!B7*D201</f>
        <v/>
      </c>
      <c r="N201" s="7">
        <f>Mecanismos!B4*(1-E201)</f>
        <v/>
      </c>
      <c r="O201" s="7">
        <f>Mecanismos!B5*(1-F201)</f>
        <v/>
      </c>
      <c r="P201" s="7">
        <f>Mecanismos!B6*(1-I201)</f>
        <v/>
      </c>
      <c r="Q201" s="7">
        <f>Mecanismos!B9*(1-G201)</f>
        <v/>
      </c>
      <c r="R201" s="7">
        <f>Mecanismos!B3*(1-D201)</f>
        <v/>
      </c>
      <c r="S201" s="7">
        <f>Mecanismos!B9*(1-J201)</f>
        <v/>
      </c>
      <c r="T201" s="7">
        <f>Mecanismos!B8*H201</f>
        <v/>
      </c>
      <c r="U201" s="7">
        <f>Mecanismos!B10*H201</f>
        <v/>
      </c>
      <c r="V201" s="7">
        <f>Mecanismos!B8*K201</f>
        <v/>
      </c>
      <c r="W201" s="7">
        <f>SUM(L201:S201)</f>
        <v/>
      </c>
      <c r="X201" s="7">
        <f>SUM(T201:V201)</f>
        <v/>
      </c>
      <c r="Y201" s="8">
        <f>MAX(0,MIN(1,Parametros!B2-W201*Parametros!B3+X201*Parametros!B4))</f>
        <v/>
      </c>
    </row>
    <row r="202">
      <c r="A202" t="inlineStr">
        <is>
          <t>cbk7q9</t>
        </is>
      </c>
      <c r="B202" t="inlineStr">
        <is>
          <t>Hellena Cassiano</t>
        </is>
      </c>
      <c r="C202" s="6" t="n">
        <v>0.4409</v>
      </c>
      <c r="D202" s="6" t="n">
        <v>0.6081</v>
      </c>
      <c r="E202" s="6" t="n">
        <v>0.6358</v>
      </c>
      <c r="F202" s="6" t="n">
        <v>0.7584</v>
      </c>
      <c r="G202" s="6" t="n">
        <v>0.7194</v>
      </c>
      <c r="H202" s="6" t="n">
        <v>0.7236</v>
      </c>
      <c r="I202" s="6" t="n">
        <v>0.7999000000000001</v>
      </c>
      <c r="J202" s="6" t="n">
        <v>0.8993</v>
      </c>
      <c r="K202" s="6" t="n">
        <v>0.296</v>
      </c>
      <c r="L202" s="7">
        <f>Mecanismos!B2*C202</f>
        <v/>
      </c>
      <c r="M202" s="7">
        <f>Mecanismos!B7*D202</f>
        <v/>
      </c>
      <c r="N202" s="7">
        <f>Mecanismos!B4*(1-E202)</f>
        <v/>
      </c>
      <c r="O202" s="7">
        <f>Mecanismos!B5*(1-F202)</f>
        <v/>
      </c>
      <c r="P202" s="7">
        <f>Mecanismos!B6*(1-I202)</f>
        <v/>
      </c>
      <c r="Q202" s="7">
        <f>Mecanismos!B9*(1-G202)</f>
        <v/>
      </c>
      <c r="R202" s="7">
        <f>Mecanismos!B3*(1-D202)</f>
        <v/>
      </c>
      <c r="S202" s="7">
        <f>Mecanismos!B9*(1-J202)</f>
        <v/>
      </c>
      <c r="T202" s="7">
        <f>Mecanismos!B8*H202</f>
        <v/>
      </c>
      <c r="U202" s="7">
        <f>Mecanismos!B10*H202</f>
        <v/>
      </c>
      <c r="V202" s="7">
        <f>Mecanismos!B8*K202</f>
        <v/>
      </c>
      <c r="W202" s="7">
        <f>SUM(L202:S202)</f>
        <v/>
      </c>
      <c r="X202" s="7">
        <f>SUM(T202:V202)</f>
        <v/>
      </c>
      <c r="Y202" s="8">
        <f>MAX(0,MIN(1,Parametros!B2-W202*Parametros!B3+X202*Parametros!B4))</f>
        <v/>
      </c>
    </row>
    <row r="203">
      <c r="A203" t="inlineStr">
        <is>
          <t>qw7f6d</t>
        </is>
      </c>
      <c r="B203" t="inlineStr">
        <is>
          <t>Heloisa Araújo</t>
        </is>
      </c>
      <c r="C203" s="6" t="n">
        <v>0.6256</v>
      </c>
      <c r="D203" s="6" t="n">
        <v>0.4769</v>
      </c>
      <c r="E203" s="6" t="n">
        <v>0.5797</v>
      </c>
      <c r="F203" s="6" t="n">
        <v>0.7715</v>
      </c>
      <c r="G203" s="6" t="n">
        <v>0.3986</v>
      </c>
      <c r="H203" s="6" t="n">
        <v>0.5518</v>
      </c>
      <c r="I203" s="6" t="n">
        <v>0.3781</v>
      </c>
      <c r="J203" s="6" t="n">
        <v>0.8155</v>
      </c>
      <c r="K203" s="6" t="n">
        <v>0.4701</v>
      </c>
      <c r="L203" s="7">
        <f>Mecanismos!B2*C203</f>
        <v/>
      </c>
      <c r="M203" s="7">
        <f>Mecanismos!B7*D203</f>
        <v/>
      </c>
      <c r="N203" s="7">
        <f>Mecanismos!B4*(1-E203)</f>
        <v/>
      </c>
      <c r="O203" s="7">
        <f>Mecanismos!B5*(1-F203)</f>
        <v/>
      </c>
      <c r="P203" s="7">
        <f>Mecanismos!B6*(1-I203)</f>
        <v/>
      </c>
      <c r="Q203" s="7">
        <f>Mecanismos!B9*(1-G203)</f>
        <v/>
      </c>
      <c r="R203" s="7">
        <f>Mecanismos!B3*(1-D203)</f>
        <v/>
      </c>
      <c r="S203" s="7">
        <f>Mecanismos!B9*(1-J203)</f>
        <v/>
      </c>
      <c r="T203" s="7">
        <f>Mecanismos!B8*H203</f>
        <v/>
      </c>
      <c r="U203" s="7">
        <f>Mecanismos!B10*H203</f>
        <v/>
      </c>
      <c r="V203" s="7">
        <f>Mecanismos!B8*K203</f>
        <v/>
      </c>
      <c r="W203" s="7">
        <f>SUM(L203:S203)</f>
        <v/>
      </c>
      <c r="X203" s="7">
        <f>SUM(T203:V203)</f>
        <v/>
      </c>
      <c r="Y203" s="8">
        <f>MAX(0,MIN(1,Parametros!B2-W203*Parametros!B3+X203*Parametros!B4))</f>
        <v/>
      </c>
    </row>
    <row r="204">
      <c r="A204" t="inlineStr">
        <is>
          <t>ulpk8p</t>
        </is>
      </c>
      <c r="B204" t="inlineStr">
        <is>
          <t>Heloisa Montenegro</t>
        </is>
      </c>
      <c r="C204" s="6" t="n">
        <v>0.617</v>
      </c>
      <c r="D204" s="6" t="n">
        <v>0.3382</v>
      </c>
      <c r="E204" s="6" t="n">
        <v>0.8934</v>
      </c>
      <c r="F204" s="6" t="n">
        <v>0.4487</v>
      </c>
      <c r="G204" s="6" t="n">
        <v>0.125</v>
      </c>
      <c r="H204" s="6" t="n">
        <v>0.6024</v>
      </c>
      <c r="I204" s="6" t="n">
        <v>0.6068</v>
      </c>
      <c r="J204" s="6" t="n">
        <v>0.2466</v>
      </c>
      <c r="K204" s="6" t="n">
        <v>0.2645</v>
      </c>
      <c r="L204" s="7">
        <f>Mecanismos!B2*C204</f>
        <v/>
      </c>
      <c r="M204" s="7">
        <f>Mecanismos!B7*D204</f>
        <v/>
      </c>
      <c r="N204" s="7">
        <f>Mecanismos!B4*(1-E204)</f>
        <v/>
      </c>
      <c r="O204" s="7">
        <f>Mecanismos!B5*(1-F204)</f>
        <v/>
      </c>
      <c r="P204" s="7">
        <f>Mecanismos!B6*(1-I204)</f>
        <v/>
      </c>
      <c r="Q204" s="7">
        <f>Mecanismos!B9*(1-G204)</f>
        <v/>
      </c>
      <c r="R204" s="7">
        <f>Mecanismos!B3*(1-D204)</f>
        <v/>
      </c>
      <c r="S204" s="7">
        <f>Mecanismos!B9*(1-J204)</f>
        <v/>
      </c>
      <c r="T204" s="7">
        <f>Mecanismos!B8*H204</f>
        <v/>
      </c>
      <c r="U204" s="7">
        <f>Mecanismos!B10*H204</f>
        <v/>
      </c>
      <c r="V204" s="7">
        <f>Mecanismos!B8*K204</f>
        <v/>
      </c>
      <c r="W204" s="7">
        <f>SUM(L204:S204)</f>
        <v/>
      </c>
      <c r="X204" s="7">
        <f>SUM(T204:V204)</f>
        <v/>
      </c>
      <c r="Y204" s="8">
        <f>MAX(0,MIN(1,Parametros!B2-W204*Parametros!B3+X204*Parametros!B4))</f>
        <v/>
      </c>
    </row>
    <row r="205">
      <c r="A205" t="inlineStr">
        <is>
          <t>sq1t1z</t>
        </is>
      </c>
      <c r="B205" t="inlineStr">
        <is>
          <t>Heloisa Nogueira</t>
        </is>
      </c>
      <c r="C205" s="6" t="n">
        <v>0.5715</v>
      </c>
      <c r="D205" s="6" t="n">
        <v>0.7168</v>
      </c>
      <c r="E205" s="6" t="n">
        <v>0.3132</v>
      </c>
      <c r="F205" s="6" t="n">
        <v>0.6057</v>
      </c>
      <c r="G205" s="6" t="n">
        <v>0.473</v>
      </c>
      <c r="H205" s="6" t="n">
        <v>0.7262999999999999</v>
      </c>
      <c r="I205" s="6" t="n">
        <v>0.5993000000000001</v>
      </c>
      <c r="J205" s="6" t="n">
        <v>0.8605</v>
      </c>
      <c r="K205" s="6" t="n">
        <v>0.5603</v>
      </c>
      <c r="L205" s="7">
        <f>Mecanismos!B2*C205</f>
        <v/>
      </c>
      <c r="M205" s="7">
        <f>Mecanismos!B7*D205</f>
        <v/>
      </c>
      <c r="N205" s="7">
        <f>Mecanismos!B4*(1-E205)</f>
        <v/>
      </c>
      <c r="O205" s="7">
        <f>Mecanismos!B5*(1-F205)</f>
        <v/>
      </c>
      <c r="P205" s="7">
        <f>Mecanismos!B6*(1-I205)</f>
        <v/>
      </c>
      <c r="Q205" s="7">
        <f>Mecanismos!B9*(1-G205)</f>
        <v/>
      </c>
      <c r="R205" s="7">
        <f>Mecanismos!B3*(1-D205)</f>
        <v/>
      </c>
      <c r="S205" s="7">
        <f>Mecanismos!B9*(1-J205)</f>
        <v/>
      </c>
      <c r="T205" s="7">
        <f>Mecanismos!B8*H205</f>
        <v/>
      </c>
      <c r="U205" s="7">
        <f>Mecanismos!B10*H205</f>
        <v/>
      </c>
      <c r="V205" s="7">
        <f>Mecanismos!B8*K205</f>
        <v/>
      </c>
      <c r="W205" s="7">
        <f>SUM(L205:S205)</f>
        <v/>
      </c>
      <c r="X205" s="7">
        <f>SUM(T205:V205)</f>
        <v/>
      </c>
      <c r="Y205" s="8">
        <f>MAX(0,MIN(1,Parametros!B2-W205*Parametros!B3+X205*Parametros!B4))</f>
        <v/>
      </c>
    </row>
    <row r="206">
      <c r="A206" t="inlineStr">
        <is>
          <t>e8ubzf</t>
        </is>
      </c>
      <c r="B206" t="inlineStr">
        <is>
          <t>Henrique Câmara</t>
        </is>
      </c>
      <c r="C206" s="6" t="n">
        <v>0.4292</v>
      </c>
      <c r="D206" s="6" t="n">
        <v>0.7628</v>
      </c>
      <c r="E206" s="6" t="n">
        <v>0.8552</v>
      </c>
      <c r="F206" s="6" t="n">
        <v>0.6392</v>
      </c>
      <c r="G206" s="6" t="n">
        <v>0.5465</v>
      </c>
      <c r="H206" s="6" t="n">
        <v>0.588</v>
      </c>
      <c r="I206" s="6" t="n">
        <v>0.771</v>
      </c>
      <c r="J206" s="6" t="n">
        <v>0.8292</v>
      </c>
      <c r="K206" s="6" t="n">
        <v>0.3614</v>
      </c>
      <c r="L206" s="7">
        <f>Mecanismos!B2*C206</f>
        <v/>
      </c>
      <c r="M206" s="7">
        <f>Mecanismos!B7*D206</f>
        <v/>
      </c>
      <c r="N206" s="7">
        <f>Mecanismos!B4*(1-E206)</f>
        <v/>
      </c>
      <c r="O206" s="7">
        <f>Mecanismos!B5*(1-F206)</f>
        <v/>
      </c>
      <c r="P206" s="7">
        <f>Mecanismos!B6*(1-I206)</f>
        <v/>
      </c>
      <c r="Q206" s="7">
        <f>Mecanismos!B9*(1-G206)</f>
        <v/>
      </c>
      <c r="R206" s="7">
        <f>Mecanismos!B3*(1-D206)</f>
        <v/>
      </c>
      <c r="S206" s="7">
        <f>Mecanismos!B9*(1-J206)</f>
        <v/>
      </c>
      <c r="T206" s="7">
        <f>Mecanismos!B8*H206</f>
        <v/>
      </c>
      <c r="U206" s="7">
        <f>Mecanismos!B10*H206</f>
        <v/>
      </c>
      <c r="V206" s="7">
        <f>Mecanismos!B8*K206</f>
        <v/>
      </c>
      <c r="W206" s="7">
        <f>SUM(L206:S206)</f>
        <v/>
      </c>
      <c r="X206" s="7">
        <f>SUM(T206:V206)</f>
        <v/>
      </c>
      <c r="Y206" s="8">
        <f>MAX(0,MIN(1,Parametros!B2-W206*Parametros!B3+X206*Parametros!B4))</f>
        <v/>
      </c>
    </row>
    <row r="207">
      <c r="A207" t="inlineStr">
        <is>
          <t>cbo8me</t>
        </is>
      </c>
      <c r="B207" t="inlineStr">
        <is>
          <t>Henry Vasconcelos</t>
        </is>
      </c>
      <c r="C207" s="6" t="n">
        <v>0.3893</v>
      </c>
      <c r="D207" s="6" t="n">
        <v>0.6927</v>
      </c>
      <c r="E207" s="6" t="n">
        <v>0.3452</v>
      </c>
      <c r="F207" s="6" t="n">
        <v>0.5958</v>
      </c>
      <c r="G207" s="6" t="n">
        <v>0.3531</v>
      </c>
      <c r="H207" s="6" t="n">
        <v>0.4272</v>
      </c>
      <c r="I207" s="6" t="n">
        <v>0.7457</v>
      </c>
      <c r="J207" s="6" t="n">
        <v>0.7228</v>
      </c>
      <c r="K207" s="6" t="n">
        <v>0.3846</v>
      </c>
      <c r="L207" s="7">
        <f>Mecanismos!B2*C207</f>
        <v/>
      </c>
      <c r="M207" s="7">
        <f>Mecanismos!B7*D207</f>
        <v/>
      </c>
      <c r="N207" s="7">
        <f>Mecanismos!B4*(1-E207)</f>
        <v/>
      </c>
      <c r="O207" s="7">
        <f>Mecanismos!B5*(1-F207)</f>
        <v/>
      </c>
      <c r="P207" s="7">
        <f>Mecanismos!B6*(1-I207)</f>
        <v/>
      </c>
      <c r="Q207" s="7">
        <f>Mecanismos!B9*(1-G207)</f>
        <v/>
      </c>
      <c r="R207" s="7">
        <f>Mecanismos!B3*(1-D207)</f>
        <v/>
      </c>
      <c r="S207" s="7">
        <f>Mecanismos!B9*(1-J207)</f>
        <v/>
      </c>
      <c r="T207" s="7">
        <f>Mecanismos!B8*H207</f>
        <v/>
      </c>
      <c r="U207" s="7">
        <f>Mecanismos!B10*H207</f>
        <v/>
      </c>
      <c r="V207" s="7">
        <f>Mecanismos!B8*K207</f>
        <v/>
      </c>
      <c r="W207" s="7">
        <f>SUM(L207:S207)</f>
        <v/>
      </c>
      <c r="X207" s="7">
        <f>SUM(T207:V207)</f>
        <v/>
      </c>
      <c r="Y207" s="8">
        <f>MAX(0,MIN(1,Parametros!B2-W207*Parametros!B3+X207*Parametros!B4))</f>
        <v/>
      </c>
    </row>
    <row r="208">
      <c r="A208" t="inlineStr">
        <is>
          <t>yozuip</t>
        </is>
      </c>
      <c r="B208" t="inlineStr">
        <is>
          <t>Igor Almeida</t>
        </is>
      </c>
      <c r="C208" s="6" t="n">
        <v>0.4383</v>
      </c>
      <c r="D208" s="6" t="n">
        <v>0.5815</v>
      </c>
      <c r="E208" s="6" t="n">
        <v>0.472</v>
      </c>
      <c r="F208" s="6" t="n">
        <v>0.5317</v>
      </c>
      <c r="G208" s="6" t="n">
        <v>0.6820000000000001</v>
      </c>
      <c r="H208" s="6" t="n">
        <v>0.6131</v>
      </c>
      <c r="I208" s="6" t="n">
        <v>0.7886</v>
      </c>
      <c r="J208" s="6" t="n">
        <v>0.7573</v>
      </c>
      <c r="K208" s="6" t="n">
        <v>0.3282</v>
      </c>
      <c r="L208" s="7">
        <f>Mecanismos!B2*C208</f>
        <v/>
      </c>
      <c r="M208" s="7">
        <f>Mecanismos!B7*D208</f>
        <v/>
      </c>
      <c r="N208" s="7">
        <f>Mecanismos!B4*(1-E208)</f>
        <v/>
      </c>
      <c r="O208" s="7">
        <f>Mecanismos!B5*(1-F208)</f>
        <v/>
      </c>
      <c r="P208" s="7">
        <f>Mecanismos!B6*(1-I208)</f>
        <v/>
      </c>
      <c r="Q208" s="7">
        <f>Mecanismos!B9*(1-G208)</f>
        <v/>
      </c>
      <c r="R208" s="7">
        <f>Mecanismos!B3*(1-D208)</f>
        <v/>
      </c>
      <c r="S208" s="7">
        <f>Mecanismos!B9*(1-J208)</f>
        <v/>
      </c>
      <c r="T208" s="7">
        <f>Mecanismos!B8*H208</f>
        <v/>
      </c>
      <c r="U208" s="7">
        <f>Mecanismos!B10*H208</f>
        <v/>
      </c>
      <c r="V208" s="7">
        <f>Mecanismos!B8*K208</f>
        <v/>
      </c>
      <c r="W208" s="7">
        <f>SUM(L208:S208)</f>
        <v/>
      </c>
      <c r="X208" s="7">
        <f>SUM(T208:V208)</f>
        <v/>
      </c>
      <c r="Y208" s="8">
        <f>MAX(0,MIN(1,Parametros!B2-W208*Parametros!B3+X208*Parametros!B4))</f>
        <v/>
      </c>
    </row>
    <row r="209">
      <c r="A209" t="inlineStr">
        <is>
          <t>icr0d0</t>
        </is>
      </c>
      <c r="B209" t="inlineStr">
        <is>
          <t>Isaac Gonçalves</t>
        </is>
      </c>
      <c r="C209" s="6" t="n">
        <v>0.6121</v>
      </c>
      <c r="D209" s="6" t="n">
        <v>0.3989</v>
      </c>
      <c r="E209" s="6" t="n">
        <v>0.3644</v>
      </c>
      <c r="F209" s="6" t="n">
        <v>0.4611</v>
      </c>
      <c r="G209" s="6" t="n">
        <v>0.2996</v>
      </c>
      <c r="H209" s="6" t="n">
        <v>0.6862</v>
      </c>
      <c r="I209" s="6" t="n">
        <v>0.4268</v>
      </c>
      <c r="J209" s="6" t="n">
        <v>0.7248</v>
      </c>
      <c r="K209" s="6" t="n">
        <v>0.6415</v>
      </c>
      <c r="L209" s="7">
        <f>Mecanismos!B2*C209</f>
        <v/>
      </c>
      <c r="M209" s="7">
        <f>Mecanismos!B7*D209</f>
        <v/>
      </c>
      <c r="N209" s="7">
        <f>Mecanismos!B4*(1-E209)</f>
        <v/>
      </c>
      <c r="O209" s="7">
        <f>Mecanismos!B5*(1-F209)</f>
        <v/>
      </c>
      <c r="P209" s="7">
        <f>Mecanismos!B6*(1-I209)</f>
        <v/>
      </c>
      <c r="Q209" s="7">
        <f>Mecanismos!B9*(1-G209)</f>
        <v/>
      </c>
      <c r="R209" s="7">
        <f>Mecanismos!B3*(1-D209)</f>
        <v/>
      </c>
      <c r="S209" s="7">
        <f>Mecanismos!B9*(1-J209)</f>
        <v/>
      </c>
      <c r="T209" s="7">
        <f>Mecanismos!B8*H209</f>
        <v/>
      </c>
      <c r="U209" s="7">
        <f>Mecanismos!B10*H209</f>
        <v/>
      </c>
      <c r="V209" s="7">
        <f>Mecanismos!B8*K209</f>
        <v/>
      </c>
      <c r="W209" s="7">
        <f>SUM(L209:S209)</f>
        <v/>
      </c>
      <c r="X209" s="7">
        <f>SUM(T209:V209)</f>
        <v/>
      </c>
      <c r="Y209" s="8">
        <f>MAX(0,MIN(1,Parametros!B2-W209*Parametros!B3+X209*Parametros!B4))</f>
        <v/>
      </c>
    </row>
    <row r="210">
      <c r="A210" t="inlineStr">
        <is>
          <t>tjt87m</t>
        </is>
      </c>
      <c r="B210" t="inlineStr">
        <is>
          <t>Isabela Castro</t>
        </is>
      </c>
      <c r="C210" s="6" t="n">
        <v>0.7242</v>
      </c>
      <c r="D210" s="6" t="n">
        <v>0.6338</v>
      </c>
      <c r="E210" s="6" t="n">
        <v>0.4743</v>
      </c>
      <c r="F210" s="6" t="n">
        <v>0.6021</v>
      </c>
      <c r="G210" s="6" t="n">
        <v>0.6571</v>
      </c>
      <c r="H210" s="6" t="n">
        <v>0.6281</v>
      </c>
      <c r="I210" s="6" t="n">
        <v>0.3387</v>
      </c>
      <c r="J210" s="6" t="n">
        <v>0.7161</v>
      </c>
      <c r="K210" s="6" t="n">
        <v>0.7339</v>
      </c>
      <c r="L210" s="7">
        <f>Mecanismos!B2*C210</f>
        <v/>
      </c>
      <c r="M210" s="7">
        <f>Mecanismos!B7*D210</f>
        <v/>
      </c>
      <c r="N210" s="7">
        <f>Mecanismos!B4*(1-E210)</f>
        <v/>
      </c>
      <c r="O210" s="7">
        <f>Mecanismos!B5*(1-F210)</f>
        <v/>
      </c>
      <c r="P210" s="7">
        <f>Mecanismos!B6*(1-I210)</f>
        <v/>
      </c>
      <c r="Q210" s="7">
        <f>Mecanismos!B9*(1-G210)</f>
        <v/>
      </c>
      <c r="R210" s="7">
        <f>Mecanismos!B3*(1-D210)</f>
        <v/>
      </c>
      <c r="S210" s="7">
        <f>Mecanismos!B9*(1-J210)</f>
        <v/>
      </c>
      <c r="T210" s="7">
        <f>Mecanismos!B8*H210</f>
        <v/>
      </c>
      <c r="U210" s="7">
        <f>Mecanismos!B10*H210</f>
        <v/>
      </c>
      <c r="V210" s="7">
        <f>Mecanismos!B8*K210</f>
        <v/>
      </c>
      <c r="W210" s="7">
        <f>SUM(L210:S210)</f>
        <v/>
      </c>
      <c r="X210" s="7">
        <f>SUM(T210:V210)</f>
        <v/>
      </c>
      <c r="Y210" s="8">
        <f>MAX(0,MIN(1,Parametros!B2-W210*Parametros!B3+X210*Parametros!B4))</f>
        <v/>
      </c>
    </row>
    <row r="211">
      <c r="A211" t="inlineStr">
        <is>
          <t>7768uo</t>
        </is>
      </c>
      <c r="B211" t="inlineStr">
        <is>
          <t>Isabela Cirino</t>
        </is>
      </c>
      <c r="C211" s="6" t="n">
        <v>0.4634</v>
      </c>
      <c r="D211" s="6" t="n">
        <v>0.5117</v>
      </c>
      <c r="E211" s="6" t="n">
        <v>0.4061</v>
      </c>
      <c r="F211" s="6" t="n">
        <v>0.5397999999999999</v>
      </c>
      <c r="G211" s="6" t="n">
        <v>0.4375</v>
      </c>
      <c r="H211" s="6" t="n">
        <v>0.5777</v>
      </c>
      <c r="I211" s="6" t="n">
        <v>0.4231</v>
      </c>
      <c r="J211" s="6" t="n">
        <v>0.5955</v>
      </c>
      <c r="K211" s="6" t="n">
        <v>0.3413</v>
      </c>
      <c r="L211" s="7">
        <f>Mecanismos!B2*C211</f>
        <v/>
      </c>
      <c r="M211" s="7">
        <f>Mecanismos!B7*D211</f>
        <v/>
      </c>
      <c r="N211" s="7">
        <f>Mecanismos!B4*(1-E211)</f>
        <v/>
      </c>
      <c r="O211" s="7">
        <f>Mecanismos!B5*(1-F211)</f>
        <v/>
      </c>
      <c r="P211" s="7">
        <f>Mecanismos!B6*(1-I211)</f>
        <v/>
      </c>
      <c r="Q211" s="7">
        <f>Mecanismos!B9*(1-G211)</f>
        <v/>
      </c>
      <c r="R211" s="7">
        <f>Mecanismos!B3*(1-D211)</f>
        <v/>
      </c>
      <c r="S211" s="7">
        <f>Mecanismos!B9*(1-J211)</f>
        <v/>
      </c>
      <c r="T211" s="7">
        <f>Mecanismos!B8*H211</f>
        <v/>
      </c>
      <c r="U211" s="7">
        <f>Mecanismos!B10*H211</f>
        <v/>
      </c>
      <c r="V211" s="7">
        <f>Mecanismos!B8*K211</f>
        <v/>
      </c>
      <c r="W211" s="7">
        <f>SUM(L211:S211)</f>
        <v/>
      </c>
      <c r="X211" s="7">
        <f>SUM(T211:V211)</f>
        <v/>
      </c>
      <c r="Y211" s="8">
        <f>MAX(0,MIN(1,Parametros!B2-W211*Parametros!B3+X211*Parametros!B4))</f>
        <v/>
      </c>
    </row>
    <row r="212">
      <c r="A212" t="inlineStr">
        <is>
          <t>g6cxjz</t>
        </is>
      </c>
      <c r="B212" t="inlineStr">
        <is>
          <t>Isabela Marques</t>
        </is>
      </c>
      <c r="C212" s="6" t="n">
        <v>0.5716</v>
      </c>
      <c r="D212" s="6" t="n">
        <v>0.5837</v>
      </c>
      <c r="E212" s="6" t="n">
        <v>0.5573</v>
      </c>
      <c r="F212" s="6" t="n">
        <v>0.6685</v>
      </c>
      <c r="G212" s="6" t="n">
        <v>0.6558</v>
      </c>
      <c r="H212" s="6" t="n">
        <v>0.7718</v>
      </c>
      <c r="I212" s="6" t="n">
        <v>0.5458</v>
      </c>
      <c r="J212" s="6" t="n">
        <v>0.7399</v>
      </c>
      <c r="K212" s="6" t="n">
        <v>0.4899</v>
      </c>
      <c r="L212" s="7">
        <f>Mecanismos!B2*C212</f>
        <v/>
      </c>
      <c r="M212" s="7">
        <f>Mecanismos!B7*D212</f>
        <v/>
      </c>
      <c r="N212" s="7">
        <f>Mecanismos!B4*(1-E212)</f>
        <v/>
      </c>
      <c r="O212" s="7">
        <f>Mecanismos!B5*(1-F212)</f>
        <v/>
      </c>
      <c r="P212" s="7">
        <f>Mecanismos!B6*(1-I212)</f>
        <v/>
      </c>
      <c r="Q212" s="7">
        <f>Mecanismos!B9*(1-G212)</f>
        <v/>
      </c>
      <c r="R212" s="7">
        <f>Mecanismos!B3*(1-D212)</f>
        <v/>
      </c>
      <c r="S212" s="7">
        <f>Mecanismos!B9*(1-J212)</f>
        <v/>
      </c>
      <c r="T212" s="7">
        <f>Mecanismos!B8*H212</f>
        <v/>
      </c>
      <c r="U212" s="7">
        <f>Mecanismos!B10*H212</f>
        <v/>
      </c>
      <c r="V212" s="7">
        <f>Mecanismos!B8*K212</f>
        <v/>
      </c>
      <c r="W212" s="7">
        <f>SUM(L212:S212)</f>
        <v/>
      </c>
      <c r="X212" s="7">
        <f>SUM(T212:V212)</f>
        <v/>
      </c>
      <c r="Y212" s="8">
        <f>MAX(0,MIN(1,Parametros!B2-W212*Parametros!B3+X212*Parametros!B4))</f>
        <v/>
      </c>
    </row>
    <row r="213">
      <c r="A213" t="inlineStr">
        <is>
          <t>by5wfh</t>
        </is>
      </c>
      <c r="B213" t="inlineStr">
        <is>
          <t>Isabela Souza</t>
        </is>
      </c>
      <c r="C213" s="6" t="n">
        <v>0.9612000000000001</v>
      </c>
      <c r="D213" s="6" t="n">
        <v>0.1577</v>
      </c>
      <c r="E213" s="6" t="n">
        <v>0.6191</v>
      </c>
      <c r="F213" s="6" t="n">
        <v>0.6186</v>
      </c>
      <c r="G213" s="6" t="n">
        <v>0.4394</v>
      </c>
      <c r="H213" s="6" t="n">
        <v>0.5286</v>
      </c>
      <c r="I213" s="6" t="n">
        <v>0.2194</v>
      </c>
      <c r="J213" s="6" t="n">
        <v>0.487</v>
      </c>
      <c r="K213" s="6" t="n">
        <v>0.4781</v>
      </c>
      <c r="L213" s="7">
        <f>Mecanismos!B2*C213</f>
        <v/>
      </c>
      <c r="M213" s="7">
        <f>Mecanismos!B7*D213</f>
        <v/>
      </c>
      <c r="N213" s="7">
        <f>Mecanismos!B4*(1-E213)</f>
        <v/>
      </c>
      <c r="O213" s="7">
        <f>Mecanismos!B5*(1-F213)</f>
        <v/>
      </c>
      <c r="P213" s="7">
        <f>Mecanismos!B6*(1-I213)</f>
        <v/>
      </c>
      <c r="Q213" s="7">
        <f>Mecanismos!B9*(1-G213)</f>
        <v/>
      </c>
      <c r="R213" s="7">
        <f>Mecanismos!B3*(1-D213)</f>
        <v/>
      </c>
      <c r="S213" s="7">
        <f>Mecanismos!B9*(1-J213)</f>
        <v/>
      </c>
      <c r="T213" s="7">
        <f>Mecanismos!B8*H213</f>
        <v/>
      </c>
      <c r="U213" s="7">
        <f>Mecanismos!B10*H213</f>
        <v/>
      </c>
      <c r="V213" s="7">
        <f>Mecanismos!B8*K213</f>
        <v/>
      </c>
      <c r="W213" s="7">
        <f>SUM(L213:S213)</f>
        <v/>
      </c>
      <c r="X213" s="7">
        <f>SUM(T213:V213)</f>
        <v/>
      </c>
      <c r="Y213" s="8">
        <f>MAX(0,MIN(1,Parametros!B2-W213*Parametros!B3+X213*Parametros!B4))</f>
        <v/>
      </c>
    </row>
    <row r="214">
      <c r="A214" t="inlineStr">
        <is>
          <t>jo47jp</t>
        </is>
      </c>
      <c r="B214" t="inlineStr">
        <is>
          <t>Isabela Viana</t>
        </is>
      </c>
      <c r="C214" s="6" t="n">
        <v>0.4067</v>
      </c>
      <c r="D214" s="6" t="n">
        <v>0.3005</v>
      </c>
      <c r="E214" s="6" t="n">
        <v>0.9</v>
      </c>
      <c r="F214" s="6" t="n">
        <v>0.443</v>
      </c>
      <c r="G214" s="6" t="n">
        <v>0.5673</v>
      </c>
      <c r="H214" s="6" t="n">
        <v>0.4581</v>
      </c>
      <c r="I214" s="6" t="n">
        <v>0.6148</v>
      </c>
      <c r="J214" s="6" t="n">
        <v>0.7697000000000001</v>
      </c>
      <c r="K214" s="6" t="n">
        <v>0.2821</v>
      </c>
      <c r="L214" s="7">
        <f>Mecanismos!B2*C214</f>
        <v/>
      </c>
      <c r="M214" s="7">
        <f>Mecanismos!B7*D214</f>
        <v/>
      </c>
      <c r="N214" s="7">
        <f>Mecanismos!B4*(1-E214)</f>
        <v/>
      </c>
      <c r="O214" s="7">
        <f>Mecanismos!B5*(1-F214)</f>
        <v/>
      </c>
      <c r="P214" s="7">
        <f>Mecanismos!B6*(1-I214)</f>
        <v/>
      </c>
      <c r="Q214" s="7">
        <f>Mecanismos!B9*(1-G214)</f>
        <v/>
      </c>
      <c r="R214" s="7">
        <f>Mecanismos!B3*(1-D214)</f>
        <v/>
      </c>
      <c r="S214" s="7">
        <f>Mecanismos!B9*(1-J214)</f>
        <v/>
      </c>
      <c r="T214" s="7">
        <f>Mecanismos!B8*H214</f>
        <v/>
      </c>
      <c r="U214" s="7">
        <f>Mecanismos!B10*H214</f>
        <v/>
      </c>
      <c r="V214" s="7">
        <f>Mecanismos!B8*K214</f>
        <v/>
      </c>
      <c r="W214" s="7">
        <f>SUM(L214:S214)</f>
        <v/>
      </c>
      <c r="X214" s="7">
        <f>SUM(T214:V214)</f>
        <v/>
      </c>
      <c r="Y214" s="8">
        <f>MAX(0,MIN(1,Parametros!B2-W214*Parametros!B3+X214*Parametros!B4))</f>
        <v/>
      </c>
    </row>
    <row r="215">
      <c r="A215" t="inlineStr">
        <is>
          <t>yye1xv</t>
        </is>
      </c>
      <c r="B215" t="inlineStr">
        <is>
          <t>Isabelly Nascimento</t>
        </is>
      </c>
      <c r="C215" s="6" t="n">
        <v>0.5551</v>
      </c>
      <c r="D215" s="6" t="n">
        <v>0.6984</v>
      </c>
      <c r="E215" s="6" t="n">
        <v>0.6313</v>
      </c>
      <c r="F215" s="6" t="n">
        <v>0.7531</v>
      </c>
      <c r="G215" s="6" t="n">
        <v>0.3399</v>
      </c>
      <c r="H215" s="6" t="n">
        <v>0.4982</v>
      </c>
      <c r="I215" s="6" t="n">
        <v>0.4547</v>
      </c>
      <c r="J215" s="6" t="n">
        <v>0.7588</v>
      </c>
      <c r="K215" s="6" t="n">
        <v>0.3828</v>
      </c>
      <c r="L215" s="7">
        <f>Mecanismos!B2*C215</f>
        <v/>
      </c>
      <c r="M215" s="7">
        <f>Mecanismos!B7*D215</f>
        <v/>
      </c>
      <c r="N215" s="7">
        <f>Mecanismos!B4*(1-E215)</f>
        <v/>
      </c>
      <c r="O215" s="7">
        <f>Mecanismos!B5*(1-F215)</f>
        <v/>
      </c>
      <c r="P215" s="7">
        <f>Mecanismos!B6*(1-I215)</f>
        <v/>
      </c>
      <c r="Q215" s="7">
        <f>Mecanismos!B9*(1-G215)</f>
        <v/>
      </c>
      <c r="R215" s="7">
        <f>Mecanismos!B3*(1-D215)</f>
        <v/>
      </c>
      <c r="S215" s="7">
        <f>Mecanismos!B9*(1-J215)</f>
        <v/>
      </c>
      <c r="T215" s="7">
        <f>Mecanismos!B8*H215</f>
        <v/>
      </c>
      <c r="U215" s="7">
        <f>Mecanismos!B10*H215</f>
        <v/>
      </c>
      <c r="V215" s="7">
        <f>Mecanismos!B8*K215</f>
        <v/>
      </c>
      <c r="W215" s="7">
        <f>SUM(L215:S215)</f>
        <v/>
      </c>
      <c r="X215" s="7">
        <f>SUM(T215:V215)</f>
        <v/>
      </c>
      <c r="Y215" s="8">
        <f>MAX(0,MIN(1,Parametros!B2-W215*Parametros!B3+X215*Parametros!B4))</f>
        <v/>
      </c>
    </row>
    <row r="216">
      <c r="A216" t="inlineStr">
        <is>
          <t>wun1xd</t>
        </is>
      </c>
      <c r="B216" t="inlineStr">
        <is>
          <t>Isadora Costela</t>
        </is>
      </c>
      <c r="C216" s="6" t="n">
        <v>0.6737</v>
      </c>
      <c r="D216" s="6" t="n">
        <v>0.5014999999999999</v>
      </c>
      <c r="E216" s="6" t="n">
        <v>0.5508999999999999</v>
      </c>
      <c r="F216" s="6" t="n">
        <v>0.4931</v>
      </c>
      <c r="G216" s="6" t="n">
        <v>0.5508999999999999</v>
      </c>
      <c r="H216" s="6" t="n">
        <v>0.7648</v>
      </c>
      <c r="I216" s="6" t="n">
        <v>0.2561</v>
      </c>
      <c r="J216" s="6" t="n">
        <v>0.6038</v>
      </c>
      <c r="K216" s="6" t="n">
        <v>0.4377</v>
      </c>
      <c r="L216" s="7">
        <f>Mecanismos!B2*C216</f>
        <v/>
      </c>
      <c r="M216" s="7">
        <f>Mecanismos!B7*D216</f>
        <v/>
      </c>
      <c r="N216" s="7">
        <f>Mecanismos!B4*(1-E216)</f>
        <v/>
      </c>
      <c r="O216" s="7">
        <f>Mecanismos!B5*(1-F216)</f>
        <v/>
      </c>
      <c r="P216" s="7">
        <f>Mecanismos!B6*(1-I216)</f>
        <v/>
      </c>
      <c r="Q216" s="7">
        <f>Mecanismos!B9*(1-G216)</f>
        <v/>
      </c>
      <c r="R216" s="7">
        <f>Mecanismos!B3*(1-D216)</f>
        <v/>
      </c>
      <c r="S216" s="7">
        <f>Mecanismos!B9*(1-J216)</f>
        <v/>
      </c>
      <c r="T216" s="7">
        <f>Mecanismos!B8*H216</f>
        <v/>
      </c>
      <c r="U216" s="7">
        <f>Mecanismos!B10*H216</f>
        <v/>
      </c>
      <c r="V216" s="7">
        <f>Mecanismos!B8*K216</f>
        <v/>
      </c>
      <c r="W216" s="7">
        <f>SUM(L216:S216)</f>
        <v/>
      </c>
      <c r="X216" s="7">
        <f>SUM(T216:V216)</f>
        <v/>
      </c>
      <c r="Y216" s="8">
        <f>MAX(0,MIN(1,Parametros!B2-W216*Parametros!B3+X216*Parametros!B4))</f>
        <v/>
      </c>
    </row>
    <row r="217">
      <c r="A217" t="inlineStr">
        <is>
          <t>4v6gy0</t>
        </is>
      </c>
      <c r="B217" t="inlineStr">
        <is>
          <t>Isadora Duarte</t>
        </is>
      </c>
      <c r="C217" s="6" t="n">
        <v>0.6415</v>
      </c>
      <c r="D217" s="6" t="n">
        <v>0.5223</v>
      </c>
      <c r="E217" s="6" t="n">
        <v>0.5995</v>
      </c>
      <c r="F217" s="6" t="n">
        <v>0.694</v>
      </c>
      <c r="G217" s="6" t="n">
        <v>0.485</v>
      </c>
      <c r="H217" s="6" t="n">
        <v>0.7305</v>
      </c>
      <c r="I217" s="6" t="n">
        <v>0.4515</v>
      </c>
      <c r="J217" s="6" t="n">
        <v>0.9029</v>
      </c>
      <c r="K217" s="6" t="n">
        <v>0.3746</v>
      </c>
      <c r="L217" s="7">
        <f>Mecanismos!B2*C217</f>
        <v/>
      </c>
      <c r="M217" s="7">
        <f>Mecanismos!B7*D217</f>
        <v/>
      </c>
      <c r="N217" s="7">
        <f>Mecanismos!B4*(1-E217)</f>
        <v/>
      </c>
      <c r="O217" s="7">
        <f>Mecanismos!B5*(1-F217)</f>
        <v/>
      </c>
      <c r="P217" s="7">
        <f>Mecanismos!B6*(1-I217)</f>
        <v/>
      </c>
      <c r="Q217" s="7">
        <f>Mecanismos!B9*(1-G217)</f>
        <v/>
      </c>
      <c r="R217" s="7">
        <f>Mecanismos!B3*(1-D217)</f>
        <v/>
      </c>
      <c r="S217" s="7">
        <f>Mecanismos!B9*(1-J217)</f>
        <v/>
      </c>
      <c r="T217" s="7">
        <f>Mecanismos!B8*H217</f>
        <v/>
      </c>
      <c r="U217" s="7">
        <f>Mecanismos!B10*H217</f>
        <v/>
      </c>
      <c r="V217" s="7">
        <f>Mecanismos!B8*K217</f>
        <v/>
      </c>
      <c r="W217" s="7">
        <f>SUM(L217:S217)</f>
        <v/>
      </c>
      <c r="X217" s="7">
        <f>SUM(T217:V217)</f>
        <v/>
      </c>
      <c r="Y217" s="8">
        <f>MAX(0,MIN(1,Parametros!B2-W217*Parametros!B3+X217*Parametros!B4))</f>
        <v/>
      </c>
    </row>
    <row r="218">
      <c r="A218" t="inlineStr">
        <is>
          <t>uojois</t>
        </is>
      </c>
      <c r="B218" t="inlineStr">
        <is>
          <t>Isadora Melo</t>
        </is>
      </c>
      <c r="C218" s="6" t="n">
        <v>0.6085</v>
      </c>
      <c r="D218" s="6" t="n">
        <v>0.5633</v>
      </c>
      <c r="E218" s="6" t="n">
        <v>0.5004</v>
      </c>
      <c r="F218" s="6" t="n">
        <v>0.6468</v>
      </c>
      <c r="G218" s="6" t="n">
        <v>0.2665</v>
      </c>
      <c r="H218" s="6" t="n">
        <v>0.5321</v>
      </c>
      <c r="I218" s="6" t="n">
        <v>0.8287</v>
      </c>
      <c r="J218" s="6" t="n">
        <v>0.9473</v>
      </c>
      <c r="K218" s="6" t="n">
        <v>0.329</v>
      </c>
      <c r="L218" s="7">
        <f>Mecanismos!B2*C218</f>
        <v/>
      </c>
      <c r="M218" s="7">
        <f>Mecanismos!B7*D218</f>
        <v/>
      </c>
      <c r="N218" s="7">
        <f>Mecanismos!B4*(1-E218)</f>
        <v/>
      </c>
      <c r="O218" s="7">
        <f>Mecanismos!B5*(1-F218)</f>
        <v/>
      </c>
      <c r="P218" s="7">
        <f>Mecanismos!B6*(1-I218)</f>
        <v/>
      </c>
      <c r="Q218" s="7">
        <f>Mecanismos!B9*(1-G218)</f>
        <v/>
      </c>
      <c r="R218" s="7">
        <f>Mecanismos!B3*(1-D218)</f>
        <v/>
      </c>
      <c r="S218" s="7">
        <f>Mecanismos!B9*(1-J218)</f>
        <v/>
      </c>
      <c r="T218" s="7">
        <f>Mecanismos!B8*H218</f>
        <v/>
      </c>
      <c r="U218" s="7">
        <f>Mecanismos!B10*H218</f>
        <v/>
      </c>
      <c r="V218" s="7">
        <f>Mecanismos!B8*K218</f>
        <v/>
      </c>
      <c r="W218" s="7">
        <f>SUM(L218:S218)</f>
        <v/>
      </c>
      <c r="X218" s="7">
        <f>SUM(T218:V218)</f>
        <v/>
      </c>
      <c r="Y218" s="8">
        <f>MAX(0,MIN(1,Parametros!B2-W218*Parametros!B3+X218*Parametros!B4))</f>
        <v/>
      </c>
    </row>
    <row r="219">
      <c r="A219" t="inlineStr">
        <is>
          <t>lx2fm9</t>
        </is>
      </c>
      <c r="B219" t="inlineStr">
        <is>
          <t>Isadora Siqueira</t>
        </is>
      </c>
      <c r="C219" s="6" t="n">
        <v>0.5373</v>
      </c>
      <c r="D219" s="6" t="n">
        <v>0.627</v>
      </c>
      <c r="E219" s="6" t="n">
        <v>0.5682</v>
      </c>
      <c r="F219" s="6" t="n">
        <v>0.5556</v>
      </c>
      <c r="G219" s="6" t="n">
        <v>0.482</v>
      </c>
      <c r="H219" s="6" t="n">
        <v>0.7613</v>
      </c>
      <c r="I219" s="6" t="n">
        <v>0.3861</v>
      </c>
      <c r="J219" s="6" t="n">
        <v>0.8992</v>
      </c>
      <c r="K219" s="6" t="n">
        <v>0.2036</v>
      </c>
      <c r="L219" s="7">
        <f>Mecanismos!B2*C219</f>
        <v/>
      </c>
      <c r="M219" s="7">
        <f>Mecanismos!B7*D219</f>
        <v/>
      </c>
      <c r="N219" s="7">
        <f>Mecanismos!B4*(1-E219)</f>
        <v/>
      </c>
      <c r="O219" s="7">
        <f>Mecanismos!B5*(1-F219)</f>
        <v/>
      </c>
      <c r="P219" s="7">
        <f>Mecanismos!B6*(1-I219)</f>
        <v/>
      </c>
      <c r="Q219" s="7">
        <f>Mecanismos!B9*(1-G219)</f>
        <v/>
      </c>
      <c r="R219" s="7">
        <f>Mecanismos!B3*(1-D219)</f>
        <v/>
      </c>
      <c r="S219" s="7">
        <f>Mecanismos!B9*(1-J219)</f>
        <v/>
      </c>
      <c r="T219" s="7">
        <f>Mecanismos!B8*H219</f>
        <v/>
      </c>
      <c r="U219" s="7">
        <f>Mecanismos!B10*H219</f>
        <v/>
      </c>
      <c r="V219" s="7">
        <f>Mecanismos!B8*K219</f>
        <v/>
      </c>
      <c r="W219" s="7">
        <f>SUM(L219:S219)</f>
        <v/>
      </c>
      <c r="X219" s="7">
        <f>SUM(T219:V219)</f>
        <v/>
      </c>
      <c r="Y219" s="8">
        <f>MAX(0,MIN(1,Parametros!B2-W219*Parametros!B3+X219*Parametros!B4))</f>
        <v/>
      </c>
    </row>
    <row r="220">
      <c r="A220" t="inlineStr">
        <is>
          <t>jle3v1</t>
        </is>
      </c>
      <c r="B220" t="inlineStr">
        <is>
          <t>Isaque Farias</t>
        </is>
      </c>
      <c r="C220" s="6" t="n">
        <v>0.72</v>
      </c>
      <c r="D220" s="6" t="n">
        <v>0.4975</v>
      </c>
      <c r="E220" s="6" t="n">
        <v>0.5259</v>
      </c>
      <c r="F220" s="6" t="n">
        <v>0.5351</v>
      </c>
      <c r="G220" s="6" t="n">
        <v>0.5652</v>
      </c>
      <c r="H220" s="6" t="n">
        <v>0.7423</v>
      </c>
      <c r="I220" s="6" t="n">
        <v>0.7115</v>
      </c>
      <c r="J220" s="6" t="n">
        <v>0.9456</v>
      </c>
      <c r="K220" s="6" t="n">
        <v>0.3508</v>
      </c>
      <c r="L220" s="7">
        <f>Mecanismos!B2*C220</f>
        <v/>
      </c>
      <c r="M220" s="7">
        <f>Mecanismos!B7*D220</f>
        <v/>
      </c>
      <c r="N220" s="7">
        <f>Mecanismos!B4*(1-E220)</f>
        <v/>
      </c>
      <c r="O220" s="7">
        <f>Mecanismos!B5*(1-F220)</f>
        <v/>
      </c>
      <c r="P220" s="7">
        <f>Mecanismos!B6*(1-I220)</f>
        <v/>
      </c>
      <c r="Q220" s="7">
        <f>Mecanismos!B9*(1-G220)</f>
        <v/>
      </c>
      <c r="R220" s="7">
        <f>Mecanismos!B3*(1-D220)</f>
        <v/>
      </c>
      <c r="S220" s="7">
        <f>Mecanismos!B9*(1-J220)</f>
        <v/>
      </c>
      <c r="T220" s="7">
        <f>Mecanismos!B8*H220</f>
        <v/>
      </c>
      <c r="U220" s="7">
        <f>Mecanismos!B10*H220</f>
        <v/>
      </c>
      <c r="V220" s="7">
        <f>Mecanismos!B8*K220</f>
        <v/>
      </c>
      <c r="W220" s="7">
        <f>SUM(L220:S220)</f>
        <v/>
      </c>
      <c r="X220" s="7">
        <f>SUM(T220:V220)</f>
        <v/>
      </c>
      <c r="Y220" s="8">
        <f>MAX(0,MIN(1,Parametros!B2-W220*Parametros!B3+X220*Parametros!B4))</f>
        <v/>
      </c>
    </row>
    <row r="221">
      <c r="A221" t="inlineStr">
        <is>
          <t>dm3awk</t>
        </is>
      </c>
      <c r="B221" t="inlineStr">
        <is>
          <t>Isis Cavalcanti</t>
        </is>
      </c>
      <c r="C221" s="6" t="n">
        <v>0.6107</v>
      </c>
      <c r="D221" s="6" t="n">
        <v>0.3581</v>
      </c>
      <c r="E221" s="6" t="n">
        <v>0.6349</v>
      </c>
      <c r="F221" s="6" t="n">
        <v>0.5386</v>
      </c>
      <c r="G221" s="6" t="n">
        <v>0.5734</v>
      </c>
      <c r="H221" s="6" t="n">
        <v>0.6444</v>
      </c>
      <c r="I221" s="6" t="n">
        <v>0.5615</v>
      </c>
      <c r="J221" s="6" t="n">
        <v>0.7984</v>
      </c>
      <c r="K221" s="6" t="n">
        <v>0.2712</v>
      </c>
      <c r="L221" s="7">
        <f>Mecanismos!B2*C221</f>
        <v/>
      </c>
      <c r="M221" s="7">
        <f>Mecanismos!B7*D221</f>
        <v/>
      </c>
      <c r="N221" s="7">
        <f>Mecanismos!B4*(1-E221)</f>
        <v/>
      </c>
      <c r="O221" s="7">
        <f>Mecanismos!B5*(1-F221)</f>
        <v/>
      </c>
      <c r="P221" s="7">
        <f>Mecanismos!B6*(1-I221)</f>
        <v/>
      </c>
      <c r="Q221" s="7">
        <f>Mecanismos!B9*(1-G221)</f>
        <v/>
      </c>
      <c r="R221" s="7">
        <f>Mecanismos!B3*(1-D221)</f>
        <v/>
      </c>
      <c r="S221" s="7">
        <f>Mecanismos!B9*(1-J221)</f>
        <v/>
      </c>
      <c r="T221" s="7">
        <f>Mecanismos!B8*H221</f>
        <v/>
      </c>
      <c r="U221" s="7">
        <f>Mecanismos!B10*H221</f>
        <v/>
      </c>
      <c r="V221" s="7">
        <f>Mecanismos!B8*K221</f>
        <v/>
      </c>
      <c r="W221" s="7">
        <f>SUM(L221:S221)</f>
        <v/>
      </c>
      <c r="X221" s="7">
        <f>SUM(T221:V221)</f>
        <v/>
      </c>
      <c r="Y221" s="8">
        <f>MAX(0,MIN(1,Parametros!B2-W221*Parametros!B3+X221*Parametros!B4))</f>
        <v/>
      </c>
    </row>
    <row r="222">
      <c r="A222" t="inlineStr">
        <is>
          <t>bc3meb</t>
        </is>
      </c>
      <c r="B222" t="inlineStr">
        <is>
          <t>Isis Machado</t>
        </is>
      </c>
      <c r="C222" s="6" t="n">
        <v>0.6206</v>
      </c>
      <c r="D222" s="6" t="n">
        <v>0.4448</v>
      </c>
      <c r="E222" s="6" t="n">
        <v>0.3599</v>
      </c>
      <c r="F222" s="6" t="n">
        <v>0.5874</v>
      </c>
      <c r="G222" s="6" t="n">
        <v>0.3402</v>
      </c>
      <c r="H222" s="6" t="n">
        <v>0.728</v>
      </c>
      <c r="I222" s="6" t="n">
        <v>0.6607</v>
      </c>
      <c r="J222" s="6" t="n">
        <v>0.9484</v>
      </c>
      <c r="K222" s="6" t="n">
        <v>0.37</v>
      </c>
      <c r="L222" s="7">
        <f>Mecanismos!B2*C222</f>
        <v/>
      </c>
      <c r="M222" s="7">
        <f>Mecanismos!B7*D222</f>
        <v/>
      </c>
      <c r="N222" s="7">
        <f>Mecanismos!B4*(1-E222)</f>
        <v/>
      </c>
      <c r="O222" s="7">
        <f>Mecanismos!B5*(1-F222)</f>
        <v/>
      </c>
      <c r="P222" s="7">
        <f>Mecanismos!B6*(1-I222)</f>
        <v/>
      </c>
      <c r="Q222" s="7">
        <f>Mecanismos!B9*(1-G222)</f>
        <v/>
      </c>
      <c r="R222" s="7">
        <f>Mecanismos!B3*(1-D222)</f>
        <v/>
      </c>
      <c r="S222" s="7">
        <f>Mecanismos!B9*(1-J222)</f>
        <v/>
      </c>
      <c r="T222" s="7">
        <f>Mecanismos!B8*H222</f>
        <v/>
      </c>
      <c r="U222" s="7">
        <f>Mecanismos!B10*H222</f>
        <v/>
      </c>
      <c r="V222" s="7">
        <f>Mecanismos!B8*K222</f>
        <v/>
      </c>
      <c r="W222" s="7">
        <f>SUM(L222:S222)</f>
        <v/>
      </c>
      <c r="X222" s="7">
        <f>SUM(T222:V222)</f>
        <v/>
      </c>
      <c r="Y222" s="8">
        <f>MAX(0,MIN(1,Parametros!B2-W222*Parametros!B3+X222*Parametros!B4))</f>
        <v/>
      </c>
    </row>
    <row r="223">
      <c r="A223" t="inlineStr">
        <is>
          <t>id42b2</t>
        </is>
      </c>
      <c r="B223" t="inlineStr">
        <is>
          <t>Isis Novais</t>
        </is>
      </c>
      <c r="C223" s="6" t="n">
        <v>0.7332</v>
      </c>
      <c r="D223" s="6" t="n">
        <v>0.2536</v>
      </c>
      <c r="E223" s="6" t="n">
        <v>0.5511</v>
      </c>
      <c r="F223" s="6" t="n">
        <v>0.7215</v>
      </c>
      <c r="G223" s="6" t="n">
        <v>0.5987</v>
      </c>
      <c r="H223" s="6" t="n">
        <v>0.6418</v>
      </c>
      <c r="I223" s="6" t="n">
        <v>0.4723</v>
      </c>
      <c r="J223" s="6" t="n">
        <v>0.7453</v>
      </c>
      <c r="K223" s="6" t="n">
        <v>0.3111</v>
      </c>
      <c r="L223" s="7">
        <f>Mecanismos!B2*C223</f>
        <v/>
      </c>
      <c r="M223" s="7">
        <f>Mecanismos!B7*D223</f>
        <v/>
      </c>
      <c r="N223" s="7">
        <f>Mecanismos!B4*(1-E223)</f>
        <v/>
      </c>
      <c r="O223" s="7">
        <f>Mecanismos!B5*(1-F223)</f>
        <v/>
      </c>
      <c r="P223" s="7">
        <f>Mecanismos!B6*(1-I223)</f>
        <v/>
      </c>
      <c r="Q223" s="7">
        <f>Mecanismos!B9*(1-G223)</f>
        <v/>
      </c>
      <c r="R223" s="7">
        <f>Mecanismos!B3*(1-D223)</f>
        <v/>
      </c>
      <c r="S223" s="7">
        <f>Mecanismos!B9*(1-J223)</f>
        <v/>
      </c>
      <c r="T223" s="7">
        <f>Mecanismos!B8*H223</f>
        <v/>
      </c>
      <c r="U223" s="7">
        <f>Mecanismos!B10*H223</f>
        <v/>
      </c>
      <c r="V223" s="7">
        <f>Mecanismos!B8*K223</f>
        <v/>
      </c>
      <c r="W223" s="7">
        <f>SUM(L223:S223)</f>
        <v/>
      </c>
      <c r="X223" s="7">
        <f>SUM(T223:V223)</f>
        <v/>
      </c>
      <c r="Y223" s="8">
        <f>MAX(0,MIN(1,Parametros!B2-W223*Parametros!B3+X223*Parametros!B4))</f>
        <v/>
      </c>
    </row>
    <row r="224">
      <c r="A224" t="inlineStr">
        <is>
          <t>m9xs8x</t>
        </is>
      </c>
      <c r="B224" t="inlineStr">
        <is>
          <t>Jade Dias</t>
        </is>
      </c>
      <c r="C224" s="6" t="n">
        <v>0.6744</v>
      </c>
      <c r="D224" s="6" t="n">
        <v>0.5165</v>
      </c>
      <c r="E224" s="6" t="n">
        <v>0.4636</v>
      </c>
      <c r="F224" s="6" t="n">
        <v>0.5377</v>
      </c>
      <c r="G224" s="6" t="n">
        <v>0.345</v>
      </c>
      <c r="H224" s="6" t="n">
        <v>0.5583</v>
      </c>
      <c r="I224" s="6" t="n">
        <v>0.3569</v>
      </c>
      <c r="J224" s="6" t="n">
        <v>0.6552</v>
      </c>
      <c r="K224" s="6" t="n">
        <v>0.2509</v>
      </c>
      <c r="L224" s="7">
        <f>Mecanismos!B2*C224</f>
        <v/>
      </c>
      <c r="M224" s="7">
        <f>Mecanismos!B7*D224</f>
        <v/>
      </c>
      <c r="N224" s="7">
        <f>Mecanismos!B4*(1-E224)</f>
        <v/>
      </c>
      <c r="O224" s="7">
        <f>Mecanismos!B5*(1-F224)</f>
        <v/>
      </c>
      <c r="P224" s="7">
        <f>Mecanismos!B6*(1-I224)</f>
        <v/>
      </c>
      <c r="Q224" s="7">
        <f>Mecanismos!B9*(1-G224)</f>
        <v/>
      </c>
      <c r="R224" s="7">
        <f>Mecanismos!B3*(1-D224)</f>
        <v/>
      </c>
      <c r="S224" s="7">
        <f>Mecanismos!B9*(1-J224)</f>
        <v/>
      </c>
      <c r="T224" s="7">
        <f>Mecanismos!B8*H224</f>
        <v/>
      </c>
      <c r="U224" s="7">
        <f>Mecanismos!B10*H224</f>
        <v/>
      </c>
      <c r="V224" s="7">
        <f>Mecanismos!B8*K224</f>
        <v/>
      </c>
      <c r="W224" s="7">
        <f>SUM(L224:S224)</f>
        <v/>
      </c>
      <c r="X224" s="7">
        <f>SUM(T224:V224)</f>
        <v/>
      </c>
      <c r="Y224" s="8">
        <f>MAX(0,MIN(1,Parametros!B2-W224*Parametros!B3+X224*Parametros!B4))</f>
        <v/>
      </c>
    </row>
    <row r="225">
      <c r="A225" t="inlineStr">
        <is>
          <t>7by0sc</t>
        </is>
      </c>
      <c r="B225" t="inlineStr">
        <is>
          <t>Jade Peixoto</t>
        </is>
      </c>
      <c r="C225" s="6" t="n">
        <v>0.6669</v>
      </c>
      <c r="D225" s="6" t="n">
        <v>0.7030999999999999</v>
      </c>
      <c r="E225" s="6" t="n">
        <v>0.4084</v>
      </c>
      <c r="F225" s="6" t="n">
        <v>0.6755</v>
      </c>
      <c r="G225" s="6" t="n">
        <v>0.3494</v>
      </c>
      <c r="H225" s="6" t="n">
        <v>0.6028</v>
      </c>
      <c r="I225" s="6" t="n">
        <v>0.6617</v>
      </c>
      <c r="J225" s="6" t="n">
        <v>0.836</v>
      </c>
      <c r="K225" s="6" t="n">
        <v>0.7109</v>
      </c>
      <c r="L225" s="7">
        <f>Mecanismos!B2*C225</f>
        <v/>
      </c>
      <c r="M225" s="7">
        <f>Mecanismos!B7*D225</f>
        <v/>
      </c>
      <c r="N225" s="7">
        <f>Mecanismos!B4*(1-E225)</f>
        <v/>
      </c>
      <c r="O225" s="7">
        <f>Mecanismos!B5*(1-F225)</f>
        <v/>
      </c>
      <c r="P225" s="7">
        <f>Mecanismos!B6*(1-I225)</f>
        <v/>
      </c>
      <c r="Q225" s="7">
        <f>Mecanismos!B9*(1-G225)</f>
        <v/>
      </c>
      <c r="R225" s="7">
        <f>Mecanismos!B3*(1-D225)</f>
        <v/>
      </c>
      <c r="S225" s="7">
        <f>Mecanismos!B9*(1-J225)</f>
        <v/>
      </c>
      <c r="T225" s="7">
        <f>Mecanismos!B8*H225</f>
        <v/>
      </c>
      <c r="U225" s="7">
        <f>Mecanismos!B10*H225</f>
        <v/>
      </c>
      <c r="V225" s="7">
        <f>Mecanismos!B8*K225</f>
        <v/>
      </c>
      <c r="W225" s="7">
        <f>SUM(L225:S225)</f>
        <v/>
      </c>
      <c r="X225" s="7">
        <f>SUM(T225:V225)</f>
        <v/>
      </c>
      <c r="Y225" s="8">
        <f>MAX(0,MIN(1,Parametros!B2-W225*Parametros!B3+X225*Parametros!B4))</f>
        <v/>
      </c>
    </row>
    <row r="226">
      <c r="A226" t="inlineStr">
        <is>
          <t>ny49ik</t>
        </is>
      </c>
      <c r="B226" t="inlineStr">
        <is>
          <t>Jade Peixoto</t>
        </is>
      </c>
      <c r="C226" s="6" t="n">
        <v>0.4495</v>
      </c>
      <c r="D226" s="6" t="n">
        <v>0.3935</v>
      </c>
      <c r="E226" s="6" t="n">
        <v>0.6384</v>
      </c>
      <c r="F226" s="6" t="n">
        <v>0.549</v>
      </c>
      <c r="G226" s="6" t="n">
        <v>0.5679</v>
      </c>
      <c r="H226" s="6" t="n">
        <v>0.6073</v>
      </c>
      <c r="I226" s="6" t="n">
        <v>0.7683</v>
      </c>
      <c r="J226" s="6" t="n">
        <v>0.7967</v>
      </c>
      <c r="K226" s="6" t="n">
        <v>0.4648</v>
      </c>
      <c r="L226" s="7">
        <f>Mecanismos!B2*C226</f>
        <v/>
      </c>
      <c r="M226" s="7">
        <f>Mecanismos!B7*D226</f>
        <v/>
      </c>
      <c r="N226" s="7">
        <f>Mecanismos!B4*(1-E226)</f>
        <v/>
      </c>
      <c r="O226" s="7">
        <f>Mecanismos!B5*(1-F226)</f>
        <v/>
      </c>
      <c r="P226" s="7">
        <f>Mecanismos!B6*(1-I226)</f>
        <v/>
      </c>
      <c r="Q226" s="7">
        <f>Mecanismos!B9*(1-G226)</f>
        <v/>
      </c>
      <c r="R226" s="7">
        <f>Mecanismos!B3*(1-D226)</f>
        <v/>
      </c>
      <c r="S226" s="7">
        <f>Mecanismos!B9*(1-J226)</f>
        <v/>
      </c>
      <c r="T226" s="7">
        <f>Mecanismos!B8*H226</f>
        <v/>
      </c>
      <c r="U226" s="7">
        <f>Mecanismos!B10*H226</f>
        <v/>
      </c>
      <c r="V226" s="7">
        <f>Mecanismos!B8*K226</f>
        <v/>
      </c>
      <c r="W226" s="7">
        <f>SUM(L226:S226)</f>
        <v/>
      </c>
      <c r="X226" s="7">
        <f>SUM(T226:V226)</f>
        <v/>
      </c>
      <c r="Y226" s="8">
        <f>MAX(0,MIN(1,Parametros!B2-W226*Parametros!B3+X226*Parametros!B4))</f>
        <v/>
      </c>
    </row>
    <row r="227">
      <c r="A227" t="inlineStr">
        <is>
          <t>fum1ga</t>
        </is>
      </c>
      <c r="B227" t="inlineStr">
        <is>
          <t>Jade Sousa</t>
        </is>
      </c>
      <c r="C227" s="6" t="n">
        <v>0.4344</v>
      </c>
      <c r="D227" s="6" t="n">
        <v>0.5233</v>
      </c>
      <c r="E227" s="6" t="n">
        <v>0.307</v>
      </c>
      <c r="F227" s="6" t="n">
        <v>0.5407999999999999</v>
      </c>
      <c r="G227" s="6" t="n">
        <v>0.5555</v>
      </c>
      <c r="H227" s="6" t="n">
        <v>0.6676</v>
      </c>
      <c r="I227" s="6" t="n">
        <v>0.8249</v>
      </c>
      <c r="J227" s="6" t="n">
        <v>0.726</v>
      </c>
      <c r="K227" s="6" t="n">
        <v>0.4826</v>
      </c>
      <c r="L227" s="7">
        <f>Mecanismos!B2*C227</f>
        <v/>
      </c>
      <c r="M227" s="7">
        <f>Mecanismos!B7*D227</f>
        <v/>
      </c>
      <c r="N227" s="7">
        <f>Mecanismos!B4*(1-E227)</f>
        <v/>
      </c>
      <c r="O227" s="7">
        <f>Mecanismos!B5*(1-F227)</f>
        <v/>
      </c>
      <c r="P227" s="7">
        <f>Mecanismos!B6*(1-I227)</f>
        <v/>
      </c>
      <c r="Q227" s="7">
        <f>Mecanismos!B9*(1-G227)</f>
        <v/>
      </c>
      <c r="R227" s="7">
        <f>Mecanismos!B3*(1-D227)</f>
        <v/>
      </c>
      <c r="S227" s="7">
        <f>Mecanismos!B9*(1-J227)</f>
        <v/>
      </c>
      <c r="T227" s="7">
        <f>Mecanismos!B8*H227</f>
        <v/>
      </c>
      <c r="U227" s="7">
        <f>Mecanismos!B10*H227</f>
        <v/>
      </c>
      <c r="V227" s="7">
        <f>Mecanismos!B8*K227</f>
        <v/>
      </c>
      <c r="W227" s="7">
        <f>SUM(L227:S227)</f>
        <v/>
      </c>
      <c r="X227" s="7">
        <f>SUM(T227:V227)</f>
        <v/>
      </c>
      <c r="Y227" s="8">
        <f>MAX(0,MIN(1,Parametros!B2-W227*Parametros!B3+X227*Parametros!B4))</f>
        <v/>
      </c>
    </row>
    <row r="228">
      <c r="A228" t="inlineStr">
        <is>
          <t>wvm0sa</t>
        </is>
      </c>
      <c r="B228" t="inlineStr">
        <is>
          <t>Josué Brito</t>
        </is>
      </c>
      <c r="C228" s="6" t="n">
        <v>0.6381</v>
      </c>
      <c r="D228" s="6" t="n">
        <v>0.6363</v>
      </c>
      <c r="E228" s="6" t="n">
        <v>0.5218</v>
      </c>
      <c r="F228" s="6" t="n">
        <v>0.6754</v>
      </c>
      <c r="G228" s="6" t="n">
        <v>0.7382</v>
      </c>
      <c r="H228" s="6" t="n">
        <v>0.8164</v>
      </c>
      <c r="I228" s="6" t="n">
        <v>0.6862</v>
      </c>
      <c r="J228" s="6" t="n">
        <v>0.6009</v>
      </c>
      <c r="K228" s="6" t="n">
        <v>0.3729</v>
      </c>
      <c r="L228" s="7">
        <f>Mecanismos!B2*C228</f>
        <v/>
      </c>
      <c r="M228" s="7">
        <f>Mecanismos!B7*D228</f>
        <v/>
      </c>
      <c r="N228" s="7">
        <f>Mecanismos!B4*(1-E228)</f>
        <v/>
      </c>
      <c r="O228" s="7">
        <f>Mecanismos!B5*(1-F228)</f>
        <v/>
      </c>
      <c r="P228" s="7">
        <f>Mecanismos!B6*(1-I228)</f>
        <v/>
      </c>
      <c r="Q228" s="7">
        <f>Mecanismos!B9*(1-G228)</f>
        <v/>
      </c>
      <c r="R228" s="7">
        <f>Mecanismos!B3*(1-D228)</f>
        <v/>
      </c>
      <c r="S228" s="7">
        <f>Mecanismos!B9*(1-J228)</f>
        <v/>
      </c>
      <c r="T228" s="7">
        <f>Mecanismos!B8*H228</f>
        <v/>
      </c>
      <c r="U228" s="7">
        <f>Mecanismos!B10*H228</f>
        <v/>
      </c>
      <c r="V228" s="7">
        <f>Mecanismos!B8*K228</f>
        <v/>
      </c>
      <c r="W228" s="7">
        <f>SUM(L228:S228)</f>
        <v/>
      </c>
      <c r="X228" s="7">
        <f>SUM(T228:V228)</f>
        <v/>
      </c>
      <c r="Y228" s="8">
        <f>MAX(0,MIN(1,Parametros!B2-W228*Parametros!B3+X228*Parametros!B4))</f>
        <v/>
      </c>
    </row>
    <row r="229">
      <c r="A229" t="inlineStr">
        <is>
          <t>67pthk</t>
        </is>
      </c>
      <c r="B229" t="inlineStr">
        <is>
          <t>Josué Farias</t>
        </is>
      </c>
      <c r="C229" s="6" t="n">
        <v>0.7122000000000001</v>
      </c>
      <c r="D229" s="6" t="n">
        <v>0.4964</v>
      </c>
      <c r="E229" s="6" t="n">
        <v>0.5451</v>
      </c>
      <c r="F229" s="6" t="n">
        <v>0.6373</v>
      </c>
      <c r="G229" s="6" t="n">
        <v>0.6539</v>
      </c>
      <c r="H229" s="6" t="n">
        <v>0.5797</v>
      </c>
      <c r="I229" s="6" t="n">
        <v>0.4934</v>
      </c>
      <c r="J229" s="6" t="n">
        <v>0.7856</v>
      </c>
      <c r="K229" s="6" t="n">
        <v>0.2463</v>
      </c>
      <c r="L229" s="7">
        <f>Mecanismos!B2*C229</f>
        <v/>
      </c>
      <c r="M229" s="7">
        <f>Mecanismos!B7*D229</f>
        <v/>
      </c>
      <c r="N229" s="7">
        <f>Mecanismos!B4*(1-E229)</f>
        <v/>
      </c>
      <c r="O229" s="7">
        <f>Mecanismos!B5*(1-F229)</f>
        <v/>
      </c>
      <c r="P229" s="7">
        <f>Mecanismos!B6*(1-I229)</f>
        <v/>
      </c>
      <c r="Q229" s="7">
        <f>Mecanismos!B9*(1-G229)</f>
        <v/>
      </c>
      <c r="R229" s="7">
        <f>Mecanismos!B3*(1-D229)</f>
        <v/>
      </c>
      <c r="S229" s="7">
        <f>Mecanismos!B9*(1-J229)</f>
        <v/>
      </c>
      <c r="T229" s="7">
        <f>Mecanismos!B8*H229</f>
        <v/>
      </c>
      <c r="U229" s="7">
        <f>Mecanismos!B10*H229</f>
        <v/>
      </c>
      <c r="V229" s="7">
        <f>Mecanismos!B8*K229</f>
        <v/>
      </c>
      <c r="W229" s="7">
        <f>SUM(L229:S229)</f>
        <v/>
      </c>
      <c r="X229" s="7">
        <f>SUM(T229:V229)</f>
        <v/>
      </c>
      <c r="Y229" s="8">
        <f>MAX(0,MIN(1,Parametros!B2-W229*Parametros!B3+X229*Parametros!B4))</f>
        <v/>
      </c>
    </row>
    <row r="230">
      <c r="A230" t="inlineStr">
        <is>
          <t>p4je2v</t>
        </is>
      </c>
      <c r="B230" t="inlineStr">
        <is>
          <t>Josué Mendes</t>
        </is>
      </c>
      <c r="C230" s="6" t="n">
        <v>0.7127</v>
      </c>
      <c r="D230" s="6" t="n">
        <v>0.6907</v>
      </c>
      <c r="E230" s="6" t="n">
        <v>0.2842</v>
      </c>
      <c r="F230" s="6" t="n">
        <v>0.5511</v>
      </c>
      <c r="G230" s="6" t="n">
        <v>0.5802</v>
      </c>
      <c r="H230" s="6" t="n">
        <v>0.4544</v>
      </c>
      <c r="I230" s="6" t="n">
        <v>0.7129</v>
      </c>
      <c r="J230" s="6" t="n">
        <v>0.8158</v>
      </c>
      <c r="K230" s="6" t="n">
        <v>0.222</v>
      </c>
      <c r="L230" s="7">
        <f>Mecanismos!B2*C230</f>
        <v/>
      </c>
      <c r="M230" s="7">
        <f>Mecanismos!B7*D230</f>
        <v/>
      </c>
      <c r="N230" s="7">
        <f>Mecanismos!B4*(1-E230)</f>
        <v/>
      </c>
      <c r="O230" s="7">
        <f>Mecanismos!B5*(1-F230)</f>
        <v/>
      </c>
      <c r="P230" s="7">
        <f>Mecanismos!B6*(1-I230)</f>
        <v/>
      </c>
      <c r="Q230" s="7">
        <f>Mecanismos!B9*(1-G230)</f>
        <v/>
      </c>
      <c r="R230" s="7">
        <f>Mecanismos!B3*(1-D230)</f>
        <v/>
      </c>
      <c r="S230" s="7">
        <f>Mecanismos!B9*(1-J230)</f>
        <v/>
      </c>
      <c r="T230" s="7">
        <f>Mecanismos!B8*H230</f>
        <v/>
      </c>
      <c r="U230" s="7">
        <f>Mecanismos!B10*H230</f>
        <v/>
      </c>
      <c r="V230" s="7">
        <f>Mecanismos!B8*K230</f>
        <v/>
      </c>
      <c r="W230" s="7">
        <f>SUM(L230:S230)</f>
        <v/>
      </c>
      <c r="X230" s="7">
        <f>SUM(T230:V230)</f>
        <v/>
      </c>
      <c r="Y230" s="8">
        <f>MAX(0,MIN(1,Parametros!B2-W230*Parametros!B3+X230*Parametros!B4))</f>
        <v/>
      </c>
    </row>
    <row r="231">
      <c r="A231" t="inlineStr">
        <is>
          <t>fnj5hn</t>
        </is>
      </c>
      <c r="B231" t="inlineStr">
        <is>
          <t>Josué Monteiro</t>
        </is>
      </c>
      <c r="C231" s="6" t="n">
        <v>0.334</v>
      </c>
      <c r="D231" s="6" t="n">
        <v>0.7378</v>
      </c>
      <c r="E231" s="6" t="n">
        <v>0.3835</v>
      </c>
      <c r="F231" s="6" t="n">
        <v>0.634</v>
      </c>
      <c r="G231" s="6" t="n">
        <v>0.6841</v>
      </c>
      <c r="H231" s="6" t="n">
        <v>0.5626</v>
      </c>
      <c r="I231" s="6" t="n">
        <v>0.674</v>
      </c>
      <c r="J231" s="6" t="n">
        <v>0.931</v>
      </c>
      <c r="K231" s="6" t="n">
        <v>0.7633</v>
      </c>
      <c r="L231" s="7">
        <f>Mecanismos!B2*C231</f>
        <v/>
      </c>
      <c r="M231" s="7">
        <f>Mecanismos!B7*D231</f>
        <v/>
      </c>
      <c r="N231" s="7">
        <f>Mecanismos!B4*(1-E231)</f>
        <v/>
      </c>
      <c r="O231" s="7">
        <f>Mecanismos!B5*(1-F231)</f>
        <v/>
      </c>
      <c r="P231" s="7">
        <f>Mecanismos!B6*(1-I231)</f>
        <v/>
      </c>
      <c r="Q231" s="7">
        <f>Mecanismos!B9*(1-G231)</f>
        <v/>
      </c>
      <c r="R231" s="7">
        <f>Mecanismos!B3*(1-D231)</f>
        <v/>
      </c>
      <c r="S231" s="7">
        <f>Mecanismos!B9*(1-J231)</f>
        <v/>
      </c>
      <c r="T231" s="7">
        <f>Mecanismos!B8*H231</f>
        <v/>
      </c>
      <c r="U231" s="7">
        <f>Mecanismos!B10*H231</f>
        <v/>
      </c>
      <c r="V231" s="7">
        <f>Mecanismos!B8*K231</f>
        <v/>
      </c>
      <c r="W231" s="7">
        <f>SUM(L231:S231)</f>
        <v/>
      </c>
      <c r="X231" s="7">
        <f>SUM(T231:V231)</f>
        <v/>
      </c>
      <c r="Y231" s="8">
        <f>MAX(0,MIN(1,Parametros!B2-W231*Parametros!B3+X231*Parametros!B4))</f>
        <v/>
      </c>
    </row>
    <row r="232">
      <c r="A232" t="inlineStr">
        <is>
          <t>zd7408</t>
        </is>
      </c>
      <c r="B232" t="inlineStr">
        <is>
          <t>José Câmara</t>
        </is>
      </c>
      <c r="C232" s="6" t="n">
        <v>0.4733</v>
      </c>
      <c r="D232" s="6" t="n">
        <v>0.4679</v>
      </c>
      <c r="E232" s="6" t="n">
        <v>0.3241</v>
      </c>
      <c r="F232" s="6" t="n">
        <v>0.4737</v>
      </c>
      <c r="G232" s="6" t="n">
        <v>0.2551</v>
      </c>
      <c r="H232" s="6" t="n">
        <v>0.4499</v>
      </c>
      <c r="I232" s="6" t="n">
        <v>0.4713</v>
      </c>
      <c r="J232" s="6" t="n">
        <v>0.5185</v>
      </c>
      <c r="K232" s="6" t="n">
        <v>0.5984</v>
      </c>
      <c r="L232" s="7">
        <f>Mecanismos!B2*C232</f>
        <v/>
      </c>
      <c r="M232" s="7">
        <f>Mecanismos!B7*D232</f>
        <v/>
      </c>
      <c r="N232" s="7">
        <f>Mecanismos!B4*(1-E232)</f>
        <v/>
      </c>
      <c r="O232" s="7">
        <f>Mecanismos!B5*(1-F232)</f>
        <v/>
      </c>
      <c r="P232" s="7">
        <f>Mecanismos!B6*(1-I232)</f>
        <v/>
      </c>
      <c r="Q232" s="7">
        <f>Mecanismos!B9*(1-G232)</f>
        <v/>
      </c>
      <c r="R232" s="7">
        <f>Mecanismos!B3*(1-D232)</f>
        <v/>
      </c>
      <c r="S232" s="7">
        <f>Mecanismos!B9*(1-J232)</f>
        <v/>
      </c>
      <c r="T232" s="7">
        <f>Mecanismos!B8*H232</f>
        <v/>
      </c>
      <c r="U232" s="7">
        <f>Mecanismos!B10*H232</f>
        <v/>
      </c>
      <c r="V232" s="7">
        <f>Mecanismos!B8*K232</f>
        <v/>
      </c>
      <c r="W232" s="7">
        <f>SUM(L232:S232)</f>
        <v/>
      </c>
      <c r="X232" s="7">
        <f>SUM(T232:V232)</f>
        <v/>
      </c>
      <c r="Y232" s="8">
        <f>MAX(0,MIN(1,Parametros!B2-W232*Parametros!B3+X232*Parametros!B4))</f>
        <v/>
      </c>
    </row>
    <row r="233">
      <c r="A233" t="inlineStr">
        <is>
          <t>s9pl84</t>
        </is>
      </c>
      <c r="B233" t="inlineStr">
        <is>
          <t>José Miguel Sampaio</t>
        </is>
      </c>
      <c r="C233" s="6" t="n">
        <v>0.7224</v>
      </c>
      <c r="D233" s="6" t="n">
        <v>0.5467</v>
      </c>
      <c r="E233" s="6" t="n">
        <v>0.5202</v>
      </c>
      <c r="F233" s="6" t="n">
        <v>0.6353</v>
      </c>
      <c r="G233" s="6" t="n">
        <v>0.5646</v>
      </c>
      <c r="H233" s="6" t="n">
        <v>0.5693</v>
      </c>
      <c r="I233" s="6" t="n">
        <v>0.5231</v>
      </c>
      <c r="J233" s="6" t="n">
        <v>0.8132</v>
      </c>
      <c r="K233" s="6" t="n">
        <v>0.6475</v>
      </c>
      <c r="L233" s="7">
        <f>Mecanismos!B2*C233</f>
        <v/>
      </c>
      <c r="M233" s="7">
        <f>Mecanismos!B7*D233</f>
        <v/>
      </c>
      <c r="N233" s="7">
        <f>Mecanismos!B4*(1-E233)</f>
        <v/>
      </c>
      <c r="O233" s="7">
        <f>Mecanismos!B5*(1-F233)</f>
        <v/>
      </c>
      <c r="P233" s="7">
        <f>Mecanismos!B6*(1-I233)</f>
        <v/>
      </c>
      <c r="Q233" s="7">
        <f>Mecanismos!B9*(1-G233)</f>
        <v/>
      </c>
      <c r="R233" s="7">
        <f>Mecanismos!B3*(1-D233)</f>
        <v/>
      </c>
      <c r="S233" s="7">
        <f>Mecanismos!B9*(1-J233)</f>
        <v/>
      </c>
      <c r="T233" s="7">
        <f>Mecanismos!B8*H233</f>
        <v/>
      </c>
      <c r="U233" s="7">
        <f>Mecanismos!B10*H233</f>
        <v/>
      </c>
      <c r="V233" s="7">
        <f>Mecanismos!B8*K233</f>
        <v/>
      </c>
      <c r="W233" s="7">
        <f>SUM(L233:S233)</f>
        <v/>
      </c>
      <c r="X233" s="7">
        <f>SUM(T233:V233)</f>
        <v/>
      </c>
      <c r="Y233" s="8">
        <f>MAX(0,MIN(1,Parametros!B2-W233*Parametros!B3+X233*Parametros!B4))</f>
        <v/>
      </c>
    </row>
    <row r="234">
      <c r="A234" t="inlineStr">
        <is>
          <t>385wus</t>
        </is>
      </c>
      <c r="B234" t="inlineStr">
        <is>
          <t>José Silveira</t>
        </is>
      </c>
      <c r="C234" s="6" t="n">
        <v>0.6752</v>
      </c>
      <c r="D234" s="6" t="n">
        <v>0.4752</v>
      </c>
      <c r="E234" s="6" t="n">
        <v>0.3426</v>
      </c>
      <c r="F234" s="6" t="n">
        <v>0.6343</v>
      </c>
      <c r="G234" s="6" t="n">
        <v>0.3121</v>
      </c>
      <c r="H234" s="6" t="n">
        <v>0.6175</v>
      </c>
      <c r="I234" s="6" t="n">
        <v>0.6035</v>
      </c>
      <c r="J234" s="6" t="n">
        <v>0.2678</v>
      </c>
      <c r="K234" s="6" t="n">
        <v>0.5068</v>
      </c>
      <c r="L234" s="7">
        <f>Mecanismos!B2*C234</f>
        <v/>
      </c>
      <c r="M234" s="7">
        <f>Mecanismos!B7*D234</f>
        <v/>
      </c>
      <c r="N234" s="7">
        <f>Mecanismos!B4*(1-E234)</f>
        <v/>
      </c>
      <c r="O234" s="7">
        <f>Mecanismos!B5*(1-F234)</f>
        <v/>
      </c>
      <c r="P234" s="7">
        <f>Mecanismos!B6*(1-I234)</f>
        <v/>
      </c>
      <c r="Q234" s="7">
        <f>Mecanismos!B9*(1-G234)</f>
        <v/>
      </c>
      <c r="R234" s="7">
        <f>Mecanismos!B3*(1-D234)</f>
        <v/>
      </c>
      <c r="S234" s="7">
        <f>Mecanismos!B9*(1-J234)</f>
        <v/>
      </c>
      <c r="T234" s="7">
        <f>Mecanismos!B8*H234</f>
        <v/>
      </c>
      <c r="U234" s="7">
        <f>Mecanismos!B10*H234</f>
        <v/>
      </c>
      <c r="V234" s="7">
        <f>Mecanismos!B8*K234</f>
        <v/>
      </c>
      <c r="W234" s="7">
        <f>SUM(L234:S234)</f>
        <v/>
      </c>
      <c r="X234" s="7">
        <f>SUM(T234:V234)</f>
        <v/>
      </c>
      <c r="Y234" s="8">
        <f>MAX(0,MIN(1,Parametros!B2-W234*Parametros!B3+X234*Parametros!B4))</f>
        <v/>
      </c>
    </row>
    <row r="235">
      <c r="A235" t="inlineStr">
        <is>
          <t>nfp8vf</t>
        </is>
      </c>
      <c r="B235" t="inlineStr">
        <is>
          <t>João Gabriel Camargo</t>
        </is>
      </c>
      <c r="C235" s="6" t="n">
        <v>0.7435</v>
      </c>
      <c r="D235" s="6" t="n">
        <v>0.4309</v>
      </c>
      <c r="E235" s="6" t="n">
        <v>0.6806</v>
      </c>
      <c r="F235" s="6" t="n">
        <v>0.2271</v>
      </c>
      <c r="G235" s="6" t="n">
        <v>0.5191</v>
      </c>
      <c r="H235" s="6" t="n">
        <v>0.8008</v>
      </c>
      <c r="I235" s="6" t="n">
        <v>0.2227</v>
      </c>
      <c r="J235" s="6" t="n">
        <v>0.7333</v>
      </c>
      <c r="K235" s="6" t="n">
        <v>0.356</v>
      </c>
      <c r="L235" s="7">
        <f>Mecanismos!B2*C235</f>
        <v/>
      </c>
      <c r="M235" s="7">
        <f>Mecanismos!B7*D235</f>
        <v/>
      </c>
      <c r="N235" s="7">
        <f>Mecanismos!B4*(1-E235)</f>
        <v/>
      </c>
      <c r="O235" s="7">
        <f>Mecanismos!B5*(1-F235)</f>
        <v/>
      </c>
      <c r="P235" s="7">
        <f>Mecanismos!B6*(1-I235)</f>
        <v/>
      </c>
      <c r="Q235" s="7">
        <f>Mecanismos!B9*(1-G235)</f>
        <v/>
      </c>
      <c r="R235" s="7">
        <f>Mecanismos!B3*(1-D235)</f>
        <v/>
      </c>
      <c r="S235" s="7">
        <f>Mecanismos!B9*(1-J235)</f>
        <v/>
      </c>
      <c r="T235" s="7">
        <f>Mecanismos!B8*H235</f>
        <v/>
      </c>
      <c r="U235" s="7">
        <f>Mecanismos!B10*H235</f>
        <v/>
      </c>
      <c r="V235" s="7">
        <f>Mecanismos!B8*K235</f>
        <v/>
      </c>
      <c r="W235" s="7">
        <f>SUM(L235:S235)</f>
        <v/>
      </c>
      <c r="X235" s="7">
        <f>SUM(T235:V235)</f>
        <v/>
      </c>
      <c r="Y235" s="8">
        <f>MAX(0,MIN(1,Parametros!B2-W235*Parametros!B3+X235*Parametros!B4))</f>
        <v/>
      </c>
    </row>
    <row r="236">
      <c r="A236" t="inlineStr">
        <is>
          <t>eepuj1</t>
        </is>
      </c>
      <c r="B236" t="inlineStr">
        <is>
          <t>João Gabriel Fernandes</t>
        </is>
      </c>
      <c r="C236" s="6" t="n">
        <v>0.7821</v>
      </c>
      <c r="D236" s="6" t="n">
        <v>0.4439</v>
      </c>
      <c r="E236" s="6" t="n">
        <v>0.7257</v>
      </c>
      <c r="F236" s="6" t="n">
        <v>0.1628</v>
      </c>
      <c r="G236" s="6" t="n">
        <v>0.4234</v>
      </c>
      <c r="H236" s="6" t="n">
        <v>0.4056</v>
      </c>
      <c r="I236" s="6" t="n">
        <v>0.2935</v>
      </c>
      <c r="J236" s="6" t="n">
        <v>0.8683999999999999</v>
      </c>
      <c r="K236" s="6" t="n">
        <v>0.5873</v>
      </c>
      <c r="L236" s="7">
        <f>Mecanismos!B2*C236</f>
        <v/>
      </c>
      <c r="M236" s="7">
        <f>Mecanismos!B7*D236</f>
        <v/>
      </c>
      <c r="N236" s="7">
        <f>Mecanismos!B4*(1-E236)</f>
        <v/>
      </c>
      <c r="O236" s="7">
        <f>Mecanismos!B5*(1-F236)</f>
        <v/>
      </c>
      <c r="P236" s="7">
        <f>Mecanismos!B6*(1-I236)</f>
        <v/>
      </c>
      <c r="Q236" s="7">
        <f>Mecanismos!B9*(1-G236)</f>
        <v/>
      </c>
      <c r="R236" s="7">
        <f>Mecanismos!B3*(1-D236)</f>
        <v/>
      </c>
      <c r="S236" s="7">
        <f>Mecanismos!B9*(1-J236)</f>
        <v/>
      </c>
      <c r="T236" s="7">
        <f>Mecanismos!B8*H236</f>
        <v/>
      </c>
      <c r="U236" s="7">
        <f>Mecanismos!B10*H236</f>
        <v/>
      </c>
      <c r="V236" s="7">
        <f>Mecanismos!B8*K236</f>
        <v/>
      </c>
      <c r="W236" s="7">
        <f>SUM(L236:S236)</f>
        <v/>
      </c>
      <c r="X236" s="7">
        <f>SUM(T236:V236)</f>
        <v/>
      </c>
      <c r="Y236" s="8">
        <f>MAX(0,MIN(1,Parametros!B2-W236*Parametros!B3+X236*Parametros!B4))</f>
        <v/>
      </c>
    </row>
    <row r="237">
      <c r="A237" t="inlineStr">
        <is>
          <t>pbmmvs</t>
        </is>
      </c>
      <c r="B237" t="inlineStr">
        <is>
          <t>João Gabriel Peixoto</t>
        </is>
      </c>
      <c r="C237" s="6" t="n">
        <v>0.7533</v>
      </c>
      <c r="D237" s="6" t="n">
        <v>0.6173999999999999</v>
      </c>
      <c r="E237" s="6" t="n">
        <v>0.3053</v>
      </c>
      <c r="F237" s="6" t="n">
        <v>0.7289</v>
      </c>
      <c r="G237" s="6" t="n">
        <v>0.5086000000000001</v>
      </c>
      <c r="H237" s="6" t="n">
        <v>0.5504</v>
      </c>
      <c r="I237" s="6" t="n">
        <v>0.5158</v>
      </c>
      <c r="J237" s="6" t="n">
        <v>0.7852</v>
      </c>
      <c r="K237" s="6" t="n">
        <v>0.663</v>
      </c>
      <c r="L237" s="7">
        <f>Mecanismos!B2*C237</f>
        <v/>
      </c>
      <c r="M237" s="7">
        <f>Mecanismos!B7*D237</f>
        <v/>
      </c>
      <c r="N237" s="7">
        <f>Mecanismos!B4*(1-E237)</f>
        <v/>
      </c>
      <c r="O237" s="7">
        <f>Mecanismos!B5*(1-F237)</f>
        <v/>
      </c>
      <c r="P237" s="7">
        <f>Mecanismos!B6*(1-I237)</f>
        <v/>
      </c>
      <c r="Q237" s="7">
        <f>Mecanismos!B9*(1-G237)</f>
        <v/>
      </c>
      <c r="R237" s="7">
        <f>Mecanismos!B3*(1-D237)</f>
        <v/>
      </c>
      <c r="S237" s="7">
        <f>Mecanismos!B9*(1-J237)</f>
        <v/>
      </c>
      <c r="T237" s="7">
        <f>Mecanismos!B8*H237</f>
        <v/>
      </c>
      <c r="U237" s="7">
        <f>Mecanismos!B10*H237</f>
        <v/>
      </c>
      <c r="V237" s="7">
        <f>Mecanismos!B8*K237</f>
        <v/>
      </c>
      <c r="W237" s="7">
        <f>SUM(L237:S237)</f>
        <v/>
      </c>
      <c r="X237" s="7">
        <f>SUM(T237:V237)</f>
        <v/>
      </c>
      <c r="Y237" s="8">
        <f>MAX(0,MIN(1,Parametros!B2-W237*Parametros!B3+X237*Parametros!B4))</f>
        <v/>
      </c>
    </row>
    <row r="238">
      <c r="A238" t="inlineStr">
        <is>
          <t>a7jox5</t>
        </is>
      </c>
      <c r="B238" t="inlineStr">
        <is>
          <t>João Guilherme Mendes</t>
        </is>
      </c>
      <c r="C238" s="6" t="n">
        <v>0.6689000000000001</v>
      </c>
      <c r="D238" s="6" t="n">
        <v>0.4331</v>
      </c>
      <c r="E238" s="6" t="n">
        <v>0.6748</v>
      </c>
      <c r="F238" s="6" t="n">
        <v>0.4088</v>
      </c>
      <c r="G238" s="6" t="n">
        <v>0.3548</v>
      </c>
      <c r="H238" s="6" t="n">
        <v>0.5617</v>
      </c>
      <c r="I238" s="6" t="n">
        <v>0.5928</v>
      </c>
      <c r="J238" s="6" t="n">
        <v>0.6399</v>
      </c>
      <c r="K238" s="6" t="n">
        <v>0.3716</v>
      </c>
      <c r="L238" s="7">
        <f>Mecanismos!B2*C238</f>
        <v/>
      </c>
      <c r="M238" s="7">
        <f>Mecanismos!B7*D238</f>
        <v/>
      </c>
      <c r="N238" s="7">
        <f>Mecanismos!B4*(1-E238)</f>
        <v/>
      </c>
      <c r="O238" s="7">
        <f>Mecanismos!B5*(1-F238)</f>
        <v/>
      </c>
      <c r="P238" s="7">
        <f>Mecanismos!B6*(1-I238)</f>
        <v/>
      </c>
      <c r="Q238" s="7">
        <f>Mecanismos!B9*(1-G238)</f>
        <v/>
      </c>
      <c r="R238" s="7">
        <f>Mecanismos!B3*(1-D238)</f>
        <v/>
      </c>
      <c r="S238" s="7">
        <f>Mecanismos!B9*(1-J238)</f>
        <v/>
      </c>
      <c r="T238" s="7">
        <f>Mecanismos!B8*H238</f>
        <v/>
      </c>
      <c r="U238" s="7">
        <f>Mecanismos!B10*H238</f>
        <v/>
      </c>
      <c r="V238" s="7">
        <f>Mecanismos!B8*K238</f>
        <v/>
      </c>
      <c r="W238" s="7">
        <f>SUM(L238:S238)</f>
        <v/>
      </c>
      <c r="X238" s="7">
        <f>SUM(T238:V238)</f>
        <v/>
      </c>
      <c r="Y238" s="8">
        <f>MAX(0,MIN(1,Parametros!B2-W238*Parametros!B3+X238*Parametros!B4))</f>
        <v/>
      </c>
    </row>
    <row r="239">
      <c r="A239" t="inlineStr">
        <is>
          <t>n7iu8c</t>
        </is>
      </c>
      <c r="B239" t="inlineStr">
        <is>
          <t>João Lucas Cunha</t>
        </is>
      </c>
      <c r="C239" s="6" t="n">
        <v>0.6477000000000001</v>
      </c>
      <c r="D239" s="6" t="n">
        <v>0.7302</v>
      </c>
      <c r="E239" s="6" t="n">
        <v>0.4997</v>
      </c>
      <c r="F239" s="6" t="n">
        <v>0.8431</v>
      </c>
      <c r="G239" s="6" t="n">
        <v>0.3441</v>
      </c>
      <c r="H239" s="6" t="n">
        <v>0.5907</v>
      </c>
      <c r="I239" s="6" t="n">
        <v>0.8171</v>
      </c>
      <c r="J239" s="6" t="n">
        <v>0.6858</v>
      </c>
      <c r="K239" s="6" t="n">
        <v>0.7103</v>
      </c>
      <c r="L239" s="7">
        <f>Mecanismos!B2*C239</f>
        <v/>
      </c>
      <c r="M239" s="7">
        <f>Mecanismos!B7*D239</f>
        <v/>
      </c>
      <c r="N239" s="7">
        <f>Mecanismos!B4*(1-E239)</f>
        <v/>
      </c>
      <c r="O239" s="7">
        <f>Mecanismos!B5*(1-F239)</f>
        <v/>
      </c>
      <c r="P239" s="7">
        <f>Mecanismos!B6*(1-I239)</f>
        <v/>
      </c>
      <c r="Q239" s="7">
        <f>Mecanismos!B9*(1-G239)</f>
        <v/>
      </c>
      <c r="R239" s="7">
        <f>Mecanismos!B3*(1-D239)</f>
        <v/>
      </c>
      <c r="S239" s="7">
        <f>Mecanismos!B9*(1-J239)</f>
        <v/>
      </c>
      <c r="T239" s="7">
        <f>Mecanismos!B8*H239</f>
        <v/>
      </c>
      <c r="U239" s="7">
        <f>Mecanismos!B10*H239</f>
        <v/>
      </c>
      <c r="V239" s="7">
        <f>Mecanismos!B8*K239</f>
        <v/>
      </c>
      <c r="W239" s="7">
        <f>SUM(L239:S239)</f>
        <v/>
      </c>
      <c r="X239" s="7">
        <f>SUM(T239:V239)</f>
        <v/>
      </c>
      <c r="Y239" s="8">
        <f>MAX(0,MIN(1,Parametros!B2-W239*Parametros!B3+X239*Parametros!B4))</f>
        <v/>
      </c>
    </row>
    <row r="240">
      <c r="A240" t="inlineStr">
        <is>
          <t>92cbrz</t>
        </is>
      </c>
      <c r="B240" t="inlineStr">
        <is>
          <t>João Lucas Pastor</t>
        </is>
      </c>
      <c r="C240" s="6" t="n">
        <v>0.366</v>
      </c>
      <c r="D240" s="6" t="n">
        <v>0.8069</v>
      </c>
      <c r="E240" s="6" t="n">
        <v>0.299</v>
      </c>
      <c r="F240" s="6" t="n">
        <v>0.676</v>
      </c>
      <c r="G240" s="6" t="n">
        <v>0.6453</v>
      </c>
      <c r="H240" s="6" t="n">
        <v>0.6677</v>
      </c>
      <c r="I240" s="6" t="n">
        <v>0.5686</v>
      </c>
      <c r="J240" s="6" t="n">
        <v>0.904</v>
      </c>
      <c r="K240" s="6" t="n">
        <v>0.5286999999999999</v>
      </c>
      <c r="L240" s="7">
        <f>Mecanismos!B2*C240</f>
        <v/>
      </c>
      <c r="M240" s="7">
        <f>Mecanismos!B7*D240</f>
        <v/>
      </c>
      <c r="N240" s="7">
        <f>Mecanismos!B4*(1-E240)</f>
        <v/>
      </c>
      <c r="O240" s="7">
        <f>Mecanismos!B5*(1-F240)</f>
        <v/>
      </c>
      <c r="P240" s="7">
        <f>Mecanismos!B6*(1-I240)</f>
        <v/>
      </c>
      <c r="Q240" s="7">
        <f>Mecanismos!B9*(1-G240)</f>
        <v/>
      </c>
      <c r="R240" s="7">
        <f>Mecanismos!B3*(1-D240)</f>
        <v/>
      </c>
      <c r="S240" s="7">
        <f>Mecanismos!B9*(1-J240)</f>
        <v/>
      </c>
      <c r="T240" s="7">
        <f>Mecanismos!B8*H240</f>
        <v/>
      </c>
      <c r="U240" s="7">
        <f>Mecanismos!B10*H240</f>
        <v/>
      </c>
      <c r="V240" s="7">
        <f>Mecanismos!B8*K240</f>
        <v/>
      </c>
      <c r="W240" s="7">
        <f>SUM(L240:S240)</f>
        <v/>
      </c>
      <c r="X240" s="7">
        <f>SUM(T240:V240)</f>
        <v/>
      </c>
      <c r="Y240" s="8">
        <f>MAX(0,MIN(1,Parametros!B2-W240*Parametros!B3+X240*Parametros!B4))</f>
        <v/>
      </c>
    </row>
    <row r="241">
      <c r="A241" t="inlineStr">
        <is>
          <t>0df37h</t>
        </is>
      </c>
      <c r="B241" t="inlineStr">
        <is>
          <t>João Miguel Castro</t>
        </is>
      </c>
      <c r="C241" s="6" t="n">
        <v>0.628</v>
      </c>
      <c r="D241" s="6" t="n">
        <v>0.4778</v>
      </c>
      <c r="E241" s="6" t="n">
        <v>0.5103</v>
      </c>
      <c r="F241" s="6" t="n">
        <v>0.6782</v>
      </c>
      <c r="G241" s="6" t="n">
        <v>0.3997</v>
      </c>
      <c r="H241" s="6" t="n">
        <v>0.8437</v>
      </c>
      <c r="I241" s="6" t="n">
        <v>0.6661</v>
      </c>
      <c r="J241" s="6" t="n">
        <v>0.861</v>
      </c>
      <c r="K241" s="6" t="n">
        <v>0.2604</v>
      </c>
      <c r="L241" s="7">
        <f>Mecanismos!B2*C241</f>
        <v/>
      </c>
      <c r="M241" s="7">
        <f>Mecanismos!B7*D241</f>
        <v/>
      </c>
      <c r="N241" s="7">
        <f>Mecanismos!B4*(1-E241)</f>
        <v/>
      </c>
      <c r="O241" s="7">
        <f>Mecanismos!B5*(1-F241)</f>
        <v/>
      </c>
      <c r="P241" s="7">
        <f>Mecanismos!B6*(1-I241)</f>
        <v/>
      </c>
      <c r="Q241" s="7">
        <f>Mecanismos!B9*(1-G241)</f>
        <v/>
      </c>
      <c r="R241" s="7">
        <f>Mecanismos!B3*(1-D241)</f>
        <v/>
      </c>
      <c r="S241" s="7">
        <f>Mecanismos!B9*(1-J241)</f>
        <v/>
      </c>
      <c r="T241" s="7">
        <f>Mecanismos!B8*H241</f>
        <v/>
      </c>
      <c r="U241" s="7">
        <f>Mecanismos!B10*H241</f>
        <v/>
      </c>
      <c r="V241" s="7">
        <f>Mecanismos!B8*K241</f>
        <v/>
      </c>
      <c r="W241" s="7">
        <f>SUM(L241:S241)</f>
        <v/>
      </c>
      <c r="X241" s="7">
        <f>SUM(T241:V241)</f>
        <v/>
      </c>
      <c r="Y241" s="8">
        <f>MAX(0,MIN(1,Parametros!B2-W241*Parametros!B3+X241*Parametros!B4))</f>
        <v/>
      </c>
    </row>
    <row r="242">
      <c r="A242" t="inlineStr">
        <is>
          <t>3trc82</t>
        </is>
      </c>
      <c r="B242" t="inlineStr">
        <is>
          <t>João Miguel Nascimento</t>
        </is>
      </c>
      <c r="C242" s="6" t="n">
        <v>0.7034</v>
      </c>
      <c r="D242" s="6" t="n">
        <v>0.4708</v>
      </c>
      <c r="E242" s="6" t="n">
        <v>0.7202</v>
      </c>
      <c r="F242" s="6" t="n">
        <v>0.7165</v>
      </c>
      <c r="G242" s="6" t="n">
        <v>0.5115</v>
      </c>
      <c r="H242" s="6" t="n">
        <v>0.6506999999999999</v>
      </c>
      <c r="I242" s="6" t="n">
        <v>0.406</v>
      </c>
      <c r="J242" s="6" t="n">
        <v>0.6343</v>
      </c>
      <c r="K242" s="6" t="n">
        <v>0.5729</v>
      </c>
      <c r="L242" s="7">
        <f>Mecanismos!B2*C242</f>
        <v/>
      </c>
      <c r="M242" s="7">
        <f>Mecanismos!B7*D242</f>
        <v/>
      </c>
      <c r="N242" s="7">
        <f>Mecanismos!B4*(1-E242)</f>
        <v/>
      </c>
      <c r="O242" s="7">
        <f>Mecanismos!B5*(1-F242)</f>
        <v/>
      </c>
      <c r="P242" s="7">
        <f>Mecanismos!B6*(1-I242)</f>
        <v/>
      </c>
      <c r="Q242" s="7">
        <f>Mecanismos!B9*(1-G242)</f>
        <v/>
      </c>
      <c r="R242" s="7">
        <f>Mecanismos!B3*(1-D242)</f>
        <v/>
      </c>
      <c r="S242" s="7">
        <f>Mecanismos!B9*(1-J242)</f>
        <v/>
      </c>
      <c r="T242" s="7">
        <f>Mecanismos!B8*H242</f>
        <v/>
      </c>
      <c r="U242" s="7">
        <f>Mecanismos!B10*H242</f>
        <v/>
      </c>
      <c r="V242" s="7">
        <f>Mecanismos!B8*K242</f>
        <v/>
      </c>
      <c r="W242" s="7">
        <f>SUM(L242:S242)</f>
        <v/>
      </c>
      <c r="X242" s="7">
        <f>SUM(T242:V242)</f>
        <v/>
      </c>
      <c r="Y242" s="8">
        <f>MAX(0,MIN(1,Parametros!B2-W242*Parametros!B3+X242*Parametros!B4))</f>
        <v/>
      </c>
    </row>
    <row r="243">
      <c r="A243" t="inlineStr">
        <is>
          <t>fy0ydt</t>
        </is>
      </c>
      <c r="B243" t="inlineStr">
        <is>
          <t>João Miguel Nogueira</t>
        </is>
      </c>
      <c r="C243" s="6" t="n">
        <v>0.5643</v>
      </c>
      <c r="D243" s="6" t="n">
        <v>0.6046</v>
      </c>
      <c r="E243" s="6" t="n">
        <v>0.2756</v>
      </c>
      <c r="F243" s="6" t="n">
        <v>0.6604</v>
      </c>
      <c r="G243" s="6" t="n">
        <v>0.5437</v>
      </c>
      <c r="H243" s="6" t="n">
        <v>0.4213</v>
      </c>
      <c r="I243" s="6" t="n">
        <v>0.5788</v>
      </c>
      <c r="J243" s="6" t="n">
        <v>0.7776</v>
      </c>
      <c r="K243" s="6" t="n">
        <v>0.3022</v>
      </c>
      <c r="L243" s="7">
        <f>Mecanismos!B2*C243</f>
        <v/>
      </c>
      <c r="M243" s="7">
        <f>Mecanismos!B7*D243</f>
        <v/>
      </c>
      <c r="N243" s="7">
        <f>Mecanismos!B4*(1-E243)</f>
        <v/>
      </c>
      <c r="O243" s="7">
        <f>Mecanismos!B5*(1-F243)</f>
        <v/>
      </c>
      <c r="P243" s="7">
        <f>Mecanismos!B6*(1-I243)</f>
        <v/>
      </c>
      <c r="Q243" s="7">
        <f>Mecanismos!B9*(1-G243)</f>
        <v/>
      </c>
      <c r="R243" s="7">
        <f>Mecanismos!B3*(1-D243)</f>
        <v/>
      </c>
      <c r="S243" s="7">
        <f>Mecanismos!B9*(1-J243)</f>
        <v/>
      </c>
      <c r="T243" s="7">
        <f>Mecanismos!B8*H243</f>
        <v/>
      </c>
      <c r="U243" s="7">
        <f>Mecanismos!B10*H243</f>
        <v/>
      </c>
      <c r="V243" s="7">
        <f>Mecanismos!B8*K243</f>
        <v/>
      </c>
      <c r="W243" s="7">
        <f>SUM(L243:S243)</f>
        <v/>
      </c>
      <c r="X243" s="7">
        <f>SUM(T243:V243)</f>
        <v/>
      </c>
      <c r="Y243" s="8">
        <f>MAX(0,MIN(1,Parametros!B2-W243*Parametros!B3+X243*Parametros!B4))</f>
        <v/>
      </c>
    </row>
    <row r="244">
      <c r="A244" t="inlineStr">
        <is>
          <t>o884sg</t>
        </is>
      </c>
      <c r="B244" t="inlineStr">
        <is>
          <t>João Miguel da Luz</t>
        </is>
      </c>
      <c r="C244" s="6" t="n">
        <v>0.3628</v>
      </c>
      <c r="D244" s="6" t="n">
        <v>0.4051</v>
      </c>
      <c r="E244" s="6" t="n">
        <v>0.8101</v>
      </c>
      <c r="F244" s="6" t="n">
        <v>0.7019</v>
      </c>
      <c r="G244" s="6" t="n">
        <v>0.3169</v>
      </c>
      <c r="H244" s="6" t="n">
        <v>0.5735</v>
      </c>
      <c r="I244" s="6" t="n">
        <v>0.7040999999999999</v>
      </c>
      <c r="J244" s="6" t="n">
        <v>0.8897</v>
      </c>
      <c r="K244" s="6" t="n">
        <v>0.4166</v>
      </c>
      <c r="L244" s="7">
        <f>Mecanismos!B2*C244</f>
        <v/>
      </c>
      <c r="M244" s="7">
        <f>Mecanismos!B7*D244</f>
        <v/>
      </c>
      <c r="N244" s="7">
        <f>Mecanismos!B4*(1-E244)</f>
        <v/>
      </c>
      <c r="O244" s="7">
        <f>Mecanismos!B5*(1-F244)</f>
        <v/>
      </c>
      <c r="P244" s="7">
        <f>Mecanismos!B6*(1-I244)</f>
        <v/>
      </c>
      <c r="Q244" s="7">
        <f>Mecanismos!B9*(1-G244)</f>
        <v/>
      </c>
      <c r="R244" s="7">
        <f>Mecanismos!B3*(1-D244)</f>
        <v/>
      </c>
      <c r="S244" s="7">
        <f>Mecanismos!B9*(1-J244)</f>
        <v/>
      </c>
      <c r="T244" s="7">
        <f>Mecanismos!B8*H244</f>
        <v/>
      </c>
      <c r="U244" s="7">
        <f>Mecanismos!B10*H244</f>
        <v/>
      </c>
      <c r="V244" s="7">
        <f>Mecanismos!B8*K244</f>
        <v/>
      </c>
      <c r="W244" s="7">
        <f>SUM(L244:S244)</f>
        <v/>
      </c>
      <c r="X244" s="7">
        <f>SUM(T244:V244)</f>
        <v/>
      </c>
      <c r="Y244" s="8">
        <f>MAX(0,MIN(1,Parametros!B2-W244*Parametros!B3+X244*Parametros!B4))</f>
        <v/>
      </c>
    </row>
    <row r="245">
      <c r="A245" t="inlineStr">
        <is>
          <t>0pyokg</t>
        </is>
      </c>
      <c r="B245" t="inlineStr">
        <is>
          <t>João Pedro Martins</t>
        </is>
      </c>
      <c r="C245" s="6" t="n">
        <v>0.6991000000000001</v>
      </c>
      <c r="D245" s="6" t="n">
        <v>0.5255</v>
      </c>
      <c r="E245" s="6" t="n">
        <v>0.4745</v>
      </c>
      <c r="F245" s="6" t="n">
        <v>0.6094000000000001</v>
      </c>
      <c r="G245" s="6" t="n">
        <v>0.2778</v>
      </c>
      <c r="H245" s="6" t="n">
        <v>0.5895</v>
      </c>
      <c r="I245" s="6" t="n">
        <v>0.5433</v>
      </c>
      <c r="J245" s="6" t="n">
        <v>0.721</v>
      </c>
      <c r="K245" s="6" t="n">
        <v>0.3327</v>
      </c>
      <c r="L245" s="7">
        <f>Mecanismos!B2*C245</f>
        <v/>
      </c>
      <c r="M245" s="7">
        <f>Mecanismos!B7*D245</f>
        <v/>
      </c>
      <c r="N245" s="7">
        <f>Mecanismos!B4*(1-E245)</f>
        <v/>
      </c>
      <c r="O245" s="7">
        <f>Mecanismos!B5*(1-F245)</f>
        <v/>
      </c>
      <c r="P245" s="7">
        <f>Mecanismos!B6*(1-I245)</f>
        <v/>
      </c>
      <c r="Q245" s="7">
        <f>Mecanismos!B9*(1-G245)</f>
        <v/>
      </c>
      <c r="R245" s="7">
        <f>Mecanismos!B3*(1-D245)</f>
        <v/>
      </c>
      <c r="S245" s="7">
        <f>Mecanismos!B9*(1-J245)</f>
        <v/>
      </c>
      <c r="T245" s="7">
        <f>Mecanismos!B8*H245</f>
        <v/>
      </c>
      <c r="U245" s="7">
        <f>Mecanismos!B10*H245</f>
        <v/>
      </c>
      <c r="V245" s="7">
        <f>Mecanismos!B8*K245</f>
        <v/>
      </c>
      <c r="W245" s="7">
        <f>SUM(L245:S245)</f>
        <v/>
      </c>
      <c r="X245" s="7">
        <f>SUM(T245:V245)</f>
        <v/>
      </c>
      <c r="Y245" s="8">
        <f>MAX(0,MIN(1,Parametros!B2-W245*Parametros!B3+X245*Parametros!B4))</f>
        <v/>
      </c>
    </row>
    <row r="246">
      <c r="A246" t="inlineStr">
        <is>
          <t>n23kl3</t>
        </is>
      </c>
      <c r="B246" t="inlineStr">
        <is>
          <t>João Vitor Garcia</t>
        </is>
      </c>
      <c r="C246" s="6" t="n">
        <v>0.6860000000000001</v>
      </c>
      <c r="D246" s="6" t="n">
        <v>0.2819</v>
      </c>
      <c r="E246" s="6" t="n">
        <v>0.6582</v>
      </c>
      <c r="F246" s="6" t="n">
        <v>0.4917</v>
      </c>
      <c r="G246" s="6" t="n">
        <v>0.5790999999999999</v>
      </c>
      <c r="H246" s="6" t="n">
        <v>0.549</v>
      </c>
      <c r="I246" s="6" t="n">
        <v>0.5755</v>
      </c>
      <c r="J246" s="6" t="n">
        <v>0.5285</v>
      </c>
      <c r="K246" s="6" t="n">
        <v>0.309</v>
      </c>
      <c r="L246" s="7">
        <f>Mecanismos!B2*C246</f>
        <v/>
      </c>
      <c r="M246" s="7">
        <f>Mecanismos!B7*D246</f>
        <v/>
      </c>
      <c r="N246" s="7">
        <f>Mecanismos!B4*(1-E246)</f>
        <v/>
      </c>
      <c r="O246" s="7">
        <f>Mecanismos!B5*(1-F246)</f>
        <v/>
      </c>
      <c r="P246" s="7">
        <f>Mecanismos!B6*(1-I246)</f>
        <v/>
      </c>
      <c r="Q246" s="7">
        <f>Mecanismos!B9*(1-G246)</f>
        <v/>
      </c>
      <c r="R246" s="7">
        <f>Mecanismos!B3*(1-D246)</f>
        <v/>
      </c>
      <c r="S246" s="7">
        <f>Mecanismos!B9*(1-J246)</f>
        <v/>
      </c>
      <c r="T246" s="7">
        <f>Mecanismos!B8*H246</f>
        <v/>
      </c>
      <c r="U246" s="7">
        <f>Mecanismos!B10*H246</f>
        <v/>
      </c>
      <c r="V246" s="7">
        <f>Mecanismos!B8*K246</f>
        <v/>
      </c>
      <c r="W246" s="7">
        <f>SUM(L246:S246)</f>
        <v/>
      </c>
      <c r="X246" s="7">
        <f>SUM(T246:V246)</f>
        <v/>
      </c>
      <c r="Y246" s="8">
        <f>MAX(0,MIN(1,Parametros!B2-W246*Parametros!B3+X246*Parametros!B4))</f>
        <v/>
      </c>
    </row>
    <row r="247">
      <c r="A247" t="inlineStr">
        <is>
          <t>afiyxd</t>
        </is>
      </c>
      <c r="B247" t="inlineStr">
        <is>
          <t>João Vitor Machado</t>
        </is>
      </c>
      <c r="C247" s="6" t="n">
        <v>0.6451</v>
      </c>
      <c r="D247" s="6" t="n">
        <v>0.3452</v>
      </c>
      <c r="E247" s="6" t="n">
        <v>0.4822</v>
      </c>
      <c r="F247" s="6" t="n">
        <v>0.7828000000000001</v>
      </c>
      <c r="G247" s="6" t="n">
        <v>0.498</v>
      </c>
      <c r="H247" s="6" t="n">
        <v>0.5437</v>
      </c>
      <c r="I247" s="6" t="n">
        <v>0.4241</v>
      </c>
      <c r="J247" s="6" t="n">
        <v>0.7056</v>
      </c>
      <c r="K247" s="6" t="n">
        <v>0.2169</v>
      </c>
      <c r="L247" s="7">
        <f>Mecanismos!B2*C247</f>
        <v/>
      </c>
      <c r="M247" s="7">
        <f>Mecanismos!B7*D247</f>
        <v/>
      </c>
      <c r="N247" s="7">
        <f>Mecanismos!B4*(1-E247)</f>
        <v/>
      </c>
      <c r="O247" s="7">
        <f>Mecanismos!B5*(1-F247)</f>
        <v/>
      </c>
      <c r="P247" s="7">
        <f>Mecanismos!B6*(1-I247)</f>
        <v/>
      </c>
      <c r="Q247" s="7">
        <f>Mecanismos!B9*(1-G247)</f>
        <v/>
      </c>
      <c r="R247" s="7">
        <f>Mecanismos!B3*(1-D247)</f>
        <v/>
      </c>
      <c r="S247" s="7">
        <f>Mecanismos!B9*(1-J247)</f>
        <v/>
      </c>
      <c r="T247" s="7">
        <f>Mecanismos!B8*H247</f>
        <v/>
      </c>
      <c r="U247" s="7">
        <f>Mecanismos!B10*H247</f>
        <v/>
      </c>
      <c r="V247" s="7">
        <f>Mecanismos!B8*K247</f>
        <v/>
      </c>
      <c r="W247" s="7">
        <f>SUM(L247:S247)</f>
        <v/>
      </c>
      <c r="X247" s="7">
        <f>SUM(T247:V247)</f>
        <v/>
      </c>
      <c r="Y247" s="8">
        <f>MAX(0,MIN(1,Parametros!B2-W247*Parametros!B3+X247*Parametros!B4))</f>
        <v/>
      </c>
    </row>
    <row r="248">
      <c r="A248" t="inlineStr">
        <is>
          <t>it5mti</t>
        </is>
      </c>
      <c r="B248" t="inlineStr">
        <is>
          <t>João Vitor Rocha</t>
        </is>
      </c>
      <c r="C248" s="6" t="n">
        <v>0.4478</v>
      </c>
      <c r="D248" s="6" t="n">
        <v>0.4576</v>
      </c>
      <c r="E248" s="6" t="n">
        <v>0.6848</v>
      </c>
      <c r="F248" s="6" t="n">
        <v>0.5502</v>
      </c>
      <c r="G248" s="6" t="n">
        <v>0.5981</v>
      </c>
      <c r="H248" s="6" t="n">
        <v>0.7</v>
      </c>
      <c r="I248" s="6" t="n">
        <v>0.4642</v>
      </c>
      <c r="J248" s="6" t="n">
        <v>0.77</v>
      </c>
      <c r="K248" s="6" t="n">
        <v>0.5196</v>
      </c>
      <c r="L248" s="7">
        <f>Mecanismos!B2*C248</f>
        <v/>
      </c>
      <c r="M248" s="7">
        <f>Mecanismos!B7*D248</f>
        <v/>
      </c>
      <c r="N248" s="7">
        <f>Mecanismos!B4*(1-E248)</f>
        <v/>
      </c>
      <c r="O248" s="7">
        <f>Mecanismos!B5*(1-F248)</f>
        <v/>
      </c>
      <c r="P248" s="7">
        <f>Mecanismos!B6*(1-I248)</f>
        <v/>
      </c>
      <c r="Q248" s="7">
        <f>Mecanismos!B9*(1-G248)</f>
        <v/>
      </c>
      <c r="R248" s="7">
        <f>Mecanismos!B3*(1-D248)</f>
        <v/>
      </c>
      <c r="S248" s="7">
        <f>Mecanismos!B9*(1-J248)</f>
        <v/>
      </c>
      <c r="T248" s="7">
        <f>Mecanismos!B8*H248</f>
        <v/>
      </c>
      <c r="U248" s="7">
        <f>Mecanismos!B10*H248</f>
        <v/>
      </c>
      <c r="V248" s="7">
        <f>Mecanismos!B8*K248</f>
        <v/>
      </c>
      <c r="W248" s="7">
        <f>SUM(L248:S248)</f>
        <v/>
      </c>
      <c r="X248" s="7">
        <f>SUM(T248:V248)</f>
        <v/>
      </c>
      <c r="Y248" s="8">
        <f>MAX(0,MIN(1,Parametros!B2-W248*Parametros!B3+X248*Parametros!B4))</f>
        <v/>
      </c>
    </row>
    <row r="249">
      <c r="A249" t="inlineStr">
        <is>
          <t>stvmyz</t>
        </is>
      </c>
      <c r="B249" t="inlineStr">
        <is>
          <t>João Vitor Santos</t>
        </is>
      </c>
      <c r="C249" s="6" t="n">
        <v>0.6785</v>
      </c>
      <c r="D249" s="6" t="n">
        <v>0.6907</v>
      </c>
      <c r="E249" s="6" t="n">
        <v>0.7291</v>
      </c>
      <c r="F249" s="6" t="n">
        <v>0.3781</v>
      </c>
      <c r="G249" s="6" t="n">
        <v>0.2464</v>
      </c>
      <c r="H249" s="6" t="n">
        <v>0.5666</v>
      </c>
      <c r="I249" s="6" t="n">
        <v>0.4909</v>
      </c>
      <c r="J249" s="6" t="n">
        <v>0.9675</v>
      </c>
      <c r="K249" s="6" t="n">
        <v>0.3582</v>
      </c>
      <c r="L249" s="7">
        <f>Mecanismos!B2*C249</f>
        <v/>
      </c>
      <c r="M249" s="7">
        <f>Mecanismos!B7*D249</f>
        <v/>
      </c>
      <c r="N249" s="7">
        <f>Mecanismos!B4*(1-E249)</f>
        <v/>
      </c>
      <c r="O249" s="7">
        <f>Mecanismos!B5*(1-F249)</f>
        <v/>
      </c>
      <c r="P249" s="7">
        <f>Mecanismos!B6*(1-I249)</f>
        <v/>
      </c>
      <c r="Q249" s="7">
        <f>Mecanismos!B9*(1-G249)</f>
        <v/>
      </c>
      <c r="R249" s="7">
        <f>Mecanismos!B3*(1-D249)</f>
        <v/>
      </c>
      <c r="S249" s="7">
        <f>Mecanismos!B9*(1-J249)</f>
        <v/>
      </c>
      <c r="T249" s="7">
        <f>Mecanismos!B8*H249</f>
        <v/>
      </c>
      <c r="U249" s="7">
        <f>Mecanismos!B10*H249</f>
        <v/>
      </c>
      <c r="V249" s="7">
        <f>Mecanismos!B8*K249</f>
        <v/>
      </c>
      <c r="W249" s="7">
        <f>SUM(L249:S249)</f>
        <v/>
      </c>
      <c r="X249" s="7">
        <f>SUM(T249:V249)</f>
        <v/>
      </c>
      <c r="Y249" s="8">
        <f>MAX(0,MIN(1,Parametros!B2-W249*Parametros!B3+X249*Parametros!B4))</f>
        <v/>
      </c>
    </row>
    <row r="250">
      <c r="A250" t="inlineStr">
        <is>
          <t>iuagmq</t>
        </is>
      </c>
      <c r="B250" t="inlineStr">
        <is>
          <t>Julia Castro</t>
        </is>
      </c>
      <c r="C250" s="6" t="n">
        <v>0.5989</v>
      </c>
      <c r="D250" s="6" t="n">
        <v>0.3309</v>
      </c>
      <c r="E250" s="6" t="n">
        <v>0.6555</v>
      </c>
      <c r="F250" s="6" t="n">
        <v>0.4469</v>
      </c>
      <c r="G250" s="6" t="n">
        <v>0.5038</v>
      </c>
      <c r="H250" s="6" t="n">
        <v>0.5183</v>
      </c>
      <c r="I250" s="6" t="n">
        <v>0.1637</v>
      </c>
      <c r="J250" s="6" t="n">
        <v>0.8873</v>
      </c>
      <c r="K250" s="6" t="n">
        <v>0.5826</v>
      </c>
      <c r="L250" s="7">
        <f>Mecanismos!B2*C250</f>
        <v/>
      </c>
      <c r="M250" s="7">
        <f>Mecanismos!B7*D250</f>
        <v/>
      </c>
      <c r="N250" s="7">
        <f>Mecanismos!B4*(1-E250)</f>
        <v/>
      </c>
      <c r="O250" s="7">
        <f>Mecanismos!B5*(1-F250)</f>
        <v/>
      </c>
      <c r="P250" s="7">
        <f>Mecanismos!B6*(1-I250)</f>
        <v/>
      </c>
      <c r="Q250" s="7">
        <f>Mecanismos!B9*(1-G250)</f>
        <v/>
      </c>
      <c r="R250" s="7">
        <f>Mecanismos!B3*(1-D250)</f>
        <v/>
      </c>
      <c r="S250" s="7">
        <f>Mecanismos!B9*(1-J250)</f>
        <v/>
      </c>
      <c r="T250" s="7">
        <f>Mecanismos!B8*H250</f>
        <v/>
      </c>
      <c r="U250" s="7">
        <f>Mecanismos!B10*H250</f>
        <v/>
      </c>
      <c r="V250" s="7">
        <f>Mecanismos!B8*K250</f>
        <v/>
      </c>
      <c r="W250" s="7">
        <f>SUM(L250:S250)</f>
        <v/>
      </c>
      <c r="X250" s="7">
        <f>SUM(T250:V250)</f>
        <v/>
      </c>
      <c r="Y250" s="8">
        <f>MAX(0,MIN(1,Parametros!B2-W250*Parametros!B3+X250*Parametros!B4))</f>
        <v/>
      </c>
    </row>
    <row r="251">
      <c r="A251" t="inlineStr">
        <is>
          <t>vp2x63</t>
        </is>
      </c>
      <c r="B251" t="inlineStr">
        <is>
          <t>Julia Câmara</t>
        </is>
      </c>
      <c r="C251" s="6" t="n">
        <v>0.522</v>
      </c>
      <c r="D251" s="6" t="n">
        <v>0.4156</v>
      </c>
      <c r="E251" s="6" t="n">
        <v>0.5946</v>
      </c>
      <c r="F251" s="6" t="n">
        <v>0.586</v>
      </c>
      <c r="G251" s="6" t="n">
        <v>0.5948</v>
      </c>
      <c r="H251" s="6" t="n">
        <v>0.6155</v>
      </c>
      <c r="I251" s="6" t="n">
        <v>0.4324</v>
      </c>
      <c r="J251" s="6" t="n">
        <v>0.7956</v>
      </c>
      <c r="K251" s="6" t="n">
        <v>0.7381</v>
      </c>
      <c r="L251" s="7">
        <f>Mecanismos!B2*C251</f>
        <v/>
      </c>
      <c r="M251" s="7">
        <f>Mecanismos!B7*D251</f>
        <v/>
      </c>
      <c r="N251" s="7">
        <f>Mecanismos!B4*(1-E251)</f>
        <v/>
      </c>
      <c r="O251" s="7">
        <f>Mecanismos!B5*(1-F251)</f>
        <v/>
      </c>
      <c r="P251" s="7">
        <f>Mecanismos!B6*(1-I251)</f>
        <v/>
      </c>
      <c r="Q251" s="7">
        <f>Mecanismos!B9*(1-G251)</f>
        <v/>
      </c>
      <c r="R251" s="7">
        <f>Mecanismos!B3*(1-D251)</f>
        <v/>
      </c>
      <c r="S251" s="7">
        <f>Mecanismos!B9*(1-J251)</f>
        <v/>
      </c>
      <c r="T251" s="7">
        <f>Mecanismos!B8*H251</f>
        <v/>
      </c>
      <c r="U251" s="7">
        <f>Mecanismos!B10*H251</f>
        <v/>
      </c>
      <c r="V251" s="7">
        <f>Mecanismos!B8*K251</f>
        <v/>
      </c>
      <c r="W251" s="7">
        <f>SUM(L251:S251)</f>
        <v/>
      </c>
      <c r="X251" s="7">
        <f>SUM(T251:V251)</f>
        <v/>
      </c>
      <c r="Y251" s="8">
        <f>MAX(0,MIN(1,Parametros!B2-W251*Parametros!B3+X251*Parametros!B4))</f>
        <v/>
      </c>
    </row>
    <row r="252">
      <c r="A252" t="inlineStr">
        <is>
          <t>wbrklc</t>
        </is>
      </c>
      <c r="B252" t="inlineStr">
        <is>
          <t>Julia Ferreira</t>
        </is>
      </c>
      <c r="C252" s="6" t="n">
        <v>0.6225000000000001</v>
      </c>
      <c r="D252" s="6" t="n">
        <v>0.4256</v>
      </c>
      <c r="E252" s="6" t="n">
        <v>0.3938</v>
      </c>
      <c r="F252" s="6" t="n">
        <v>0.5929</v>
      </c>
      <c r="G252" s="6" t="n">
        <v>0.376</v>
      </c>
      <c r="H252" s="6" t="n">
        <v>0.5522</v>
      </c>
      <c r="I252" s="6" t="n">
        <v>0.4237</v>
      </c>
      <c r="J252" s="6" t="n">
        <v>0.5283</v>
      </c>
      <c r="K252" s="6" t="n">
        <v>0.6746</v>
      </c>
      <c r="L252" s="7">
        <f>Mecanismos!B2*C252</f>
        <v/>
      </c>
      <c r="M252" s="7">
        <f>Mecanismos!B7*D252</f>
        <v/>
      </c>
      <c r="N252" s="7">
        <f>Mecanismos!B4*(1-E252)</f>
        <v/>
      </c>
      <c r="O252" s="7">
        <f>Mecanismos!B5*(1-F252)</f>
        <v/>
      </c>
      <c r="P252" s="7">
        <f>Mecanismos!B6*(1-I252)</f>
        <v/>
      </c>
      <c r="Q252" s="7">
        <f>Mecanismos!B9*(1-G252)</f>
        <v/>
      </c>
      <c r="R252" s="7">
        <f>Mecanismos!B3*(1-D252)</f>
        <v/>
      </c>
      <c r="S252" s="7">
        <f>Mecanismos!B9*(1-J252)</f>
        <v/>
      </c>
      <c r="T252" s="7">
        <f>Mecanismos!B8*H252</f>
        <v/>
      </c>
      <c r="U252" s="7">
        <f>Mecanismos!B10*H252</f>
        <v/>
      </c>
      <c r="V252" s="7">
        <f>Mecanismos!B8*K252</f>
        <v/>
      </c>
      <c r="W252" s="7">
        <f>SUM(L252:S252)</f>
        <v/>
      </c>
      <c r="X252" s="7">
        <f>SUM(T252:V252)</f>
        <v/>
      </c>
      <c r="Y252" s="8">
        <f>MAX(0,MIN(1,Parametros!B2-W252*Parametros!B3+X252*Parametros!B4))</f>
        <v/>
      </c>
    </row>
    <row r="253">
      <c r="A253" t="inlineStr">
        <is>
          <t>3pib3e</t>
        </is>
      </c>
      <c r="B253" t="inlineStr">
        <is>
          <t>Juliana Andrade</t>
        </is>
      </c>
      <c r="C253" s="6" t="n">
        <v>0.7524999999999999</v>
      </c>
      <c r="D253" s="6" t="n">
        <v>0.6669</v>
      </c>
      <c r="E253" s="6" t="n">
        <v>0.591</v>
      </c>
      <c r="F253" s="6" t="n">
        <v>0.7094</v>
      </c>
      <c r="G253" s="6" t="n">
        <v>0.6051</v>
      </c>
      <c r="H253" s="6" t="n">
        <v>0.604</v>
      </c>
      <c r="I253" s="6" t="n">
        <v>0.6598000000000001</v>
      </c>
      <c r="J253" s="6" t="n">
        <v>0.9258</v>
      </c>
      <c r="K253" s="6" t="n">
        <v>0.3744</v>
      </c>
      <c r="L253" s="7">
        <f>Mecanismos!B2*C253</f>
        <v/>
      </c>
      <c r="M253" s="7">
        <f>Mecanismos!B7*D253</f>
        <v/>
      </c>
      <c r="N253" s="7">
        <f>Mecanismos!B4*(1-E253)</f>
        <v/>
      </c>
      <c r="O253" s="7">
        <f>Mecanismos!B5*(1-F253)</f>
        <v/>
      </c>
      <c r="P253" s="7">
        <f>Mecanismos!B6*(1-I253)</f>
        <v/>
      </c>
      <c r="Q253" s="7">
        <f>Mecanismos!B9*(1-G253)</f>
        <v/>
      </c>
      <c r="R253" s="7">
        <f>Mecanismos!B3*(1-D253)</f>
        <v/>
      </c>
      <c r="S253" s="7">
        <f>Mecanismos!B9*(1-J253)</f>
        <v/>
      </c>
      <c r="T253" s="7">
        <f>Mecanismos!B8*H253</f>
        <v/>
      </c>
      <c r="U253" s="7">
        <f>Mecanismos!B10*H253</f>
        <v/>
      </c>
      <c r="V253" s="7">
        <f>Mecanismos!B8*K253</f>
        <v/>
      </c>
      <c r="W253" s="7">
        <f>SUM(L253:S253)</f>
        <v/>
      </c>
      <c r="X253" s="7">
        <f>SUM(T253:V253)</f>
        <v/>
      </c>
      <c r="Y253" s="8">
        <f>MAX(0,MIN(1,Parametros!B2-W253*Parametros!B3+X253*Parametros!B4))</f>
        <v/>
      </c>
    </row>
    <row r="254">
      <c r="A254" t="inlineStr">
        <is>
          <t>tvytuy</t>
        </is>
      </c>
      <c r="B254" t="inlineStr">
        <is>
          <t>Juliana Cassiano</t>
        </is>
      </c>
      <c r="C254" s="6" t="n">
        <v>0.7609</v>
      </c>
      <c r="D254" s="6" t="n">
        <v>0.7507</v>
      </c>
      <c r="E254" s="6" t="n">
        <v>0.6646</v>
      </c>
      <c r="F254" s="6" t="n">
        <v>0.6421</v>
      </c>
      <c r="G254" s="6" t="n">
        <v>0.4461</v>
      </c>
      <c r="H254" s="6" t="n">
        <v>0.5574</v>
      </c>
      <c r="I254" s="6" t="n">
        <v>0.1465</v>
      </c>
      <c r="J254" s="6" t="n">
        <v>0.5315</v>
      </c>
      <c r="K254" s="6" t="n">
        <v>0.3932</v>
      </c>
      <c r="L254" s="7">
        <f>Mecanismos!B2*C254</f>
        <v/>
      </c>
      <c r="M254" s="7">
        <f>Mecanismos!B7*D254</f>
        <v/>
      </c>
      <c r="N254" s="7">
        <f>Mecanismos!B4*(1-E254)</f>
        <v/>
      </c>
      <c r="O254" s="7">
        <f>Mecanismos!B5*(1-F254)</f>
        <v/>
      </c>
      <c r="P254" s="7">
        <f>Mecanismos!B6*(1-I254)</f>
        <v/>
      </c>
      <c r="Q254" s="7">
        <f>Mecanismos!B9*(1-G254)</f>
        <v/>
      </c>
      <c r="R254" s="7">
        <f>Mecanismos!B3*(1-D254)</f>
        <v/>
      </c>
      <c r="S254" s="7">
        <f>Mecanismos!B9*(1-J254)</f>
        <v/>
      </c>
      <c r="T254" s="7">
        <f>Mecanismos!B8*H254</f>
        <v/>
      </c>
      <c r="U254" s="7">
        <f>Mecanismos!B10*H254</f>
        <v/>
      </c>
      <c r="V254" s="7">
        <f>Mecanismos!B8*K254</f>
        <v/>
      </c>
      <c r="W254" s="7">
        <f>SUM(L254:S254)</f>
        <v/>
      </c>
      <c r="X254" s="7">
        <f>SUM(T254:V254)</f>
        <v/>
      </c>
      <c r="Y254" s="8">
        <f>MAX(0,MIN(1,Parametros!B2-W254*Parametros!B3+X254*Parametros!B4))</f>
        <v/>
      </c>
    </row>
    <row r="255">
      <c r="A255" t="inlineStr">
        <is>
          <t>uj1z37</t>
        </is>
      </c>
      <c r="B255" t="inlineStr">
        <is>
          <t>Juliana Duarte</t>
        </is>
      </c>
      <c r="C255" s="6" t="n">
        <v>0.5165999999999999</v>
      </c>
      <c r="D255" s="6" t="n">
        <v>0.413</v>
      </c>
      <c r="E255" s="6" t="n">
        <v>0.3266</v>
      </c>
      <c r="F255" s="6" t="n">
        <v>0.5363</v>
      </c>
      <c r="G255" s="6" t="n">
        <v>0.5604</v>
      </c>
      <c r="H255" s="6" t="n">
        <v>0.4455</v>
      </c>
      <c r="I255" s="6" t="n">
        <v>0.7506</v>
      </c>
      <c r="J255" s="6" t="n">
        <v>0.8483000000000001</v>
      </c>
      <c r="K255" s="6" t="n">
        <v>0.6169</v>
      </c>
      <c r="L255" s="7">
        <f>Mecanismos!B2*C255</f>
        <v/>
      </c>
      <c r="M255" s="7">
        <f>Mecanismos!B7*D255</f>
        <v/>
      </c>
      <c r="N255" s="7">
        <f>Mecanismos!B4*(1-E255)</f>
        <v/>
      </c>
      <c r="O255" s="7">
        <f>Mecanismos!B5*(1-F255)</f>
        <v/>
      </c>
      <c r="P255" s="7">
        <f>Mecanismos!B6*(1-I255)</f>
        <v/>
      </c>
      <c r="Q255" s="7">
        <f>Mecanismos!B9*(1-G255)</f>
        <v/>
      </c>
      <c r="R255" s="7">
        <f>Mecanismos!B3*(1-D255)</f>
        <v/>
      </c>
      <c r="S255" s="7">
        <f>Mecanismos!B9*(1-J255)</f>
        <v/>
      </c>
      <c r="T255" s="7">
        <f>Mecanismos!B8*H255</f>
        <v/>
      </c>
      <c r="U255" s="7">
        <f>Mecanismos!B10*H255</f>
        <v/>
      </c>
      <c r="V255" s="7">
        <f>Mecanismos!B8*K255</f>
        <v/>
      </c>
      <c r="W255" s="7">
        <f>SUM(L255:S255)</f>
        <v/>
      </c>
      <c r="X255" s="7">
        <f>SUM(T255:V255)</f>
        <v/>
      </c>
      <c r="Y255" s="8">
        <f>MAX(0,MIN(1,Parametros!B2-W255*Parametros!B3+X255*Parametros!B4))</f>
        <v/>
      </c>
    </row>
    <row r="256">
      <c r="A256" t="inlineStr">
        <is>
          <t>mo2wzg</t>
        </is>
      </c>
      <c r="B256" t="inlineStr">
        <is>
          <t>Juliana Lima</t>
        </is>
      </c>
      <c r="C256" s="6" t="n">
        <v>0.7772</v>
      </c>
      <c r="D256" s="6" t="n">
        <v>0.4655</v>
      </c>
      <c r="E256" s="6" t="n">
        <v>0.4749</v>
      </c>
      <c r="F256" s="6" t="n">
        <v>0.6723</v>
      </c>
      <c r="G256" s="6" t="n">
        <v>0.5144</v>
      </c>
      <c r="H256" s="6" t="n">
        <v>0.527</v>
      </c>
      <c r="I256" s="6" t="n">
        <v>0.4951</v>
      </c>
      <c r="J256" s="6" t="n">
        <v>0.8163</v>
      </c>
      <c r="K256" s="6" t="n">
        <v>0.6119</v>
      </c>
      <c r="L256" s="7">
        <f>Mecanismos!B2*C256</f>
        <v/>
      </c>
      <c r="M256" s="7">
        <f>Mecanismos!B7*D256</f>
        <v/>
      </c>
      <c r="N256" s="7">
        <f>Mecanismos!B4*(1-E256)</f>
        <v/>
      </c>
      <c r="O256" s="7">
        <f>Mecanismos!B5*(1-F256)</f>
        <v/>
      </c>
      <c r="P256" s="7">
        <f>Mecanismos!B6*(1-I256)</f>
        <v/>
      </c>
      <c r="Q256" s="7">
        <f>Mecanismos!B9*(1-G256)</f>
        <v/>
      </c>
      <c r="R256" s="7">
        <f>Mecanismos!B3*(1-D256)</f>
        <v/>
      </c>
      <c r="S256" s="7">
        <f>Mecanismos!B9*(1-J256)</f>
        <v/>
      </c>
      <c r="T256" s="7">
        <f>Mecanismos!B8*H256</f>
        <v/>
      </c>
      <c r="U256" s="7">
        <f>Mecanismos!B10*H256</f>
        <v/>
      </c>
      <c r="V256" s="7">
        <f>Mecanismos!B8*K256</f>
        <v/>
      </c>
      <c r="W256" s="7">
        <f>SUM(L256:S256)</f>
        <v/>
      </c>
      <c r="X256" s="7">
        <f>SUM(T256:V256)</f>
        <v/>
      </c>
      <c r="Y256" s="8">
        <f>MAX(0,MIN(1,Parametros!B2-W256*Parametros!B3+X256*Parametros!B4))</f>
        <v/>
      </c>
    </row>
    <row r="257">
      <c r="A257" t="inlineStr">
        <is>
          <t>e59unl</t>
        </is>
      </c>
      <c r="B257" t="inlineStr">
        <is>
          <t>Júlia Sá</t>
        </is>
      </c>
      <c r="C257" s="6" t="n">
        <v>0.5822000000000001</v>
      </c>
      <c r="D257" s="6" t="n">
        <v>0.6615</v>
      </c>
      <c r="E257" s="6" t="n">
        <v>0.6224</v>
      </c>
      <c r="F257" s="6" t="n">
        <v>0.5833</v>
      </c>
      <c r="G257" s="6" t="n">
        <v>0.4602</v>
      </c>
      <c r="H257" s="6" t="n">
        <v>0.5216</v>
      </c>
      <c r="I257" s="6" t="n">
        <v>0.753</v>
      </c>
      <c r="J257" s="6" t="n">
        <v>0.8371</v>
      </c>
      <c r="K257" s="6" t="n">
        <v>0.5211</v>
      </c>
      <c r="L257" s="7">
        <f>Mecanismos!B2*C257</f>
        <v/>
      </c>
      <c r="M257" s="7">
        <f>Mecanismos!B7*D257</f>
        <v/>
      </c>
      <c r="N257" s="7">
        <f>Mecanismos!B4*(1-E257)</f>
        <v/>
      </c>
      <c r="O257" s="7">
        <f>Mecanismos!B5*(1-F257)</f>
        <v/>
      </c>
      <c r="P257" s="7">
        <f>Mecanismos!B6*(1-I257)</f>
        <v/>
      </c>
      <c r="Q257" s="7">
        <f>Mecanismos!B9*(1-G257)</f>
        <v/>
      </c>
      <c r="R257" s="7">
        <f>Mecanismos!B3*(1-D257)</f>
        <v/>
      </c>
      <c r="S257" s="7">
        <f>Mecanismos!B9*(1-J257)</f>
        <v/>
      </c>
      <c r="T257" s="7">
        <f>Mecanismos!B8*H257</f>
        <v/>
      </c>
      <c r="U257" s="7">
        <f>Mecanismos!B10*H257</f>
        <v/>
      </c>
      <c r="V257" s="7">
        <f>Mecanismos!B8*K257</f>
        <v/>
      </c>
      <c r="W257" s="7">
        <f>SUM(L257:S257)</f>
        <v/>
      </c>
      <c r="X257" s="7">
        <f>SUM(T257:V257)</f>
        <v/>
      </c>
      <c r="Y257" s="8">
        <f>MAX(0,MIN(1,Parametros!B2-W257*Parametros!B3+X257*Parametros!B4))</f>
        <v/>
      </c>
    </row>
    <row r="258">
      <c r="A258" t="inlineStr">
        <is>
          <t>52089u</t>
        </is>
      </c>
      <c r="B258" t="inlineStr">
        <is>
          <t>Kaique Cirino</t>
        </is>
      </c>
      <c r="C258" s="6" t="n">
        <v>0.4016</v>
      </c>
      <c r="D258" s="6" t="n">
        <v>0.5153</v>
      </c>
      <c r="E258" s="6" t="n">
        <v>0.5750999999999999</v>
      </c>
      <c r="F258" s="6" t="n">
        <v>0.7092000000000001</v>
      </c>
      <c r="G258" s="6" t="n">
        <v>0.2823</v>
      </c>
      <c r="H258" s="6" t="n">
        <v>0.8673</v>
      </c>
      <c r="I258" s="6" t="n">
        <v>0.3692</v>
      </c>
      <c r="J258" s="6" t="n">
        <v>0.8955</v>
      </c>
      <c r="K258" s="6" t="n">
        <v>0.7433999999999999</v>
      </c>
      <c r="L258" s="7">
        <f>Mecanismos!B2*C258</f>
        <v/>
      </c>
      <c r="M258" s="7">
        <f>Mecanismos!B7*D258</f>
        <v/>
      </c>
      <c r="N258" s="7">
        <f>Mecanismos!B4*(1-E258)</f>
        <v/>
      </c>
      <c r="O258" s="7">
        <f>Mecanismos!B5*(1-F258)</f>
        <v/>
      </c>
      <c r="P258" s="7">
        <f>Mecanismos!B6*(1-I258)</f>
        <v/>
      </c>
      <c r="Q258" s="7">
        <f>Mecanismos!B9*(1-G258)</f>
        <v/>
      </c>
      <c r="R258" s="7">
        <f>Mecanismos!B3*(1-D258)</f>
        <v/>
      </c>
      <c r="S258" s="7">
        <f>Mecanismos!B9*(1-J258)</f>
        <v/>
      </c>
      <c r="T258" s="7">
        <f>Mecanismos!B8*H258</f>
        <v/>
      </c>
      <c r="U258" s="7">
        <f>Mecanismos!B10*H258</f>
        <v/>
      </c>
      <c r="V258" s="7">
        <f>Mecanismos!B8*K258</f>
        <v/>
      </c>
      <c r="W258" s="7">
        <f>SUM(L258:S258)</f>
        <v/>
      </c>
      <c r="X258" s="7">
        <f>SUM(T258:V258)</f>
        <v/>
      </c>
      <c r="Y258" s="8">
        <f>MAX(0,MIN(1,Parametros!B2-W258*Parametros!B3+X258*Parametros!B4))</f>
        <v/>
      </c>
    </row>
    <row r="259">
      <c r="A259" t="inlineStr">
        <is>
          <t>nx5z04</t>
        </is>
      </c>
      <c r="B259" t="inlineStr">
        <is>
          <t>Kaique Rezende</t>
        </is>
      </c>
      <c r="C259" s="6" t="n">
        <v>0.5248</v>
      </c>
      <c r="D259" s="6" t="n">
        <v>0.4041</v>
      </c>
      <c r="E259" s="6" t="n">
        <v>0.4968</v>
      </c>
      <c r="F259" s="6" t="n">
        <v>0.5876</v>
      </c>
      <c r="G259" s="6" t="n">
        <v>0.4248</v>
      </c>
      <c r="H259" s="6" t="n">
        <v>0.7039</v>
      </c>
      <c r="I259" s="6" t="n">
        <v>0.6087</v>
      </c>
      <c r="J259" s="6" t="n">
        <v>0.7937</v>
      </c>
      <c r="K259" s="6" t="n">
        <v>0.6454</v>
      </c>
      <c r="L259" s="7">
        <f>Mecanismos!B2*C259</f>
        <v/>
      </c>
      <c r="M259" s="7">
        <f>Mecanismos!B7*D259</f>
        <v/>
      </c>
      <c r="N259" s="7">
        <f>Mecanismos!B4*(1-E259)</f>
        <v/>
      </c>
      <c r="O259" s="7">
        <f>Mecanismos!B5*(1-F259)</f>
        <v/>
      </c>
      <c r="P259" s="7">
        <f>Mecanismos!B6*(1-I259)</f>
        <v/>
      </c>
      <c r="Q259" s="7">
        <f>Mecanismos!B9*(1-G259)</f>
        <v/>
      </c>
      <c r="R259" s="7">
        <f>Mecanismos!B3*(1-D259)</f>
        <v/>
      </c>
      <c r="S259" s="7">
        <f>Mecanismos!B9*(1-J259)</f>
        <v/>
      </c>
      <c r="T259" s="7">
        <f>Mecanismos!B8*H259</f>
        <v/>
      </c>
      <c r="U259" s="7">
        <f>Mecanismos!B10*H259</f>
        <v/>
      </c>
      <c r="V259" s="7">
        <f>Mecanismos!B8*K259</f>
        <v/>
      </c>
      <c r="W259" s="7">
        <f>SUM(L259:S259)</f>
        <v/>
      </c>
      <c r="X259" s="7">
        <f>SUM(T259:V259)</f>
        <v/>
      </c>
      <c r="Y259" s="8">
        <f>MAX(0,MIN(1,Parametros!B2-W259*Parametros!B3+X259*Parametros!B4))</f>
        <v/>
      </c>
    </row>
    <row r="260">
      <c r="A260" t="inlineStr">
        <is>
          <t>4q25n2</t>
        </is>
      </c>
      <c r="B260" t="inlineStr">
        <is>
          <t>Kaique Silveira</t>
        </is>
      </c>
      <c r="C260" s="6" t="n">
        <v>0.4602</v>
      </c>
      <c r="D260" s="6" t="n">
        <v>0.3429</v>
      </c>
      <c r="E260" s="6" t="n">
        <v>0.3762</v>
      </c>
      <c r="F260" s="6" t="n">
        <v>0.4753</v>
      </c>
      <c r="G260" s="6" t="n">
        <v>0.7237</v>
      </c>
      <c r="H260" s="6" t="n">
        <v>0.4295</v>
      </c>
      <c r="I260" s="6" t="n">
        <v>0.7643</v>
      </c>
      <c r="J260" s="6" t="n">
        <v>0.6871</v>
      </c>
      <c r="K260" s="6" t="n">
        <v>0.3123</v>
      </c>
      <c r="L260" s="7">
        <f>Mecanismos!B2*C260</f>
        <v/>
      </c>
      <c r="M260" s="7">
        <f>Mecanismos!B7*D260</f>
        <v/>
      </c>
      <c r="N260" s="7">
        <f>Mecanismos!B4*(1-E260)</f>
        <v/>
      </c>
      <c r="O260" s="7">
        <f>Mecanismos!B5*(1-F260)</f>
        <v/>
      </c>
      <c r="P260" s="7">
        <f>Mecanismos!B6*(1-I260)</f>
        <v/>
      </c>
      <c r="Q260" s="7">
        <f>Mecanismos!B9*(1-G260)</f>
        <v/>
      </c>
      <c r="R260" s="7">
        <f>Mecanismos!B3*(1-D260)</f>
        <v/>
      </c>
      <c r="S260" s="7">
        <f>Mecanismos!B9*(1-J260)</f>
        <v/>
      </c>
      <c r="T260" s="7">
        <f>Mecanismos!B8*H260</f>
        <v/>
      </c>
      <c r="U260" s="7">
        <f>Mecanismos!B10*H260</f>
        <v/>
      </c>
      <c r="V260" s="7">
        <f>Mecanismos!B8*K260</f>
        <v/>
      </c>
      <c r="W260" s="7">
        <f>SUM(L260:S260)</f>
        <v/>
      </c>
      <c r="X260" s="7">
        <f>SUM(T260:V260)</f>
        <v/>
      </c>
      <c r="Y260" s="8">
        <f>MAX(0,MIN(1,Parametros!B2-W260*Parametros!B3+X260*Parametros!B4))</f>
        <v/>
      </c>
    </row>
    <row r="261">
      <c r="A261" t="inlineStr">
        <is>
          <t>l2ydx0</t>
        </is>
      </c>
      <c r="B261" t="inlineStr">
        <is>
          <t>Kaique da Paz</t>
        </is>
      </c>
      <c r="C261" s="6" t="n">
        <v>0.586</v>
      </c>
      <c r="D261" s="6" t="n">
        <v>0.6541</v>
      </c>
      <c r="E261" s="6" t="n">
        <v>0.5604</v>
      </c>
      <c r="F261" s="6" t="n">
        <v>0.3983</v>
      </c>
      <c r="G261" s="6" t="n">
        <v>0.5668</v>
      </c>
      <c r="H261" s="6" t="n">
        <v>0.6428</v>
      </c>
      <c r="I261" s="6" t="n">
        <v>0.4225</v>
      </c>
      <c r="J261" s="6" t="n">
        <v>0.8112</v>
      </c>
      <c r="K261" s="6" t="n">
        <v>0.6429</v>
      </c>
      <c r="L261" s="7">
        <f>Mecanismos!B2*C261</f>
        <v/>
      </c>
      <c r="M261" s="7">
        <f>Mecanismos!B7*D261</f>
        <v/>
      </c>
      <c r="N261" s="7">
        <f>Mecanismos!B4*(1-E261)</f>
        <v/>
      </c>
      <c r="O261" s="7">
        <f>Mecanismos!B5*(1-F261)</f>
        <v/>
      </c>
      <c r="P261" s="7">
        <f>Mecanismos!B6*(1-I261)</f>
        <v/>
      </c>
      <c r="Q261" s="7">
        <f>Mecanismos!B9*(1-G261)</f>
        <v/>
      </c>
      <c r="R261" s="7">
        <f>Mecanismos!B3*(1-D261)</f>
        <v/>
      </c>
      <c r="S261" s="7">
        <f>Mecanismos!B9*(1-J261)</f>
        <v/>
      </c>
      <c r="T261" s="7">
        <f>Mecanismos!B8*H261</f>
        <v/>
      </c>
      <c r="U261" s="7">
        <f>Mecanismos!B10*H261</f>
        <v/>
      </c>
      <c r="V261" s="7">
        <f>Mecanismos!B8*K261</f>
        <v/>
      </c>
      <c r="W261" s="7">
        <f>SUM(L261:S261)</f>
        <v/>
      </c>
      <c r="X261" s="7">
        <f>SUM(T261:V261)</f>
        <v/>
      </c>
      <c r="Y261" s="8">
        <f>MAX(0,MIN(1,Parametros!B2-W261*Parametros!B3+X261*Parametros!B4))</f>
        <v/>
      </c>
    </row>
    <row r="262">
      <c r="A262" t="inlineStr">
        <is>
          <t>n04poa</t>
        </is>
      </c>
      <c r="B262" t="inlineStr">
        <is>
          <t>Kamilly Fernandes</t>
        </is>
      </c>
      <c r="C262" s="6" t="n">
        <v>0.5984</v>
      </c>
      <c r="D262" s="6" t="n">
        <v>0.2391</v>
      </c>
      <c r="E262" s="6" t="n">
        <v>0.6539</v>
      </c>
      <c r="F262" s="6" t="n">
        <v>0.4562</v>
      </c>
      <c r="G262" s="6" t="n">
        <v>0.476</v>
      </c>
      <c r="H262" s="6" t="n">
        <v>0.503</v>
      </c>
      <c r="I262" s="6" t="n">
        <v>0.3439</v>
      </c>
      <c r="J262" s="6" t="n">
        <v>0.7831</v>
      </c>
      <c r="K262" s="6" t="n">
        <v>0.5538999999999999</v>
      </c>
      <c r="L262" s="7">
        <f>Mecanismos!B2*C262</f>
        <v/>
      </c>
      <c r="M262" s="7">
        <f>Mecanismos!B7*D262</f>
        <v/>
      </c>
      <c r="N262" s="7">
        <f>Mecanismos!B4*(1-E262)</f>
        <v/>
      </c>
      <c r="O262" s="7">
        <f>Mecanismos!B5*(1-F262)</f>
        <v/>
      </c>
      <c r="P262" s="7">
        <f>Mecanismos!B6*(1-I262)</f>
        <v/>
      </c>
      <c r="Q262" s="7">
        <f>Mecanismos!B9*(1-G262)</f>
        <v/>
      </c>
      <c r="R262" s="7">
        <f>Mecanismos!B3*(1-D262)</f>
        <v/>
      </c>
      <c r="S262" s="7">
        <f>Mecanismos!B9*(1-J262)</f>
        <v/>
      </c>
      <c r="T262" s="7">
        <f>Mecanismos!B8*H262</f>
        <v/>
      </c>
      <c r="U262" s="7">
        <f>Mecanismos!B10*H262</f>
        <v/>
      </c>
      <c r="V262" s="7">
        <f>Mecanismos!B8*K262</f>
        <v/>
      </c>
      <c r="W262" s="7">
        <f>SUM(L262:S262)</f>
        <v/>
      </c>
      <c r="X262" s="7">
        <f>SUM(T262:V262)</f>
        <v/>
      </c>
      <c r="Y262" s="8">
        <f>MAX(0,MIN(1,Parametros!B2-W262*Parametros!B3+X262*Parametros!B4))</f>
        <v/>
      </c>
    </row>
    <row r="263">
      <c r="A263" t="inlineStr">
        <is>
          <t>s7rqkg</t>
        </is>
      </c>
      <c r="B263" t="inlineStr">
        <is>
          <t>Kamilly Pacheco</t>
        </is>
      </c>
      <c r="C263" s="6" t="n">
        <v>0.7246</v>
      </c>
      <c r="D263" s="6" t="n">
        <v>0.5945</v>
      </c>
      <c r="E263" s="6" t="n">
        <v>0.3197</v>
      </c>
      <c r="F263" s="6" t="n">
        <v>0.4843</v>
      </c>
      <c r="G263" s="6" t="n">
        <v>0.6137</v>
      </c>
      <c r="H263" s="6" t="n">
        <v>0.5921999999999999</v>
      </c>
      <c r="I263" s="6" t="n">
        <v>0.7978</v>
      </c>
      <c r="J263" s="6" t="n">
        <v>0.5647</v>
      </c>
      <c r="K263" s="6" t="n">
        <v>0.4386</v>
      </c>
      <c r="L263" s="7">
        <f>Mecanismos!B2*C263</f>
        <v/>
      </c>
      <c r="M263" s="7">
        <f>Mecanismos!B7*D263</f>
        <v/>
      </c>
      <c r="N263" s="7">
        <f>Mecanismos!B4*(1-E263)</f>
        <v/>
      </c>
      <c r="O263" s="7">
        <f>Mecanismos!B5*(1-F263)</f>
        <v/>
      </c>
      <c r="P263" s="7">
        <f>Mecanismos!B6*(1-I263)</f>
        <v/>
      </c>
      <c r="Q263" s="7">
        <f>Mecanismos!B9*(1-G263)</f>
        <v/>
      </c>
      <c r="R263" s="7">
        <f>Mecanismos!B3*(1-D263)</f>
        <v/>
      </c>
      <c r="S263" s="7">
        <f>Mecanismos!B9*(1-J263)</f>
        <v/>
      </c>
      <c r="T263" s="7">
        <f>Mecanismos!B8*H263</f>
        <v/>
      </c>
      <c r="U263" s="7">
        <f>Mecanismos!B10*H263</f>
        <v/>
      </c>
      <c r="V263" s="7">
        <f>Mecanismos!B8*K263</f>
        <v/>
      </c>
      <c r="W263" s="7">
        <f>SUM(L263:S263)</f>
        <v/>
      </c>
      <c r="X263" s="7">
        <f>SUM(T263:V263)</f>
        <v/>
      </c>
      <c r="Y263" s="8">
        <f>MAX(0,MIN(1,Parametros!B2-W263*Parametros!B3+X263*Parametros!B4))</f>
        <v/>
      </c>
    </row>
    <row r="264">
      <c r="A264" t="inlineStr">
        <is>
          <t>yfphvp</t>
        </is>
      </c>
      <c r="B264" t="inlineStr">
        <is>
          <t>Kamilly Rodrigues</t>
        </is>
      </c>
      <c r="C264" s="6" t="n">
        <v>0.7775</v>
      </c>
      <c r="D264" s="6" t="n">
        <v>0.5835</v>
      </c>
      <c r="E264" s="6" t="n">
        <v>0.2977</v>
      </c>
      <c r="F264" s="6" t="n">
        <v>0.5116000000000001</v>
      </c>
      <c r="G264" s="6" t="n">
        <v>0.5528</v>
      </c>
      <c r="H264" s="6" t="n">
        <v>0.7071</v>
      </c>
      <c r="I264" s="6" t="n">
        <v>0.6569</v>
      </c>
      <c r="J264" s="6" t="n">
        <v>0.8115</v>
      </c>
      <c r="K264" s="6" t="n">
        <v>0.5788</v>
      </c>
      <c r="L264" s="7">
        <f>Mecanismos!B2*C264</f>
        <v/>
      </c>
      <c r="M264" s="7">
        <f>Mecanismos!B7*D264</f>
        <v/>
      </c>
      <c r="N264" s="7">
        <f>Mecanismos!B4*(1-E264)</f>
        <v/>
      </c>
      <c r="O264" s="7">
        <f>Mecanismos!B5*(1-F264)</f>
        <v/>
      </c>
      <c r="P264" s="7">
        <f>Mecanismos!B6*(1-I264)</f>
        <v/>
      </c>
      <c r="Q264" s="7">
        <f>Mecanismos!B9*(1-G264)</f>
        <v/>
      </c>
      <c r="R264" s="7">
        <f>Mecanismos!B3*(1-D264)</f>
        <v/>
      </c>
      <c r="S264" s="7">
        <f>Mecanismos!B9*(1-J264)</f>
        <v/>
      </c>
      <c r="T264" s="7">
        <f>Mecanismos!B8*H264</f>
        <v/>
      </c>
      <c r="U264" s="7">
        <f>Mecanismos!B10*H264</f>
        <v/>
      </c>
      <c r="V264" s="7">
        <f>Mecanismos!B8*K264</f>
        <v/>
      </c>
      <c r="W264" s="7">
        <f>SUM(L264:S264)</f>
        <v/>
      </c>
      <c r="X264" s="7">
        <f>SUM(T264:V264)</f>
        <v/>
      </c>
      <c r="Y264" s="8">
        <f>MAX(0,MIN(1,Parametros!B2-W264*Parametros!B3+X264*Parametros!B4))</f>
        <v/>
      </c>
    </row>
    <row r="265">
      <c r="A265" t="inlineStr">
        <is>
          <t>vvqzz6</t>
        </is>
      </c>
      <c r="B265" t="inlineStr">
        <is>
          <t>Kamilly Silva</t>
        </is>
      </c>
      <c r="C265" s="6" t="n">
        <v>0.5491</v>
      </c>
      <c r="D265" s="6" t="n">
        <v>0.6664</v>
      </c>
      <c r="E265" s="6" t="n">
        <v>0.6491</v>
      </c>
      <c r="F265" s="6" t="n">
        <v>0.5195</v>
      </c>
      <c r="G265" s="6" t="n">
        <v>0.4415</v>
      </c>
      <c r="H265" s="6" t="n">
        <v>0.4286</v>
      </c>
      <c r="I265" s="6" t="n">
        <v>0.7955</v>
      </c>
      <c r="J265" s="6" t="n">
        <v>0.9104</v>
      </c>
      <c r="K265" s="6" t="n">
        <v>0.4071</v>
      </c>
      <c r="L265" s="7">
        <f>Mecanismos!B2*C265</f>
        <v/>
      </c>
      <c r="M265" s="7">
        <f>Mecanismos!B7*D265</f>
        <v/>
      </c>
      <c r="N265" s="7">
        <f>Mecanismos!B4*(1-E265)</f>
        <v/>
      </c>
      <c r="O265" s="7">
        <f>Mecanismos!B5*(1-F265)</f>
        <v/>
      </c>
      <c r="P265" s="7">
        <f>Mecanismos!B6*(1-I265)</f>
        <v/>
      </c>
      <c r="Q265" s="7">
        <f>Mecanismos!B9*(1-G265)</f>
        <v/>
      </c>
      <c r="R265" s="7">
        <f>Mecanismos!B3*(1-D265)</f>
        <v/>
      </c>
      <c r="S265" s="7">
        <f>Mecanismos!B9*(1-J265)</f>
        <v/>
      </c>
      <c r="T265" s="7">
        <f>Mecanismos!B8*H265</f>
        <v/>
      </c>
      <c r="U265" s="7">
        <f>Mecanismos!B10*H265</f>
        <v/>
      </c>
      <c r="V265" s="7">
        <f>Mecanismos!B8*K265</f>
        <v/>
      </c>
      <c r="W265" s="7">
        <f>SUM(L265:S265)</f>
        <v/>
      </c>
      <c r="X265" s="7">
        <f>SUM(T265:V265)</f>
        <v/>
      </c>
      <c r="Y265" s="8">
        <f>MAX(0,MIN(1,Parametros!B2-W265*Parametros!B3+X265*Parametros!B4))</f>
        <v/>
      </c>
    </row>
    <row r="266">
      <c r="A266" t="inlineStr">
        <is>
          <t>kxroj3</t>
        </is>
      </c>
      <c r="B266" t="inlineStr">
        <is>
          <t>Kamilly da Paz</t>
        </is>
      </c>
      <c r="C266" s="6" t="n">
        <v>0.6431</v>
      </c>
      <c r="D266" s="6" t="n">
        <v>0.7014</v>
      </c>
      <c r="E266" s="6" t="n">
        <v>0.6158</v>
      </c>
      <c r="F266" s="6" t="n">
        <v>0.3967</v>
      </c>
      <c r="G266" s="6" t="n">
        <v>0.5790999999999999</v>
      </c>
      <c r="H266" s="6" t="n">
        <v>0.6317</v>
      </c>
      <c r="I266" s="6" t="n">
        <v>0.5049</v>
      </c>
      <c r="J266" s="6" t="n">
        <v>0.9077</v>
      </c>
      <c r="K266" s="6" t="n">
        <v>0.173</v>
      </c>
      <c r="L266" s="7">
        <f>Mecanismos!B2*C266</f>
        <v/>
      </c>
      <c r="M266" s="7">
        <f>Mecanismos!B7*D266</f>
        <v/>
      </c>
      <c r="N266" s="7">
        <f>Mecanismos!B4*(1-E266)</f>
        <v/>
      </c>
      <c r="O266" s="7">
        <f>Mecanismos!B5*(1-F266)</f>
        <v/>
      </c>
      <c r="P266" s="7">
        <f>Mecanismos!B6*(1-I266)</f>
        <v/>
      </c>
      <c r="Q266" s="7">
        <f>Mecanismos!B9*(1-G266)</f>
        <v/>
      </c>
      <c r="R266" s="7">
        <f>Mecanismos!B3*(1-D266)</f>
        <v/>
      </c>
      <c r="S266" s="7">
        <f>Mecanismos!B9*(1-J266)</f>
        <v/>
      </c>
      <c r="T266" s="7">
        <f>Mecanismos!B8*H266</f>
        <v/>
      </c>
      <c r="U266" s="7">
        <f>Mecanismos!B10*H266</f>
        <v/>
      </c>
      <c r="V266" s="7">
        <f>Mecanismos!B8*K266</f>
        <v/>
      </c>
      <c r="W266" s="7">
        <f>SUM(L266:S266)</f>
        <v/>
      </c>
      <c r="X266" s="7">
        <f>SUM(T266:V266)</f>
        <v/>
      </c>
      <c r="Y266" s="8">
        <f>MAX(0,MIN(1,Parametros!B2-W266*Parametros!B3+X266*Parametros!B4))</f>
        <v/>
      </c>
    </row>
    <row r="267">
      <c r="A267" t="inlineStr">
        <is>
          <t>ns8dlz</t>
        </is>
      </c>
      <c r="B267" t="inlineStr">
        <is>
          <t>Kevin Aparecida</t>
        </is>
      </c>
      <c r="C267" s="6" t="n">
        <v>0.4289</v>
      </c>
      <c r="D267" s="6" t="n">
        <v>0.658</v>
      </c>
      <c r="E267" s="6" t="n">
        <v>0.4517</v>
      </c>
      <c r="F267" s="6" t="n">
        <v>0.6749000000000001</v>
      </c>
      <c r="G267" s="6" t="n">
        <v>0.6211</v>
      </c>
      <c r="H267" s="6" t="n">
        <v>0.674</v>
      </c>
      <c r="I267" s="6" t="n">
        <v>0.5886</v>
      </c>
      <c r="J267" s="6" t="n">
        <v>0.2457</v>
      </c>
      <c r="K267" s="6" t="n">
        <v>0.5809</v>
      </c>
      <c r="L267" s="7">
        <f>Mecanismos!B2*C267</f>
        <v/>
      </c>
      <c r="M267" s="7">
        <f>Mecanismos!B7*D267</f>
        <v/>
      </c>
      <c r="N267" s="7">
        <f>Mecanismos!B4*(1-E267)</f>
        <v/>
      </c>
      <c r="O267" s="7">
        <f>Mecanismos!B5*(1-F267)</f>
        <v/>
      </c>
      <c r="P267" s="7">
        <f>Mecanismos!B6*(1-I267)</f>
        <v/>
      </c>
      <c r="Q267" s="7">
        <f>Mecanismos!B9*(1-G267)</f>
        <v/>
      </c>
      <c r="R267" s="7">
        <f>Mecanismos!B3*(1-D267)</f>
        <v/>
      </c>
      <c r="S267" s="7">
        <f>Mecanismos!B9*(1-J267)</f>
        <v/>
      </c>
      <c r="T267" s="7">
        <f>Mecanismos!B8*H267</f>
        <v/>
      </c>
      <c r="U267" s="7">
        <f>Mecanismos!B10*H267</f>
        <v/>
      </c>
      <c r="V267" s="7">
        <f>Mecanismos!B8*K267</f>
        <v/>
      </c>
      <c r="W267" s="7">
        <f>SUM(L267:S267)</f>
        <v/>
      </c>
      <c r="X267" s="7">
        <f>SUM(T267:V267)</f>
        <v/>
      </c>
      <c r="Y267" s="8">
        <f>MAX(0,MIN(1,Parametros!B2-W267*Parametros!B3+X267*Parametros!B4))</f>
        <v/>
      </c>
    </row>
    <row r="268">
      <c r="A268" t="inlineStr">
        <is>
          <t>2sydk4</t>
        </is>
      </c>
      <c r="B268" t="inlineStr">
        <is>
          <t>Kevin Montenegro</t>
        </is>
      </c>
      <c r="C268" s="6" t="n">
        <v>0.7004</v>
      </c>
      <c r="D268" s="6" t="n">
        <v>0.6334</v>
      </c>
      <c r="E268" s="6" t="n">
        <v>0.7077</v>
      </c>
      <c r="F268" s="6" t="n">
        <v>0.2866</v>
      </c>
      <c r="G268" s="6" t="n">
        <v>0.3281</v>
      </c>
      <c r="H268" s="6" t="n">
        <v>0.5562</v>
      </c>
      <c r="I268" s="6" t="n">
        <v>0.1716</v>
      </c>
      <c r="J268" s="6" t="n">
        <v>0.8219</v>
      </c>
      <c r="K268" s="6" t="n">
        <v>0.4955</v>
      </c>
      <c r="L268" s="7">
        <f>Mecanismos!B2*C268</f>
        <v/>
      </c>
      <c r="M268" s="7">
        <f>Mecanismos!B7*D268</f>
        <v/>
      </c>
      <c r="N268" s="7">
        <f>Mecanismos!B4*(1-E268)</f>
        <v/>
      </c>
      <c r="O268" s="7">
        <f>Mecanismos!B5*(1-F268)</f>
        <v/>
      </c>
      <c r="P268" s="7">
        <f>Mecanismos!B6*(1-I268)</f>
        <v/>
      </c>
      <c r="Q268" s="7">
        <f>Mecanismos!B9*(1-G268)</f>
        <v/>
      </c>
      <c r="R268" s="7">
        <f>Mecanismos!B3*(1-D268)</f>
        <v/>
      </c>
      <c r="S268" s="7">
        <f>Mecanismos!B9*(1-J268)</f>
        <v/>
      </c>
      <c r="T268" s="7">
        <f>Mecanismos!B8*H268</f>
        <v/>
      </c>
      <c r="U268" s="7">
        <f>Mecanismos!B10*H268</f>
        <v/>
      </c>
      <c r="V268" s="7">
        <f>Mecanismos!B8*K268</f>
        <v/>
      </c>
      <c r="W268" s="7">
        <f>SUM(L268:S268)</f>
        <v/>
      </c>
      <c r="X268" s="7">
        <f>SUM(T268:V268)</f>
        <v/>
      </c>
      <c r="Y268" s="8">
        <f>MAX(0,MIN(1,Parametros!B2-W268*Parametros!B3+X268*Parametros!B4))</f>
        <v/>
      </c>
    </row>
    <row r="269">
      <c r="A269" t="inlineStr">
        <is>
          <t>xbu3do</t>
        </is>
      </c>
      <c r="B269" t="inlineStr">
        <is>
          <t>Lara Nunes</t>
        </is>
      </c>
      <c r="C269" s="6" t="n">
        <v>0.7368</v>
      </c>
      <c r="D269" s="6" t="n">
        <v>0.5789</v>
      </c>
      <c r="E269" s="6" t="n">
        <v>0.4048</v>
      </c>
      <c r="F269" s="6" t="n">
        <v>0.2736</v>
      </c>
      <c r="G269" s="6" t="n">
        <v>0.2742</v>
      </c>
      <c r="H269" s="6" t="n">
        <v>0.6693</v>
      </c>
      <c r="I269" s="6" t="n">
        <v>0.3173</v>
      </c>
      <c r="J269" s="6" t="n">
        <v>0.6669</v>
      </c>
      <c r="K269" s="6" t="n">
        <v>0.5563</v>
      </c>
      <c r="L269" s="7">
        <f>Mecanismos!B2*C269</f>
        <v/>
      </c>
      <c r="M269" s="7">
        <f>Mecanismos!B7*D269</f>
        <v/>
      </c>
      <c r="N269" s="7">
        <f>Mecanismos!B4*(1-E269)</f>
        <v/>
      </c>
      <c r="O269" s="7">
        <f>Mecanismos!B5*(1-F269)</f>
        <v/>
      </c>
      <c r="P269" s="7">
        <f>Mecanismos!B6*(1-I269)</f>
        <v/>
      </c>
      <c r="Q269" s="7">
        <f>Mecanismos!B9*(1-G269)</f>
        <v/>
      </c>
      <c r="R269" s="7">
        <f>Mecanismos!B3*(1-D269)</f>
        <v/>
      </c>
      <c r="S269" s="7">
        <f>Mecanismos!B9*(1-J269)</f>
        <v/>
      </c>
      <c r="T269" s="7">
        <f>Mecanismos!B8*H269</f>
        <v/>
      </c>
      <c r="U269" s="7">
        <f>Mecanismos!B10*H269</f>
        <v/>
      </c>
      <c r="V269" s="7">
        <f>Mecanismos!B8*K269</f>
        <v/>
      </c>
      <c r="W269" s="7">
        <f>SUM(L269:S269)</f>
        <v/>
      </c>
      <c r="X269" s="7">
        <f>SUM(T269:V269)</f>
        <v/>
      </c>
      <c r="Y269" s="8">
        <f>MAX(0,MIN(1,Parametros!B2-W269*Parametros!B3+X269*Parametros!B4))</f>
        <v/>
      </c>
    </row>
    <row r="270">
      <c r="A270" t="inlineStr">
        <is>
          <t>dry6pa</t>
        </is>
      </c>
      <c r="B270" t="inlineStr">
        <is>
          <t>Larissa Cunha</t>
        </is>
      </c>
      <c r="C270" s="6" t="n">
        <v>0.5183</v>
      </c>
      <c r="D270" s="6" t="n">
        <v>0.4465</v>
      </c>
      <c r="E270" s="6" t="n">
        <v>0.5105</v>
      </c>
      <c r="F270" s="6" t="n">
        <v>0.4583</v>
      </c>
      <c r="G270" s="6" t="n">
        <v>0.4874</v>
      </c>
      <c r="H270" s="6" t="n">
        <v>0.7364000000000001</v>
      </c>
      <c r="I270" s="6" t="n">
        <v>0.4278</v>
      </c>
      <c r="J270" s="6" t="n">
        <v>0.9453</v>
      </c>
      <c r="K270" s="6" t="n">
        <v>0.571</v>
      </c>
      <c r="L270" s="7">
        <f>Mecanismos!B2*C270</f>
        <v/>
      </c>
      <c r="M270" s="7">
        <f>Mecanismos!B7*D270</f>
        <v/>
      </c>
      <c r="N270" s="7">
        <f>Mecanismos!B4*(1-E270)</f>
        <v/>
      </c>
      <c r="O270" s="7">
        <f>Mecanismos!B5*(1-F270)</f>
        <v/>
      </c>
      <c r="P270" s="7">
        <f>Mecanismos!B6*(1-I270)</f>
        <v/>
      </c>
      <c r="Q270" s="7">
        <f>Mecanismos!B9*(1-G270)</f>
        <v/>
      </c>
      <c r="R270" s="7">
        <f>Mecanismos!B3*(1-D270)</f>
        <v/>
      </c>
      <c r="S270" s="7">
        <f>Mecanismos!B9*(1-J270)</f>
        <v/>
      </c>
      <c r="T270" s="7">
        <f>Mecanismos!B8*H270</f>
        <v/>
      </c>
      <c r="U270" s="7">
        <f>Mecanismos!B10*H270</f>
        <v/>
      </c>
      <c r="V270" s="7">
        <f>Mecanismos!B8*K270</f>
        <v/>
      </c>
      <c r="W270" s="7">
        <f>SUM(L270:S270)</f>
        <v/>
      </c>
      <c r="X270" s="7">
        <f>SUM(T270:V270)</f>
        <v/>
      </c>
      <c r="Y270" s="8">
        <f>MAX(0,MIN(1,Parametros!B2-W270*Parametros!B3+X270*Parametros!B4))</f>
        <v/>
      </c>
    </row>
    <row r="271">
      <c r="A271" t="inlineStr">
        <is>
          <t>ttvk7d</t>
        </is>
      </c>
      <c r="B271" t="inlineStr">
        <is>
          <t>Larissa Câmara</t>
        </is>
      </c>
      <c r="C271" s="6" t="n">
        <v>0.6562</v>
      </c>
      <c r="D271" s="6" t="n">
        <v>0.4321</v>
      </c>
      <c r="E271" s="6" t="n">
        <v>0.4912</v>
      </c>
      <c r="F271" s="6" t="n">
        <v>0.3498</v>
      </c>
      <c r="G271" s="6" t="n">
        <v>0.4275</v>
      </c>
      <c r="H271" s="6" t="n">
        <v>0.6106</v>
      </c>
      <c r="I271" s="6" t="n">
        <v>0.422</v>
      </c>
      <c r="J271" s="6" t="n">
        <v>0.7085</v>
      </c>
      <c r="K271" s="6" t="n">
        <v>0.6346000000000001</v>
      </c>
      <c r="L271" s="7">
        <f>Mecanismos!B2*C271</f>
        <v/>
      </c>
      <c r="M271" s="7">
        <f>Mecanismos!B7*D271</f>
        <v/>
      </c>
      <c r="N271" s="7">
        <f>Mecanismos!B4*(1-E271)</f>
        <v/>
      </c>
      <c r="O271" s="7">
        <f>Mecanismos!B5*(1-F271)</f>
        <v/>
      </c>
      <c r="P271" s="7">
        <f>Mecanismos!B6*(1-I271)</f>
        <v/>
      </c>
      <c r="Q271" s="7">
        <f>Mecanismos!B9*(1-G271)</f>
        <v/>
      </c>
      <c r="R271" s="7">
        <f>Mecanismos!B3*(1-D271)</f>
        <v/>
      </c>
      <c r="S271" s="7">
        <f>Mecanismos!B9*(1-J271)</f>
        <v/>
      </c>
      <c r="T271" s="7">
        <f>Mecanismos!B8*H271</f>
        <v/>
      </c>
      <c r="U271" s="7">
        <f>Mecanismos!B10*H271</f>
        <v/>
      </c>
      <c r="V271" s="7">
        <f>Mecanismos!B8*K271</f>
        <v/>
      </c>
      <c r="W271" s="7">
        <f>SUM(L271:S271)</f>
        <v/>
      </c>
      <c r="X271" s="7">
        <f>SUM(T271:V271)</f>
        <v/>
      </c>
      <c r="Y271" s="8">
        <f>MAX(0,MIN(1,Parametros!B2-W271*Parametros!B3+X271*Parametros!B4))</f>
        <v/>
      </c>
    </row>
    <row r="272">
      <c r="A272" t="inlineStr">
        <is>
          <t>lc9kma</t>
        </is>
      </c>
      <c r="B272" t="inlineStr">
        <is>
          <t>Laura Cirino</t>
        </is>
      </c>
      <c r="C272" s="6" t="n">
        <v>0.5397</v>
      </c>
      <c r="D272" s="6" t="n">
        <v>0.734</v>
      </c>
      <c r="E272" s="6" t="n">
        <v>0.4947</v>
      </c>
      <c r="F272" s="6" t="n">
        <v>0.5406</v>
      </c>
      <c r="G272" s="6" t="n">
        <v>0.595</v>
      </c>
      <c r="H272" s="6" t="n">
        <v>0.5754</v>
      </c>
      <c r="I272" s="6" t="n">
        <v>0.5221</v>
      </c>
      <c r="J272" s="6" t="n">
        <v>0.6591</v>
      </c>
      <c r="K272" s="6" t="n">
        <v>0.0688</v>
      </c>
      <c r="L272" s="7">
        <f>Mecanismos!B2*C272</f>
        <v/>
      </c>
      <c r="M272" s="7">
        <f>Mecanismos!B7*D272</f>
        <v/>
      </c>
      <c r="N272" s="7">
        <f>Mecanismos!B4*(1-E272)</f>
        <v/>
      </c>
      <c r="O272" s="7">
        <f>Mecanismos!B5*(1-F272)</f>
        <v/>
      </c>
      <c r="P272" s="7">
        <f>Mecanismos!B6*(1-I272)</f>
        <v/>
      </c>
      <c r="Q272" s="7">
        <f>Mecanismos!B9*(1-G272)</f>
        <v/>
      </c>
      <c r="R272" s="7">
        <f>Mecanismos!B3*(1-D272)</f>
        <v/>
      </c>
      <c r="S272" s="7">
        <f>Mecanismos!B9*(1-J272)</f>
        <v/>
      </c>
      <c r="T272" s="7">
        <f>Mecanismos!B8*H272</f>
        <v/>
      </c>
      <c r="U272" s="7">
        <f>Mecanismos!B10*H272</f>
        <v/>
      </c>
      <c r="V272" s="7">
        <f>Mecanismos!B8*K272</f>
        <v/>
      </c>
      <c r="W272" s="7">
        <f>SUM(L272:S272)</f>
        <v/>
      </c>
      <c r="X272" s="7">
        <f>SUM(T272:V272)</f>
        <v/>
      </c>
      <c r="Y272" s="8">
        <f>MAX(0,MIN(1,Parametros!B2-W272*Parametros!B3+X272*Parametros!B4))</f>
        <v/>
      </c>
    </row>
    <row r="273">
      <c r="A273" t="inlineStr">
        <is>
          <t>uz0svm</t>
        </is>
      </c>
      <c r="B273" t="inlineStr">
        <is>
          <t>Laura Gomes</t>
        </is>
      </c>
      <c r="C273" s="6" t="n">
        <v>0.6419</v>
      </c>
      <c r="D273" s="6" t="n">
        <v>0.6544</v>
      </c>
      <c r="E273" s="6" t="n">
        <v>0.5833</v>
      </c>
      <c r="F273" s="6" t="n">
        <v>0.402</v>
      </c>
      <c r="G273" s="6" t="n">
        <v>0.4972</v>
      </c>
      <c r="H273" s="6" t="n">
        <v>0.6662</v>
      </c>
      <c r="I273" s="6" t="n">
        <v>0.5382</v>
      </c>
      <c r="J273" s="6" t="n">
        <v>0.5868</v>
      </c>
      <c r="K273" s="6" t="n">
        <v>0.3933</v>
      </c>
      <c r="L273" s="7">
        <f>Mecanismos!B2*C273</f>
        <v/>
      </c>
      <c r="M273" s="7">
        <f>Mecanismos!B7*D273</f>
        <v/>
      </c>
      <c r="N273" s="7">
        <f>Mecanismos!B4*(1-E273)</f>
        <v/>
      </c>
      <c r="O273" s="7">
        <f>Mecanismos!B5*(1-F273)</f>
        <v/>
      </c>
      <c r="P273" s="7">
        <f>Mecanismos!B6*(1-I273)</f>
        <v/>
      </c>
      <c r="Q273" s="7">
        <f>Mecanismos!B9*(1-G273)</f>
        <v/>
      </c>
      <c r="R273" s="7">
        <f>Mecanismos!B3*(1-D273)</f>
        <v/>
      </c>
      <c r="S273" s="7">
        <f>Mecanismos!B9*(1-J273)</f>
        <v/>
      </c>
      <c r="T273" s="7">
        <f>Mecanismos!B8*H273</f>
        <v/>
      </c>
      <c r="U273" s="7">
        <f>Mecanismos!B10*H273</f>
        <v/>
      </c>
      <c r="V273" s="7">
        <f>Mecanismos!B8*K273</f>
        <v/>
      </c>
      <c r="W273" s="7">
        <f>SUM(L273:S273)</f>
        <v/>
      </c>
      <c r="X273" s="7">
        <f>SUM(T273:V273)</f>
        <v/>
      </c>
      <c r="Y273" s="8">
        <f>MAX(0,MIN(1,Parametros!B2-W273*Parametros!B3+X273*Parametros!B4))</f>
        <v/>
      </c>
    </row>
    <row r="274">
      <c r="A274" t="inlineStr">
        <is>
          <t>7s3k63</t>
        </is>
      </c>
      <c r="B274" t="inlineStr">
        <is>
          <t>Laura Pacheco</t>
        </is>
      </c>
      <c r="C274" s="6" t="n">
        <v>0.7766</v>
      </c>
      <c r="D274" s="6" t="n">
        <v>0.6586</v>
      </c>
      <c r="E274" s="6" t="n">
        <v>0.5578</v>
      </c>
      <c r="F274" s="6" t="n">
        <v>0.2208</v>
      </c>
      <c r="G274" s="6" t="n">
        <v>0.5404</v>
      </c>
      <c r="H274" s="6" t="n">
        <v>0.455</v>
      </c>
      <c r="I274" s="6" t="n">
        <v>0.6283</v>
      </c>
      <c r="J274" s="6" t="n">
        <v>0.8386</v>
      </c>
      <c r="K274" s="6" t="n">
        <v>0.1941</v>
      </c>
      <c r="L274" s="7">
        <f>Mecanismos!B2*C274</f>
        <v/>
      </c>
      <c r="M274" s="7">
        <f>Mecanismos!B7*D274</f>
        <v/>
      </c>
      <c r="N274" s="7">
        <f>Mecanismos!B4*(1-E274)</f>
        <v/>
      </c>
      <c r="O274" s="7">
        <f>Mecanismos!B5*(1-F274)</f>
        <v/>
      </c>
      <c r="P274" s="7">
        <f>Mecanismos!B6*(1-I274)</f>
        <v/>
      </c>
      <c r="Q274" s="7">
        <f>Mecanismos!B9*(1-G274)</f>
        <v/>
      </c>
      <c r="R274" s="7">
        <f>Mecanismos!B3*(1-D274)</f>
        <v/>
      </c>
      <c r="S274" s="7">
        <f>Mecanismos!B9*(1-J274)</f>
        <v/>
      </c>
      <c r="T274" s="7">
        <f>Mecanismos!B8*H274</f>
        <v/>
      </c>
      <c r="U274" s="7">
        <f>Mecanismos!B10*H274</f>
        <v/>
      </c>
      <c r="V274" s="7">
        <f>Mecanismos!B8*K274</f>
        <v/>
      </c>
      <c r="W274" s="7">
        <f>SUM(L274:S274)</f>
        <v/>
      </c>
      <c r="X274" s="7">
        <f>SUM(T274:V274)</f>
        <v/>
      </c>
      <c r="Y274" s="8">
        <f>MAX(0,MIN(1,Parametros!B2-W274*Parametros!B3+X274*Parametros!B4))</f>
        <v/>
      </c>
    </row>
    <row r="275">
      <c r="A275" t="inlineStr">
        <is>
          <t>ksrsra</t>
        </is>
      </c>
      <c r="B275" t="inlineStr">
        <is>
          <t>Lavínia Almeida</t>
        </is>
      </c>
      <c r="C275" s="6" t="n">
        <v>0.6091</v>
      </c>
      <c r="D275" s="6" t="n">
        <v>0.6183999999999999</v>
      </c>
      <c r="E275" s="6" t="n">
        <v>0.5379</v>
      </c>
      <c r="F275" s="6" t="n">
        <v>0.4762</v>
      </c>
      <c r="G275" s="6" t="n">
        <v>0.5436</v>
      </c>
      <c r="H275" s="6" t="n">
        <v>0.6923</v>
      </c>
      <c r="I275" s="6" t="n">
        <v>0.7111</v>
      </c>
      <c r="J275" s="6" t="n">
        <v>0.8468</v>
      </c>
      <c r="K275" s="6" t="n">
        <v>0.2561</v>
      </c>
      <c r="L275" s="7">
        <f>Mecanismos!B2*C275</f>
        <v/>
      </c>
      <c r="M275" s="7">
        <f>Mecanismos!B7*D275</f>
        <v/>
      </c>
      <c r="N275" s="7">
        <f>Mecanismos!B4*(1-E275)</f>
        <v/>
      </c>
      <c r="O275" s="7">
        <f>Mecanismos!B5*(1-F275)</f>
        <v/>
      </c>
      <c r="P275" s="7">
        <f>Mecanismos!B6*(1-I275)</f>
        <v/>
      </c>
      <c r="Q275" s="7">
        <f>Mecanismos!B9*(1-G275)</f>
        <v/>
      </c>
      <c r="R275" s="7">
        <f>Mecanismos!B3*(1-D275)</f>
        <v/>
      </c>
      <c r="S275" s="7">
        <f>Mecanismos!B9*(1-J275)</f>
        <v/>
      </c>
      <c r="T275" s="7">
        <f>Mecanismos!B8*H275</f>
        <v/>
      </c>
      <c r="U275" s="7">
        <f>Mecanismos!B10*H275</f>
        <v/>
      </c>
      <c r="V275" s="7">
        <f>Mecanismos!B8*K275</f>
        <v/>
      </c>
      <c r="W275" s="7">
        <f>SUM(L275:S275)</f>
        <v/>
      </c>
      <c r="X275" s="7">
        <f>SUM(T275:V275)</f>
        <v/>
      </c>
      <c r="Y275" s="8">
        <f>MAX(0,MIN(1,Parametros!B2-W275*Parametros!B3+X275*Parametros!B4))</f>
        <v/>
      </c>
    </row>
    <row r="276">
      <c r="A276" t="inlineStr">
        <is>
          <t>nynjme</t>
        </is>
      </c>
      <c r="B276" t="inlineStr">
        <is>
          <t>Lavínia Rocha</t>
        </is>
      </c>
      <c r="C276" s="6" t="n">
        <v>0.6819</v>
      </c>
      <c r="D276" s="6" t="n">
        <v>0.5869</v>
      </c>
      <c r="E276" s="6" t="n">
        <v>0.7148</v>
      </c>
      <c r="F276" s="6" t="n">
        <v>0.4513</v>
      </c>
      <c r="G276" s="6" t="n">
        <v>0.6242</v>
      </c>
      <c r="H276" s="6" t="n">
        <v>0.506</v>
      </c>
      <c r="I276" s="6" t="n">
        <v>0.5336</v>
      </c>
      <c r="J276" s="6" t="n">
        <v>0.7749</v>
      </c>
      <c r="K276" s="6" t="n">
        <v>0.4396</v>
      </c>
      <c r="L276" s="7">
        <f>Mecanismos!B2*C276</f>
        <v/>
      </c>
      <c r="M276" s="7">
        <f>Mecanismos!B7*D276</f>
        <v/>
      </c>
      <c r="N276" s="7">
        <f>Mecanismos!B4*(1-E276)</f>
        <v/>
      </c>
      <c r="O276" s="7">
        <f>Mecanismos!B5*(1-F276)</f>
        <v/>
      </c>
      <c r="P276" s="7">
        <f>Mecanismos!B6*(1-I276)</f>
        <v/>
      </c>
      <c r="Q276" s="7">
        <f>Mecanismos!B9*(1-G276)</f>
        <v/>
      </c>
      <c r="R276" s="7">
        <f>Mecanismos!B3*(1-D276)</f>
        <v/>
      </c>
      <c r="S276" s="7">
        <f>Mecanismos!B9*(1-J276)</f>
        <v/>
      </c>
      <c r="T276" s="7">
        <f>Mecanismos!B8*H276</f>
        <v/>
      </c>
      <c r="U276" s="7">
        <f>Mecanismos!B10*H276</f>
        <v/>
      </c>
      <c r="V276" s="7">
        <f>Mecanismos!B8*K276</f>
        <v/>
      </c>
      <c r="W276" s="7">
        <f>SUM(L276:S276)</f>
        <v/>
      </c>
      <c r="X276" s="7">
        <f>SUM(T276:V276)</f>
        <v/>
      </c>
      <c r="Y276" s="8">
        <f>MAX(0,MIN(1,Parametros!B2-W276*Parametros!B3+X276*Parametros!B4))</f>
        <v/>
      </c>
    </row>
    <row r="277">
      <c r="A277" t="inlineStr">
        <is>
          <t>1mksp5</t>
        </is>
      </c>
      <c r="B277" t="inlineStr">
        <is>
          <t>Lavínia da Luz</t>
        </is>
      </c>
      <c r="C277" s="6" t="n">
        <v>0.7163</v>
      </c>
      <c r="D277" s="6" t="n">
        <v>0.4271</v>
      </c>
      <c r="E277" s="6" t="n">
        <v>0.4303</v>
      </c>
      <c r="F277" s="6" t="n">
        <v>0.445</v>
      </c>
      <c r="G277" s="6" t="n">
        <v>0.4929</v>
      </c>
      <c r="H277" s="6" t="n">
        <v>0.678</v>
      </c>
      <c r="I277" s="6" t="n">
        <v>0.8839</v>
      </c>
      <c r="J277" s="6" t="n">
        <v>0.8073</v>
      </c>
      <c r="K277" s="6" t="n">
        <v>0.6101</v>
      </c>
      <c r="L277" s="7">
        <f>Mecanismos!B2*C277</f>
        <v/>
      </c>
      <c r="M277" s="7">
        <f>Mecanismos!B7*D277</f>
        <v/>
      </c>
      <c r="N277" s="7">
        <f>Mecanismos!B4*(1-E277)</f>
        <v/>
      </c>
      <c r="O277" s="7">
        <f>Mecanismos!B5*(1-F277)</f>
        <v/>
      </c>
      <c r="P277" s="7">
        <f>Mecanismos!B6*(1-I277)</f>
        <v/>
      </c>
      <c r="Q277" s="7">
        <f>Mecanismos!B9*(1-G277)</f>
        <v/>
      </c>
      <c r="R277" s="7">
        <f>Mecanismos!B3*(1-D277)</f>
        <v/>
      </c>
      <c r="S277" s="7">
        <f>Mecanismos!B9*(1-J277)</f>
        <v/>
      </c>
      <c r="T277" s="7">
        <f>Mecanismos!B8*H277</f>
        <v/>
      </c>
      <c r="U277" s="7">
        <f>Mecanismos!B10*H277</f>
        <v/>
      </c>
      <c r="V277" s="7">
        <f>Mecanismos!B8*K277</f>
        <v/>
      </c>
      <c r="W277" s="7">
        <f>SUM(L277:S277)</f>
        <v/>
      </c>
      <c r="X277" s="7">
        <f>SUM(T277:V277)</f>
        <v/>
      </c>
      <c r="Y277" s="8">
        <f>MAX(0,MIN(1,Parametros!B2-W277*Parametros!B3+X277*Parametros!B4))</f>
        <v/>
      </c>
    </row>
    <row r="278">
      <c r="A278" t="inlineStr">
        <is>
          <t>lokyjr</t>
        </is>
      </c>
      <c r="B278" t="inlineStr">
        <is>
          <t>Laís Aragão</t>
        </is>
      </c>
      <c r="C278" s="6" t="n">
        <v>0.4414</v>
      </c>
      <c r="D278" s="6" t="n">
        <v>0.5836</v>
      </c>
      <c r="E278" s="6" t="n">
        <v>0.6713</v>
      </c>
      <c r="F278" s="6" t="n">
        <v>0.6804</v>
      </c>
      <c r="G278" s="6" t="n">
        <v>0.5566</v>
      </c>
      <c r="H278" s="6" t="n">
        <v>0.7074</v>
      </c>
      <c r="I278" s="6" t="n">
        <v>0.5202</v>
      </c>
      <c r="J278" s="6" t="n">
        <v>0.8242</v>
      </c>
      <c r="K278" s="6" t="n">
        <v>0.4591</v>
      </c>
      <c r="L278" s="7">
        <f>Mecanismos!B2*C278</f>
        <v/>
      </c>
      <c r="M278" s="7">
        <f>Mecanismos!B7*D278</f>
        <v/>
      </c>
      <c r="N278" s="7">
        <f>Mecanismos!B4*(1-E278)</f>
        <v/>
      </c>
      <c r="O278" s="7">
        <f>Mecanismos!B5*(1-F278)</f>
        <v/>
      </c>
      <c r="P278" s="7">
        <f>Mecanismos!B6*(1-I278)</f>
        <v/>
      </c>
      <c r="Q278" s="7">
        <f>Mecanismos!B9*(1-G278)</f>
        <v/>
      </c>
      <c r="R278" s="7">
        <f>Mecanismos!B3*(1-D278)</f>
        <v/>
      </c>
      <c r="S278" s="7">
        <f>Mecanismos!B9*(1-J278)</f>
        <v/>
      </c>
      <c r="T278" s="7">
        <f>Mecanismos!B8*H278</f>
        <v/>
      </c>
      <c r="U278" s="7">
        <f>Mecanismos!B10*H278</f>
        <v/>
      </c>
      <c r="V278" s="7">
        <f>Mecanismos!B8*K278</f>
        <v/>
      </c>
      <c r="W278" s="7">
        <f>SUM(L278:S278)</f>
        <v/>
      </c>
      <c r="X278" s="7">
        <f>SUM(T278:V278)</f>
        <v/>
      </c>
      <c r="Y278" s="8">
        <f>MAX(0,MIN(1,Parametros!B2-W278*Parametros!B3+X278*Parametros!B4))</f>
        <v/>
      </c>
    </row>
    <row r="279">
      <c r="A279" t="inlineStr">
        <is>
          <t>9pfv06</t>
        </is>
      </c>
      <c r="B279" t="inlineStr">
        <is>
          <t>Leandro Abreu</t>
        </is>
      </c>
      <c r="C279" s="6" t="n">
        <v>0.5984</v>
      </c>
      <c r="D279" s="6" t="n">
        <v>0.3753</v>
      </c>
      <c r="E279" s="6" t="n">
        <v>0.5929</v>
      </c>
      <c r="F279" s="6" t="n">
        <v>0.6748</v>
      </c>
      <c r="G279" s="6" t="n">
        <v>0.4339</v>
      </c>
      <c r="H279" s="6" t="n">
        <v>0.5293</v>
      </c>
      <c r="I279" s="6" t="n">
        <v>0.3155</v>
      </c>
      <c r="J279" s="6" t="n">
        <v>0.979</v>
      </c>
      <c r="K279" s="6" t="n">
        <v>0.7728</v>
      </c>
      <c r="L279" s="7">
        <f>Mecanismos!B2*C279</f>
        <v/>
      </c>
      <c r="M279" s="7">
        <f>Mecanismos!B7*D279</f>
        <v/>
      </c>
      <c r="N279" s="7">
        <f>Mecanismos!B4*(1-E279)</f>
        <v/>
      </c>
      <c r="O279" s="7">
        <f>Mecanismos!B5*(1-F279)</f>
        <v/>
      </c>
      <c r="P279" s="7">
        <f>Mecanismos!B6*(1-I279)</f>
        <v/>
      </c>
      <c r="Q279" s="7">
        <f>Mecanismos!B9*(1-G279)</f>
        <v/>
      </c>
      <c r="R279" s="7">
        <f>Mecanismos!B3*(1-D279)</f>
        <v/>
      </c>
      <c r="S279" s="7">
        <f>Mecanismos!B9*(1-J279)</f>
        <v/>
      </c>
      <c r="T279" s="7">
        <f>Mecanismos!B8*H279</f>
        <v/>
      </c>
      <c r="U279" s="7">
        <f>Mecanismos!B10*H279</f>
        <v/>
      </c>
      <c r="V279" s="7">
        <f>Mecanismos!B8*K279</f>
        <v/>
      </c>
      <c r="W279" s="7">
        <f>SUM(L279:S279)</f>
        <v/>
      </c>
      <c r="X279" s="7">
        <f>SUM(T279:V279)</f>
        <v/>
      </c>
      <c r="Y279" s="8">
        <f>MAX(0,MIN(1,Parametros!B2-W279*Parametros!B3+X279*Parametros!B4))</f>
        <v/>
      </c>
    </row>
    <row r="280">
      <c r="A280" t="inlineStr">
        <is>
          <t>gqolm5</t>
        </is>
      </c>
      <c r="B280" t="inlineStr">
        <is>
          <t>Leandro Araújo</t>
        </is>
      </c>
      <c r="C280" s="6" t="n">
        <v>0.8819</v>
      </c>
      <c r="D280" s="6" t="n">
        <v>0.5586</v>
      </c>
      <c r="E280" s="6" t="n">
        <v>0.7402</v>
      </c>
      <c r="F280" s="6" t="n">
        <v>0.4854</v>
      </c>
      <c r="G280" s="6" t="n">
        <v>0.584</v>
      </c>
      <c r="H280" s="6" t="n">
        <v>0.6792</v>
      </c>
      <c r="I280" s="6" t="n">
        <v>0.6813</v>
      </c>
      <c r="J280" s="6" t="n">
        <v>0.6587</v>
      </c>
      <c r="K280" s="6" t="n">
        <v>0.5457</v>
      </c>
      <c r="L280" s="7">
        <f>Mecanismos!B2*C280</f>
        <v/>
      </c>
      <c r="M280" s="7">
        <f>Mecanismos!B7*D280</f>
        <v/>
      </c>
      <c r="N280" s="7">
        <f>Mecanismos!B4*(1-E280)</f>
        <v/>
      </c>
      <c r="O280" s="7">
        <f>Mecanismos!B5*(1-F280)</f>
        <v/>
      </c>
      <c r="P280" s="7">
        <f>Mecanismos!B6*(1-I280)</f>
        <v/>
      </c>
      <c r="Q280" s="7">
        <f>Mecanismos!B9*(1-G280)</f>
        <v/>
      </c>
      <c r="R280" s="7">
        <f>Mecanismos!B3*(1-D280)</f>
        <v/>
      </c>
      <c r="S280" s="7">
        <f>Mecanismos!B9*(1-J280)</f>
        <v/>
      </c>
      <c r="T280" s="7">
        <f>Mecanismos!B8*H280</f>
        <v/>
      </c>
      <c r="U280" s="7">
        <f>Mecanismos!B10*H280</f>
        <v/>
      </c>
      <c r="V280" s="7">
        <f>Mecanismos!B8*K280</f>
        <v/>
      </c>
      <c r="W280" s="7">
        <f>SUM(L280:S280)</f>
        <v/>
      </c>
      <c r="X280" s="7">
        <f>SUM(T280:V280)</f>
        <v/>
      </c>
      <c r="Y280" s="8">
        <f>MAX(0,MIN(1,Parametros!B2-W280*Parametros!B3+X280*Parametros!B4))</f>
        <v/>
      </c>
    </row>
    <row r="281">
      <c r="A281" t="inlineStr">
        <is>
          <t>bt4dn9</t>
        </is>
      </c>
      <c r="B281" t="inlineStr">
        <is>
          <t>Leandro Gonçalves</t>
        </is>
      </c>
      <c r="C281" s="6" t="n">
        <v>0.5335</v>
      </c>
      <c r="D281" s="6" t="n">
        <v>0.6854</v>
      </c>
      <c r="E281" s="6" t="n">
        <v>0.346</v>
      </c>
      <c r="F281" s="6" t="n">
        <v>0.4916</v>
      </c>
      <c r="G281" s="6" t="n">
        <v>0.615</v>
      </c>
      <c r="H281" s="6" t="n">
        <v>0.712</v>
      </c>
      <c r="I281" s="6" t="n">
        <v>0.7097</v>
      </c>
      <c r="J281" s="6" t="n">
        <v>0.8844</v>
      </c>
      <c r="K281" s="6" t="n">
        <v>0.1241</v>
      </c>
      <c r="L281" s="7">
        <f>Mecanismos!B2*C281</f>
        <v/>
      </c>
      <c r="M281" s="7">
        <f>Mecanismos!B7*D281</f>
        <v/>
      </c>
      <c r="N281" s="7">
        <f>Mecanismos!B4*(1-E281)</f>
        <v/>
      </c>
      <c r="O281" s="7">
        <f>Mecanismos!B5*(1-F281)</f>
        <v/>
      </c>
      <c r="P281" s="7">
        <f>Mecanismos!B6*(1-I281)</f>
        <v/>
      </c>
      <c r="Q281" s="7">
        <f>Mecanismos!B9*(1-G281)</f>
        <v/>
      </c>
      <c r="R281" s="7">
        <f>Mecanismos!B3*(1-D281)</f>
        <v/>
      </c>
      <c r="S281" s="7">
        <f>Mecanismos!B9*(1-J281)</f>
        <v/>
      </c>
      <c r="T281" s="7">
        <f>Mecanismos!B8*H281</f>
        <v/>
      </c>
      <c r="U281" s="7">
        <f>Mecanismos!B10*H281</f>
        <v/>
      </c>
      <c r="V281" s="7">
        <f>Mecanismos!B8*K281</f>
        <v/>
      </c>
      <c r="W281" s="7">
        <f>SUM(L281:S281)</f>
        <v/>
      </c>
      <c r="X281" s="7">
        <f>SUM(T281:V281)</f>
        <v/>
      </c>
      <c r="Y281" s="8">
        <f>MAX(0,MIN(1,Parametros!B2-W281*Parametros!B3+X281*Parametros!B4))</f>
        <v/>
      </c>
    </row>
    <row r="282">
      <c r="A282" t="inlineStr">
        <is>
          <t>zluofn</t>
        </is>
      </c>
      <c r="B282" t="inlineStr">
        <is>
          <t>Leonardo Barbosa</t>
        </is>
      </c>
      <c r="C282" s="6" t="n">
        <v>0.7412</v>
      </c>
      <c r="D282" s="6" t="n">
        <v>0.2305</v>
      </c>
      <c r="E282" s="6" t="n">
        <v>0.6664</v>
      </c>
      <c r="F282" s="6" t="n">
        <v>0.2159</v>
      </c>
      <c r="G282" s="6" t="n">
        <v>0.4939</v>
      </c>
      <c r="H282" s="6" t="n">
        <v>0.6472</v>
      </c>
      <c r="I282" s="6" t="n">
        <v>0.3248</v>
      </c>
      <c r="J282" s="6" t="n">
        <v>0.7489</v>
      </c>
      <c r="K282" s="6" t="n">
        <v>0.404</v>
      </c>
      <c r="L282" s="7">
        <f>Mecanismos!B2*C282</f>
        <v/>
      </c>
      <c r="M282" s="7">
        <f>Mecanismos!B7*D282</f>
        <v/>
      </c>
      <c r="N282" s="7">
        <f>Mecanismos!B4*(1-E282)</f>
        <v/>
      </c>
      <c r="O282" s="7">
        <f>Mecanismos!B5*(1-F282)</f>
        <v/>
      </c>
      <c r="P282" s="7">
        <f>Mecanismos!B6*(1-I282)</f>
        <v/>
      </c>
      <c r="Q282" s="7">
        <f>Mecanismos!B9*(1-G282)</f>
        <v/>
      </c>
      <c r="R282" s="7">
        <f>Mecanismos!B3*(1-D282)</f>
        <v/>
      </c>
      <c r="S282" s="7">
        <f>Mecanismos!B9*(1-J282)</f>
        <v/>
      </c>
      <c r="T282" s="7">
        <f>Mecanismos!B8*H282</f>
        <v/>
      </c>
      <c r="U282" s="7">
        <f>Mecanismos!B10*H282</f>
        <v/>
      </c>
      <c r="V282" s="7">
        <f>Mecanismos!B8*K282</f>
        <v/>
      </c>
      <c r="W282" s="7">
        <f>SUM(L282:S282)</f>
        <v/>
      </c>
      <c r="X282" s="7">
        <f>SUM(T282:V282)</f>
        <v/>
      </c>
      <c r="Y282" s="8">
        <f>MAX(0,MIN(1,Parametros!B2-W282*Parametros!B3+X282*Parametros!B4))</f>
        <v/>
      </c>
    </row>
    <row r="283">
      <c r="A283" t="inlineStr">
        <is>
          <t>4n0tni</t>
        </is>
      </c>
      <c r="B283" t="inlineStr">
        <is>
          <t>Letícia Cavalcante</t>
        </is>
      </c>
      <c r="C283" s="6" t="n">
        <v>0.5068</v>
      </c>
      <c r="D283" s="6" t="n">
        <v>0.656</v>
      </c>
      <c r="E283" s="6" t="n">
        <v>0.695</v>
      </c>
      <c r="F283" s="6" t="n">
        <v>0.482</v>
      </c>
      <c r="G283" s="6" t="n">
        <v>0.4203</v>
      </c>
      <c r="H283" s="6" t="n">
        <v>0.5810999999999999</v>
      </c>
      <c r="I283" s="6" t="n">
        <v>0.7133</v>
      </c>
      <c r="J283" s="6" t="n">
        <v>0.8764</v>
      </c>
      <c r="K283" s="6" t="n">
        <v>0.3253</v>
      </c>
      <c r="L283" s="7">
        <f>Mecanismos!B2*C283</f>
        <v/>
      </c>
      <c r="M283" s="7">
        <f>Mecanismos!B7*D283</f>
        <v/>
      </c>
      <c r="N283" s="7">
        <f>Mecanismos!B4*(1-E283)</f>
        <v/>
      </c>
      <c r="O283" s="7">
        <f>Mecanismos!B5*(1-F283)</f>
        <v/>
      </c>
      <c r="P283" s="7">
        <f>Mecanismos!B6*(1-I283)</f>
        <v/>
      </c>
      <c r="Q283" s="7">
        <f>Mecanismos!B9*(1-G283)</f>
        <v/>
      </c>
      <c r="R283" s="7">
        <f>Mecanismos!B3*(1-D283)</f>
        <v/>
      </c>
      <c r="S283" s="7">
        <f>Mecanismos!B9*(1-J283)</f>
        <v/>
      </c>
      <c r="T283" s="7">
        <f>Mecanismos!B8*H283</f>
        <v/>
      </c>
      <c r="U283" s="7">
        <f>Mecanismos!B10*H283</f>
        <v/>
      </c>
      <c r="V283" s="7">
        <f>Mecanismos!B8*K283</f>
        <v/>
      </c>
      <c r="W283" s="7">
        <f>SUM(L283:S283)</f>
        <v/>
      </c>
      <c r="X283" s="7">
        <f>SUM(T283:V283)</f>
        <v/>
      </c>
      <c r="Y283" s="8">
        <f>MAX(0,MIN(1,Parametros!B2-W283*Parametros!B3+X283*Parametros!B4))</f>
        <v/>
      </c>
    </row>
    <row r="284">
      <c r="A284" t="inlineStr">
        <is>
          <t>tp40oa</t>
        </is>
      </c>
      <c r="B284" t="inlineStr">
        <is>
          <t>Letícia Leão</t>
        </is>
      </c>
      <c r="C284" s="6" t="n">
        <v>0.8762</v>
      </c>
      <c r="D284" s="6" t="n">
        <v>0.5385</v>
      </c>
      <c r="E284" s="6" t="n">
        <v>0.59</v>
      </c>
      <c r="F284" s="6" t="n">
        <v>0.2995</v>
      </c>
      <c r="G284" s="6" t="n">
        <v>0.2849</v>
      </c>
      <c r="H284" s="6" t="n">
        <v>0.5934</v>
      </c>
      <c r="I284" s="6" t="n">
        <v>0.4398</v>
      </c>
      <c r="J284" s="6" t="n">
        <v>0.6466</v>
      </c>
      <c r="K284" s="6" t="n">
        <v>0.4147</v>
      </c>
      <c r="L284" s="7">
        <f>Mecanismos!B2*C284</f>
        <v/>
      </c>
      <c r="M284" s="7">
        <f>Mecanismos!B7*D284</f>
        <v/>
      </c>
      <c r="N284" s="7">
        <f>Mecanismos!B4*(1-E284)</f>
        <v/>
      </c>
      <c r="O284" s="7">
        <f>Mecanismos!B5*(1-F284)</f>
        <v/>
      </c>
      <c r="P284" s="7">
        <f>Mecanismos!B6*(1-I284)</f>
        <v/>
      </c>
      <c r="Q284" s="7">
        <f>Mecanismos!B9*(1-G284)</f>
        <v/>
      </c>
      <c r="R284" s="7">
        <f>Mecanismos!B3*(1-D284)</f>
        <v/>
      </c>
      <c r="S284" s="7">
        <f>Mecanismos!B9*(1-J284)</f>
        <v/>
      </c>
      <c r="T284" s="7">
        <f>Mecanismos!B8*H284</f>
        <v/>
      </c>
      <c r="U284" s="7">
        <f>Mecanismos!B10*H284</f>
        <v/>
      </c>
      <c r="V284" s="7">
        <f>Mecanismos!B8*K284</f>
        <v/>
      </c>
      <c r="W284" s="7">
        <f>SUM(L284:S284)</f>
        <v/>
      </c>
      <c r="X284" s="7">
        <f>SUM(T284:V284)</f>
        <v/>
      </c>
      <c r="Y284" s="8">
        <f>MAX(0,MIN(1,Parametros!B2-W284*Parametros!B3+X284*Parametros!B4))</f>
        <v/>
      </c>
    </row>
    <row r="285">
      <c r="A285" t="inlineStr">
        <is>
          <t>pwovsa</t>
        </is>
      </c>
      <c r="B285" t="inlineStr">
        <is>
          <t>Letícia Martins</t>
        </is>
      </c>
      <c r="C285" s="6" t="n">
        <v>0.6254</v>
      </c>
      <c r="D285" s="6" t="n">
        <v>0.4483</v>
      </c>
      <c r="E285" s="6" t="n">
        <v>0.3718</v>
      </c>
      <c r="F285" s="6" t="n">
        <v>0.5163</v>
      </c>
      <c r="G285" s="6" t="n">
        <v>0.2324</v>
      </c>
      <c r="H285" s="6" t="n">
        <v>0.7294</v>
      </c>
      <c r="I285" s="6" t="n">
        <v>0.5563</v>
      </c>
      <c r="J285" s="6" t="n">
        <v>0.8528</v>
      </c>
      <c r="K285" s="6" t="n">
        <v>0.699</v>
      </c>
      <c r="L285" s="7">
        <f>Mecanismos!B2*C285</f>
        <v/>
      </c>
      <c r="M285" s="7">
        <f>Mecanismos!B7*D285</f>
        <v/>
      </c>
      <c r="N285" s="7">
        <f>Mecanismos!B4*(1-E285)</f>
        <v/>
      </c>
      <c r="O285" s="7">
        <f>Mecanismos!B5*(1-F285)</f>
        <v/>
      </c>
      <c r="P285" s="7">
        <f>Mecanismos!B6*(1-I285)</f>
        <v/>
      </c>
      <c r="Q285" s="7">
        <f>Mecanismos!B9*(1-G285)</f>
        <v/>
      </c>
      <c r="R285" s="7">
        <f>Mecanismos!B3*(1-D285)</f>
        <v/>
      </c>
      <c r="S285" s="7">
        <f>Mecanismos!B9*(1-J285)</f>
        <v/>
      </c>
      <c r="T285" s="7">
        <f>Mecanismos!B8*H285</f>
        <v/>
      </c>
      <c r="U285" s="7">
        <f>Mecanismos!B10*H285</f>
        <v/>
      </c>
      <c r="V285" s="7">
        <f>Mecanismos!B8*K285</f>
        <v/>
      </c>
      <c r="W285" s="7">
        <f>SUM(L285:S285)</f>
        <v/>
      </c>
      <c r="X285" s="7">
        <f>SUM(T285:V285)</f>
        <v/>
      </c>
      <c r="Y285" s="8">
        <f>MAX(0,MIN(1,Parametros!B2-W285*Parametros!B3+X285*Parametros!B4))</f>
        <v/>
      </c>
    </row>
    <row r="286">
      <c r="A286" t="inlineStr">
        <is>
          <t>fro21z</t>
        </is>
      </c>
      <c r="B286" t="inlineStr">
        <is>
          <t>Letícia Peixoto</t>
        </is>
      </c>
      <c r="C286" s="6" t="n">
        <v>0.494</v>
      </c>
      <c r="D286" s="6" t="n">
        <v>0.4541</v>
      </c>
      <c r="E286" s="6" t="n">
        <v>0.7991</v>
      </c>
      <c r="F286" s="6" t="n">
        <v>0.5017</v>
      </c>
      <c r="G286" s="6" t="n">
        <v>0.5691000000000001</v>
      </c>
      <c r="H286" s="6" t="n">
        <v>0.7834</v>
      </c>
      <c r="I286" s="6" t="n">
        <v>0.5592</v>
      </c>
      <c r="J286" s="6" t="n">
        <v>0.8809</v>
      </c>
      <c r="K286" s="6" t="n">
        <v>0.5327</v>
      </c>
      <c r="L286" s="7">
        <f>Mecanismos!B2*C286</f>
        <v/>
      </c>
      <c r="M286" s="7">
        <f>Mecanismos!B7*D286</f>
        <v/>
      </c>
      <c r="N286" s="7">
        <f>Mecanismos!B4*(1-E286)</f>
        <v/>
      </c>
      <c r="O286" s="7">
        <f>Mecanismos!B5*(1-F286)</f>
        <v/>
      </c>
      <c r="P286" s="7">
        <f>Mecanismos!B6*(1-I286)</f>
        <v/>
      </c>
      <c r="Q286" s="7">
        <f>Mecanismos!B9*(1-G286)</f>
        <v/>
      </c>
      <c r="R286" s="7">
        <f>Mecanismos!B3*(1-D286)</f>
        <v/>
      </c>
      <c r="S286" s="7">
        <f>Mecanismos!B9*(1-J286)</f>
        <v/>
      </c>
      <c r="T286" s="7">
        <f>Mecanismos!B8*H286</f>
        <v/>
      </c>
      <c r="U286" s="7">
        <f>Mecanismos!B10*H286</f>
        <v/>
      </c>
      <c r="V286" s="7">
        <f>Mecanismos!B8*K286</f>
        <v/>
      </c>
      <c r="W286" s="7">
        <f>SUM(L286:S286)</f>
        <v/>
      </c>
      <c r="X286" s="7">
        <f>SUM(T286:V286)</f>
        <v/>
      </c>
      <c r="Y286" s="8">
        <f>MAX(0,MIN(1,Parametros!B2-W286*Parametros!B3+X286*Parametros!B4))</f>
        <v/>
      </c>
    </row>
    <row r="287">
      <c r="A287" t="inlineStr">
        <is>
          <t>3vofs1</t>
        </is>
      </c>
      <c r="B287" t="inlineStr">
        <is>
          <t>Letícia da Costa</t>
        </is>
      </c>
      <c r="C287" s="6" t="n">
        <v>0.6284</v>
      </c>
      <c r="D287" s="6" t="n">
        <v>0.5375</v>
      </c>
      <c r="E287" s="6" t="n">
        <v>0.534</v>
      </c>
      <c r="F287" s="6" t="n">
        <v>0.5564</v>
      </c>
      <c r="G287" s="6" t="n">
        <v>0.3985</v>
      </c>
      <c r="H287" s="6" t="n">
        <v>0.7005</v>
      </c>
      <c r="I287" s="6" t="n">
        <v>0.6433</v>
      </c>
      <c r="J287" s="6" t="n">
        <v>0.9181</v>
      </c>
      <c r="K287" s="6" t="n">
        <v>0.4949</v>
      </c>
      <c r="L287" s="7">
        <f>Mecanismos!B2*C287</f>
        <v/>
      </c>
      <c r="M287" s="7">
        <f>Mecanismos!B7*D287</f>
        <v/>
      </c>
      <c r="N287" s="7">
        <f>Mecanismos!B4*(1-E287)</f>
        <v/>
      </c>
      <c r="O287" s="7">
        <f>Mecanismos!B5*(1-F287)</f>
        <v/>
      </c>
      <c r="P287" s="7">
        <f>Mecanismos!B6*(1-I287)</f>
        <v/>
      </c>
      <c r="Q287" s="7">
        <f>Mecanismos!B9*(1-G287)</f>
        <v/>
      </c>
      <c r="R287" s="7">
        <f>Mecanismos!B3*(1-D287)</f>
        <v/>
      </c>
      <c r="S287" s="7">
        <f>Mecanismos!B9*(1-J287)</f>
        <v/>
      </c>
      <c r="T287" s="7">
        <f>Mecanismos!B8*H287</f>
        <v/>
      </c>
      <c r="U287" s="7">
        <f>Mecanismos!B10*H287</f>
        <v/>
      </c>
      <c r="V287" s="7">
        <f>Mecanismos!B8*K287</f>
        <v/>
      </c>
      <c r="W287" s="7">
        <f>SUM(L287:S287)</f>
        <v/>
      </c>
      <c r="X287" s="7">
        <f>SUM(T287:V287)</f>
        <v/>
      </c>
      <c r="Y287" s="8">
        <f>MAX(0,MIN(1,Parametros!B2-W287*Parametros!B3+X287*Parametros!B4))</f>
        <v/>
      </c>
    </row>
    <row r="288">
      <c r="A288" t="inlineStr">
        <is>
          <t>9s03yh</t>
        </is>
      </c>
      <c r="B288" t="inlineStr">
        <is>
          <t>Levi Moreira</t>
        </is>
      </c>
      <c r="C288" s="6" t="n">
        <v>0.7205</v>
      </c>
      <c r="D288" s="6" t="n">
        <v>0.521</v>
      </c>
      <c r="E288" s="6" t="n">
        <v>0.7052</v>
      </c>
      <c r="F288" s="6" t="n">
        <v>0.4029</v>
      </c>
      <c r="G288" s="6" t="n">
        <v>0.3255</v>
      </c>
      <c r="H288" s="6" t="n">
        <v>0.628</v>
      </c>
      <c r="I288" s="6" t="n">
        <v>0.3563</v>
      </c>
      <c r="J288" s="6" t="n">
        <v>0.6701</v>
      </c>
      <c r="K288" s="6" t="n">
        <v>0.5321</v>
      </c>
      <c r="L288" s="7">
        <f>Mecanismos!B2*C288</f>
        <v/>
      </c>
      <c r="M288" s="7">
        <f>Mecanismos!B7*D288</f>
        <v/>
      </c>
      <c r="N288" s="7">
        <f>Mecanismos!B4*(1-E288)</f>
        <v/>
      </c>
      <c r="O288" s="7">
        <f>Mecanismos!B5*(1-F288)</f>
        <v/>
      </c>
      <c r="P288" s="7">
        <f>Mecanismos!B6*(1-I288)</f>
        <v/>
      </c>
      <c r="Q288" s="7">
        <f>Mecanismos!B9*(1-G288)</f>
        <v/>
      </c>
      <c r="R288" s="7">
        <f>Mecanismos!B3*(1-D288)</f>
        <v/>
      </c>
      <c r="S288" s="7">
        <f>Mecanismos!B9*(1-J288)</f>
        <v/>
      </c>
      <c r="T288" s="7">
        <f>Mecanismos!B8*H288</f>
        <v/>
      </c>
      <c r="U288" s="7">
        <f>Mecanismos!B10*H288</f>
        <v/>
      </c>
      <c r="V288" s="7">
        <f>Mecanismos!B8*K288</f>
        <v/>
      </c>
      <c r="W288" s="7">
        <f>SUM(L288:S288)</f>
        <v/>
      </c>
      <c r="X288" s="7">
        <f>SUM(T288:V288)</f>
        <v/>
      </c>
      <c r="Y288" s="8">
        <f>MAX(0,MIN(1,Parametros!B2-W288*Parametros!B3+X288*Parametros!B4))</f>
        <v/>
      </c>
    </row>
    <row r="289">
      <c r="A289" t="inlineStr">
        <is>
          <t>b3bs9a</t>
        </is>
      </c>
      <c r="B289" t="inlineStr">
        <is>
          <t>Levi Sousa</t>
        </is>
      </c>
      <c r="C289" s="6" t="n">
        <v>0.3972</v>
      </c>
      <c r="D289" s="6" t="n">
        <v>0.4579</v>
      </c>
      <c r="E289" s="6" t="n">
        <v>0.4582</v>
      </c>
      <c r="F289" s="6" t="n">
        <v>0.5635</v>
      </c>
      <c r="G289" s="6" t="n">
        <v>0.608</v>
      </c>
      <c r="H289" s="6" t="n">
        <v>0.5846</v>
      </c>
      <c r="I289" s="6" t="n">
        <v>0.5353</v>
      </c>
      <c r="J289" s="6" t="n">
        <v>0.703</v>
      </c>
      <c r="K289" s="6" t="n">
        <v>0.478</v>
      </c>
      <c r="L289" s="7">
        <f>Mecanismos!B2*C289</f>
        <v/>
      </c>
      <c r="M289" s="7">
        <f>Mecanismos!B7*D289</f>
        <v/>
      </c>
      <c r="N289" s="7">
        <f>Mecanismos!B4*(1-E289)</f>
        <v/>
      </c>
      <c r="O289" s="7">
        <f>Mecanismos!B5*(1-F289)</f>
        <v/>
      </c>
      <c r="P289" s="7">
        <f>Mecanismos!B6*(1-I289)</f>
        <v/>
      </c>
      <c r="Q289" s="7">
        <f>Mecanismos!B9*(1-G289)</f>
        <v/>
      </c>
      <c r="R289" s="7">
        <f>Mecanismos!B3*(1-D289)</f>
        <v/>
      </c>
      <c r="S289" s="7">
        <f>Mecanismos!B9*(1-J289)</f>
        <v/>
      </c>
      <c r="T289" s="7">
        <f>Mecanismos!B8*H289</f>
        <v/>
      </c>
      <c r="U289" s="7">
        <f>Mecanismos!B10*H289</f>
        <v/>
      </c>
      <c r="V289" s="7">
        <f>Mecanismos!B8*K289</f>
        <v/>
      </c>
      <c r="W289" s="7">
        <f>SUM(L289:S289)</f>
        <v/>
      </c>
      <c r="X289" s="7">
        <f>SUM(T289:V289)</f>
        <v/>
      </c>
      <c r="Y289" s="8">
        <f>MAX(0,MIN(1,Parametros!B2-W289*Parametros!B3+X289*Parametros!B4))</f>
        <v/>
      </c>
    </row>
    <row r="290">
      <c r="A290" t="inlineStr">
        <is>
          <t>0rruzm</t>
        </is>
      </c>
      <c r="B290" t="inlineStr">
        <is>
          <t>Liz Abreu</t>
        </is>
      </c>
      <c r="C290" s="6" t="n">
        <v>0.7825</v>
      </c>
      <c r="D290" s="6" t="n">
        <v>0.5401</v>
      </c>
      <c r="E290" s="6" t="n">
        <v>0.6059</v>
      </c>
      <c r="F290" s="6" t="n">
        <v>0.5877</v>
      </c>
      <c r="G290" s="6" t="n">
        <v>0.6264</v>
      </c>
      <c r="H290" s="6" t="n">
        <v>0.6186</v>
      </c>
      <c r="I290" s="6" t="n">
        <v>0.7775</v>
      </c>
      <c r="J290" s="6" t="n">
        <v>0.6782</v>
      </c>
      <c r="K290" s="6" t="n">
        <v>0.3567</v>
      </c>
      <c r="L290" s="7">
        <f>Mecanismos!B2*C290</f>
        <v/>
      </c>
      <c r="M290" s="7">
        <f>Mecanismos!B7*D290</f>
        <v/>
      </c>
      <c r="N290" s="7">
        <f>Mecanismos!B4*(1-E290)</f>
        <v/>
      </c>
      <c r="O290" s="7">
        <f>Mecanismos!B5*(1-F290)</f>
        <v/>
      </c>
      <c r="P290" s="7">
        <f>Mecanismos!B6*(1-I290)</f>
        <v/>
      </c>
      <c r="Q290" s="7">
        <f>Mecanismos!B9*(1-G290)</f>
        <v/>
      </c>
      <c r="R290" s="7">
        <f>Mecanismos!B3*(1-D290)</f>
        <v/>
      </c>
      <c r="S290" s="7">
        <f>Mecanismos!B9*(1-J290)</f>
        <v/>
      </c>
      <c r="T290" s="7">
        <f>Mecanismos!B8*H290</f>
        <v/>
      </c>
      <c r="U290" s="7">
        <f>Mecanismos!B10*H290</f>
        <v/>
      </c>
      <c r="V290" s="7">
        <f>Mecanismos!B8*K290</f>
        <v/>
      </c>
      <c r="W290" s="7">
        <f>SUM(L290:S290)</f>
        <v/>
      </c>
      <c r="X290" s="7">
        <f>SUM(T290:V290)</f>
        <v/>
      </c>
      <c r="Y290" s="8">
        <f>MAX(0,MIN(1,Parametros!B2-W290*Parametros!B3+X290*Parametros!B4))</f>
        <v/>
      </c>
    </row>
    <row r="291">
      <c r="A291" t="inlineStr">
        <is>
          <t>zcqizl</t>
        </is>
      </c>
      <c r="B291" t="inlineStr">
        <is>
          <t>Liz Moreira</t>
        </is>
      </c>
      <c r="C291" s="6" t="n">
        <v>0.6873</v>
      </c>
      <c r="D291" s="6" t="n">
        <v>0.4634</v>
      </c>
      <c r="E291" s="6" t="n">
        <v>0.5292</v>
      </c>
      <c r="F291" s="6" t="n">
        <v>0.5096000000000001</v>
      </c>
      <c r="G291" s="6" t="n">
        <v>0.5211</v>
      </c>
      <c r="H291" s="6" t="n">
        <v>0.534</v>
      </c>
      <c r="I291" s="6" t="n">
        <v>0.2856</v>
      </c>
      <c r="J291" s="6" t="n">
        <v>0.7278</v>
      </c>
      <c r="K291" s="6" t="n">
        <v>0.3859</v>
      </c>
      <c r="L291" s="7">
        <f>Mecanismos!B2*C291</f>
        <v/>
      </c>
      <c r="M291" s="7">
        <f>Mecanismos!B7*D291</f>
        <v/>
      </c>
      <c r="N291" s="7">
        <f>Mecanismos!B4*(1-E291)</f>
        <v/>
      </c>
      <c r="O291" s="7">
        <f>Mecanismos!B5*(1-F291)</f>
        <v/>
      </c>
      <c r="P291" s="7">
        <f>Mecanismos!B6*(1-I291)</f>
        <v/>
      </c>
      <c r="Q291" s="7">
        <f>Mecanismos!B9*(1-G291)</f>
        <v/>
      </c>
      <c r="R291" s="7">
        <f>Mecanismos!B3*(1-D291)</f>
        <v/>
      </c>
      <c r="S291" s="7">
        <f>Mecanismos!B9*(1-J291)</f>
        <v/>
      </c>
      <c r="T291" s="7">
        <f>Mecanismos!B8*H291</f>
        <v/>
      </c>
      <c r="U291" s="7">
        <f>Mecanismos!B10*H291</f>
        <v/>
      </c>
      <c r="V291" s="7">
        <f>Mecanismos!B8*K291</f>
        <v/>
      </c>
      <c r="W291" s="7">
        <f>SUM(L291:S291)</f>
        <v/>
      </c>
      <c r="X291" s="7">
        <f>SUM(T291:V291)</f>
        <v/>
      </c>
      <c r="Y291" s="8">
        <f>MAX(0,MIN(1,Parametros!B2-W291*Parametros!B3+X291*Parametros!B4))</f>
        <v/>
      </c>
    </row>
    <row r="292">
      <c r="A292" t="inlineStr">
        <is>
          <t>4hquuu</t>
        </is>
      </c>
      <c r="B292" t="inlineStr">
        <is>
          <t>Lorenzo Albuquerque</t>
        </is>
      </c>
      <c r="C292" s="6" t="n">
        <v>0.7147</v>
      </c>
      <c r="D292" s="6" t="n">
        <v>0.7833</v>
      </c>
      <c r="E292" s="6" t="n">
        <v>0.4728</v>
      </c>
      <c r="F292" s="6" t="n">
        <v>0.6111</v>
      </c>
      <c r="G292" s="6" t="n">
        <v>0.6011</v>
      </c>
      <c r="H292" s="6" t="n">
        <v>0.3723</v>
      </c>
      <c r="I292" s="6" t="n">
        <v>0.4063</v>
      </c>
      <c r="J292" s="6" t="n">
        <v>0.9093</v>
      </c>
      <c r="K292" s="6" t="n">
        <v>0.3653</v>
      </c>
      <c r="L292" s="7">
        <f>Mecanismos!B2*C292</f>
        <v/>
      </c>
      <c r="M292" s="7">
        <f>Mecanismos!B7*D292</f>
        <v/>
      </c>
      <c r="N292" s="7">
        <f>Mecanismos!B4*(1-E292)</f>
        <v/>
      </c>
      <c r="O292" s="7">
        <f>Mecanismos!B5*(1-F292)</f>
        <v/>
      </c>
      <c r="P292" s="7">
        <f>Mecanismos!B6*(1-I292)</f>
        <v/>
      </c>
      <c r="Q292" s="7">
        <f>Mecanismos!B9*(1-G292)</f>
        <v/>
      </c>
      <c r="R292" s="7">
        <f>Mecanismos!B3*(1-D292)</f>
        <v/>
      </c>
      <c r="S292" s="7">
        <f>Mecanismos!B9*(1-J292)</f>
        <v/>
      </c>
      <c r="T292" s="7">
        <f>Mecanismos!B8*H292</f>
        <v/>
      </c>
      <c r="U292" s="7">
        <f>Mecanismos!B10*H292</f>
        <v/>
      </c>
      <c r="V292" s="7">
        <f>Mecanismos!B8*K292</f>
        <v/>
      </c>
      <c r="W292" s="7">
        <f>SUM(L292:S292)</f>
        <v/>
      </c>
      <c r="X292" s="7">
        <f>SUM(T292:V292)</f>
        <v/>
      </c>
      <c r="Y292" s="8">
        <f>MAX(0,MIN(1,Parametros!B2-W292*Parametros!B3+X292*Parametros!B4))</f>
        <v/>
      </c>
    </row>
    <row r="293">
      <c r="A293" t="inlineStr">
        <is>
          <t>qhgbml</t>
        </is>
      </c>
      <c r="B293" t="inlineStr">
        <is>
          <t>Lorenzo Nogueira</t>
        </is>
      </c>
      <c r="C293" s="6" t="n">
        <v>0.6465</v>
      </c>
      <c r="D293" s="6" t="n">
        <v>0.3805</v>
      </c>
      <c r="E293" s="6" t="n">
        <v>0.4131</v>
      </c>
      <c r="F293" s="6" t="n">
        <v>0.4561</v>
      </c>
      <c r="G293" s="6" t="n">
        <v>0.2914</v>
      </c>
      <c r="H293" s="6" t="n">
        <v>0.476</v>
      </c>
      <c r="I293" s="6" t="n">
        <v>0.232</v>
      </c>
      <c r="J293" s="6" t="n">
        <v>0.7066</v>
      </c>
      <c r="K293" s="6" t="n">
        <v>0.5769</v>
      </c>
      <c r="L293" s="7">
        <f>Mecanismos!B2*C293</f>
        <v/>
      </c>
      <c r="M293" s="7">
        <f>Mecanismos!B7*D293</f>
        <v/>
      </c>
      <c r="N293" s="7">
        <f>Mecanismos!B4*(1-E293)</f>
        <v/>
      </c>
      <c r="O293" s="7">
        <f>Mecanismos!B5*(1-F293)</f>
        <v/>
      </c>
      <c r="P293" s="7">
        <f>Mecanismos!B6*(1-I293)</f>
        <v/>
      </c>
      <c r="Q293" s="7">
        <f>Mecanismos!B9*(1-G293)</f>
        <v/>
      </c>
      <c r="R293" s="7">
        <f>Mecanismos!B3*(1-D293)</f>
        <v/>
      </c>
      <c r="S293" s="7">
        <f>Mecanismos!B9*(1-J293)</f>
        <v/>
      </c>
      <c r="T293" s="7">
        <f>Mecanismos!B8*H293</f>
        <v/>
      </c>
      <c r="U293" s="7">
        <f>Mecanismos!B10*H293</f>
        <v/>
      </c>
      <c r="V293" s="7">
        <f>Mecanismos!B8*K293</f>
        <v/>
      </c>
      <c r="W293" s="7">
        <f>SUM(L293:S293)</f>
        <v/>
      </c>
      <c r="X293" s="7">
        <f>SUM(T293:V293)</f>
        <v/>
      </c>
      <c r="Y293" s="8">
        <f>MAX(0,MIN(1,Parametros!B2-W293*Parametros!B3+X293*Parametros!B4))</f>
        <v/>
      </c>
    </row>
    <row r="294">
      <c r="A294" t="inlineStr">
        <is>
          <t>7j9ypw</t>
        </is>
      </c>
      <c r="B294" t="inlineStr">
        <is>
          <t>Luana Cavalcante</t>
        </is>
      </c>
      <c r="C294" s="6" t="n">
        <v>0.7782</v>
      </c>
      <c r="D294" s="6" t="n">
        <v>0.5786</v>
      </c>
      <c r="E294" s="6" t="n">
        <v>0.6938</v>
      </c>
      <c r="F294" s="6" t="n">
        <v>0.7053</v>
      </c>
      <c r="G294" s="6" t="n">
        <v>0.4995</v>
      </c>
      <c r="H294" s="6" t="n">
        <v>0.6046</v>
      </c>
      <c r="I294" s="6" t="n">
        <v>0.6847</v>
      </c>
      <c r="J294" s="6" t="n">
        <v>0.8335</v>
      </c>
      <c r="K294" s="6" t="n">
        <v>0.5797</v>
      </c>
      <c r="L294" s="7">
        <f>Mecanismos!B2*C294</f>
        <v/>
      </c>
      <c r="M294" s="7">
        <f>Mecanismos!B7*D294</f>
        <v/>
      </c>
      <c r="N294" s="7">
        <f>Mecanismos!B4*(1-E294)</f>
        <v/>
      </c>
      <c r="O294" s="7">
        <f>Mecanismos!B5*(1-F294)</f>
        <v/>
      </c>
      <c r="P294" s="7">
        <f>Mecanismos!B6*(1-I294)</f>
        <v/>
      </c>
      <c r="Q294" s="7">
        <f>Mecanismos!B9*(1-G294)</f>
        <v/>
      </c>
      <c r="R294" s="7">
        <f>Mecanismos!B3*(1-D294)</f>
        <v/>
      </c>
      <c r="S294" s="7">
        <f>Mecanismos!B9*(1-J294)</f>
        <v/>
      </c>
      <c r="T294" s="7">
        <f>Mecanismos!B8*H294</f>
        <v/>
      </c>
      <c r="U294" s="7">
        <f>Mecanismos!B10*H294</f>
        <v/>
      </c>
      <c r="V294" s="7">
        <f>Mecanismos!B8*K294</f>
        <v/>
      </c>
      <c r="W294" s="7">
        <f>SUM(L294:S294)</f>
        <v/>
      </c>
      <c r="X294" s="7">
        <f>SUM(T294:V294)</f>
        <v/>
      </c>
      <c r="Y294" s="8">
        <f>MAX(0,MIN(1,Parametros!B2-W294*Parametros!B3+X294*Parametros!B4))</f>
        <v/>
      </c>
    </row>
    <row r="295">
      <c r="A295" t="inlineStr">
        <is>
          <t>voflsa</t>
        </is>
      </c>
      <c r="B295" t="inlineStr">
        <is>
          <t>Luana Rocha</t>
        </is>
      </c>
      <c r="C295" s="6" t="n">
        <v>0.4473</v>
      </c>
      <c r="D295" s="6" t="n">
        <v>0.3959</v>
      </c>
      <c r="E295" s="6" t="n">
        <v>0.6317</v>
      </c>
      <c r="F295" s="6" t="n">
        <v>0.4356</v>
      </c>
      <c r="G295" s="6" t="n">
        <v>0.2244</v>
      </c>
      <c r="H295" s="6" t="n">
        <v>0.7573</v>
      </c>
      <c r="I295" s="6" t="n">
        <v>0.5713</v>
      </c>
      <c r="J295" s="6" t="n">
        <v>0.4475</v>
      </c>
      <c r="K295" s="6" t="n">
        <v>0.4417</v>
      </c>
      <c r="L295" s="7">
        <f>Mecanismos!B2*C295</f>
        <v/>
      </c>
      <c r="M295" s="7">
        <f>Mecanismos!B7*D295</f>
        <v/>
      </c>
      <c r="N295" s="7">
        <f>Mecanismos!B4*(1-E295)</f>
        <v/>
      </c>
      <c r="O295" s="7">
        <f>Mecanismos!B5*(1-F295)</f>
        <v/>
      </c>
      <c r="P295" s="7">
        <f>Mecanismos!B6*(1-I295)</f>
        <v/>
      </c>
      <c r="Q295" s="7">
        <f>Mecanismos!B9*(1-G295)</f>
        <v/>
      </c>
      <c r="R295" s="7">
        <f>Mecanismos!B3*(1-D295)</f>
        <v/>
      </c>
      <c r="S295" s="7">
        <f>Mecanismos!B9*(1-J295)</f>
        <v/>
      </c>
      <c r="T295" s="7">
        <f>Mecanismos!B8*H295</f>
        <v/>
      </c>
      <c r="U295" s="7">
        <f>Mecanismos!B10*H295</f>
        <v/>
      </c>
      <c r="V295" s="7">
        <f>Mecanismos!B8*K295</f>
        <v/>
      </c>
      <c r="W295" s="7">
        <f>SUM(L295:S295)</f>
        <v/>
      </c>
      <c r="X295" s="7">
        <f>SUM(T295:V295)</f>
        <v/>
      </c>
      <c r="Y295" s="8">
        <f>MAX(0,MIN(1,Parametros!B2-W295*Parametros!B3+X295*Parametros!B4))</f>
        <v/>
      </c>
    </row>
    <row r="296">
      <c r="A296" t="inlineStr">
        <is>
          <t>a6neu5</t>
        </is>
      </c>
      <c r="B296" t="inlineStr">
        <is>
          <t>Luara Fonseca</t>
        </is>
      </c>
      <c r="C296" s="6" t="n">
        <v>0.6939</v>
      </c>
      <c r="D296" s="6" t="n">
        <v>0.4164</v>
      </c>
      <c r="E296" s="6" t="n">
        <v>0.2342</v>
      </c>
      <c r="F296" s="6" t="n">
        <v>0.6604</v>
      </c>
      <c r="G296" s="6" t="n">
        <v>0.3222</v>
      </c>
      <c r="H296" s="6" t="n">
        <v>0.6408</v>
      </c>
      <c r="I296" s="6" t="n">
        <v>0.5713</v>
      </c>
      <c r="J296" s="6" t="n">
        <v>0.4912</v>
      </c>
      <c r="K296" s="6" t="n">
        <v>0.9405</v>
      </c>
      <c r="L296" s="7">
        <f>Mecanismos!B2*C296</f>
        <v/>
      </c>
      <c r="M296" s="7">
        <f>Mecanismos!B7*D296</f>
        <v/>
      </c>
      <c r="N296" s="7">
        <f>Mecanismos!B4*(1-E296)</f>
        <v/>
      </c>
      <c r="O296" s="7">
        <f>Mecanismos!B5*(1-F296)</f>
        <v/>
      </c>
      <c r="P296" s="7">
        <f>Mecanismos!B6*(1-I296)</f>
        <v/>
      </c>
      <c r="Q296" s="7">
        <f>Mecanismos!B9*(1-G296)</f>
        <v/>
      </c>
      <c r="R296" s="7">
        <f>Mecanismos!B3*(1-D296)</f>
        <v/>
      </c>
      <c r="S296" s="7">
        <f>Mecanismos!B9*(1-J296)</f>
        <v/>
      </c>
      <c r="T296" s="7">
        <f>Mecanismos!B8*H296</f>
        <v/>
      </c>
      <c r="U296" s="7">
        <f>Mecanismos!B10*H296</f>
        <v/>
      </c>
      <c r="V296" s="7">
        <f>Mecanismos!B8*K296</f>
        <v/>
      </c>
      <c r="W296" s="7">
        <f>SUM(L296:S296)</f>
        <v/>
      </c>
      <c r="X296" s="7">
        <f>SUM(T296:V296)</f>
        <v/>
      </c>
      <c r="Y296" s="8">
        <f>MAX(0,MIN(1,Parametros!B2-W296*Parametros!B3+X296*Parametros!B4))</f>
        <v/>
      </c>
    </row>
    <row r="297">
      <c r="A297" t="inlineStr">
        <is>
          <t>qmh39m</t>
        </is>
      </c>
      <c r="B297" t="inlineStr">
        <is>
          <t>Lucas Gabriel da Conceição</t>
        </is>
      </c>
      <c r="C297" s="6" t="n">
        <v>0.3498</v>
      </c>
      <c r="D297" s="6" t="n">
        <v>0.7603</v>
      </c>
      <c r="E297" s="6" t="n">
        <v>0.8469</v>
      </c>
      <c r="F297" s="6" t="n">
        <v>0.7108</v>
      </c>
      <c r="G297" s="6" t="n">
        <v>0.5434</v>
      </c>
      <c r="H297" s="6" t="n">
        <v>0.5341</v>
      </c>
      <c r="I297" s="6" t="n">
        <v>0.8531</v>
      </c>
      <c r="J297" s="6" t="n">
        <v>0.8913</v>
      </c>
      <c r="K297" s="6" t="n">
        <v>0.2341</v>
      </c>
      <c r="L297" s="7">
        <f>Mecanismos!B2*C297</f>
        <v/>
      </c>
      <c r="M297" s="7">
        <f>Mecanismos!B7*D297</f>
        <v/>
      </c>
      <c r="N297" s="7">
        <f>Mecanismos!B4*(1-E297)</f>
        <v/>
      </c>
      <c r="O297" s="7">
        <f>Mecanismos!B5*(1-F297)</f>
        <v/>
      </c>
      <c r="P297" s="7">
        <f>Mecanismos!B6*(1-I297)</f>
        <v/>
      </c>
      <c r="Q297" s="7">
        <f>Mecanismos!B9*(1-G297)</f>
        <v/>
      </c>
      <c r="R297" s="7">
        <f>Mecanismos!B3*(1-D297)</f>
        <v/>
      </c>
      <c r="S297" s="7">
        <f>Mecanismos!B9*(1-J297)</f>
        <v/>
      </c>
      <c r="T297" s="7">
        <f>Mecanismos!B8*H297</f>
        <v/>
      </c>
      <c r="U297" s="7">
        <f>Mecanismos!B10*H297</f>
        <v/>
      </c>
      <c r="V297" s="7">
        <f>Mecanismos!B8*K297</f>
        <v/>
      </c>
      <c r="W297" s="7">
        <f>SUM(L297:S297)</f>
        <v/>
      </c>
      <c r="X297" s="7">
        <f>SUM(T297:V297)</f>
        <v/>
      </c>
      <c r="Y297" s="8">
        <f>MAX(0,MIN(1,Parametros!B2-W297*Parametros!B3+X297*Parametros!B4))</f>
        <v/>
      </c>
    </row>
    <row r="298">
      <c r="A298" t="inlineStr">
        <is>
          <t>wtfaho</t>
        </is>
      </c>
      <c r="B298" t="inlineStr">
        <is>
          <t>Lucas Moura</t>
        </is>
      </c>
      <c r="C298" s="6" t="n">
        <v>0.7124</v>
      </c>
      <c r="D298" s="6" t="n">
        <v>0.7016</v>
      </c>
      <c r="E298" s="6" t="n">
        <v>0.6929</v>
      </c>
      <c r="F298" s="6" t="n">
        <v>0.1945</v>
      </c>
      <c r="G298" s="6" t="n">
        <v>0.3978</v>
      </c>
      <c r="H298" s="6" t="n">
        <v>0.414</v>
      </c>
      <c r="I298" s="6" t="n">
        <v>0.5608</v>
      </c>
      <c r="J298" s="6" t="n">
        <v>0.7302999999999999</v>
      </c>
      <c r="K298" s="6" t="n">
        <v>0.3746</v>
      </c>
      <c r="L298" s="7">
        <f>Mecanismos!B2*C298</f>
        <v/>
      </c>
      <c r="M298" s="7">
        <f>Mecanismos!B7*D298</f>
        <v/>
      </c>
      <c r="N298" s="7">
        <f>Mecanismos!B4*(1-E298)</f>
        <v/>
      </c>
      <c r="O298" s="7">
        <f>Mecanismos!B5*(1-F298)</f>
        <v/>
      </c>
      <c r="P298" s="7">
        <f>Mecanismos!B6*(1-I298)</f>
        <v/>
      </c>
      <c r="Q298" s="7">
        <f>Mecanismos!B9*(1-G298)</f>
        <v/>
      </c>
      <c r="R298" s="7">
        <f>Mecanismos!B3*(1-D298)</f>
        <v/>
      </c>
      <c r="S298" s="7">
        <f>Mecanismos!B9*(1-J298)</f>
        <v/>
      </c>
      <c r="T298" s="7">
        <f>Mecanismos!B8*H298</f>
        <v/>
      </c>
      <c r="U298" s="7">
        <f>Mecanismos!B10*H298</f>
        <v/>
      </c>
      <c r="V298" s="7">
        <f>Mecanismos!B8*K298</f>
        <v/>
      </c>
      <c r="W298" s="7">
        <f>SUM(L298:S298)</f>
        <v/>
      </c>
      <c r="X298" s="7">
        <f>SUM(T298:V298)</f>
        <v/>
      </c>
      <c r="Y298" s="8">
        <f>MAX(0,MIN(1,Parametros!B2-W298*Parametros!B3+X298*Parametros!B4))</f>
        <v/>
      </c>
    </row>
    <row r="299">
      <c r="A299" t="inlineStr">
        <is>
          <t>q2c6wh</t>
        </is>
      </c>
      <c r="B299" t="inlineStr">
        <is>
          <t>Lucas Rios</t>
        </is>
      </c>
      <c r="C299" s="6" t="n">
        <v>0.6197</v>
      </c>
      <c r="D299" s="6" t="n">
        <v>0.5523</v>
      </c>
      <c r="E299" s="6" t="n">
        <v>0.6167</v>
      </c>
      <c r="F299" s="6" t="n">
        <v>0.5051</v>
      </c>
      <c r="G299" s="6" t="n">
        <v>0.5533</v>
      </c>
      <c r="H299" s="6" t="n">
        <v>0.6435</v>
      </c>
      <c r="I299" s="6" t="n">
        <v>0.5726</v>
      </c>
      <c r="J299" s="6" t="n">
        <v>0.853</v>
      </c>
      <c r="K299" s="6" t="n">
        <v>0.4782</v>
      </c>
      <c r="L299" s="7">
        <f>Mecanismos!B2*C299</f>
        <v/>
      </c>
      <c r="M299" s="7">
        <f>Mecanismos!B7*D299</f>
        <v/>
      </c>
      <c r="N299" s="7">
        <f>Mecanismos!B4*(1-E299)</f>
        <v/>
      </c>
      <c r="O299" s="7">
        <f>Mecanismos!B5*(1-F299)</f>
        <v/>
      </c>
      <c r="P299" s="7">
        <f>Mecanismos!B6*(1-I299)</f>
        <v/>
      </c>
      <c r="Q299" s="7">
        <f>Mecanismos!B9*(1-G299)</f>
        <v/>
      </c>
      <c r="R299" s="7">
        <f>Mecanismos!B3*(1-D299)</f>
        <v/>
      </c>
      <c r="S299" s="7">
        <f>Mecanismos!B9*(1-J299)</f>
        <v/>
      </c>
      <c r="T299" s="7">
        <f>Mecanismos!B8*H299</f>
        <v/>
      </c>
      <c r="U299" s="7">
        <f>Mecanismos!B10*H299</f>
        <v/>
      </c>
      <c r="V299" s="7">
        <f>Mecanismos!B8*K299</f>
        <v/>
      </c>
      <c r="W299" s="7">
        <f>SUM(L299:S299)</f>
        <v/>
      </c>
      <c r="X299" s="7">
        <f>SUM(T299:V299)</f>
        <v/>
      </c>
      <c r="Y299" s="8">
        <f>MAX(0,MIN(1,Parametros!B2-W299*Parametros!B3+X299*Parametros!B4))</f>
        <v/>
      </c>
    </row>
    <row r="300">
      <c r="A300" t="inlineStr">
        <is>
          <t>g5csi0</t>
        </is>
      </c>
      <c r="B300" t="inlineStr">
        <is>
          <t>Lucca Cavalcante</t>
        </is>
      </c>
      <c r="C300" s="6" t="n">
        <v>0.6395</v>
      </c>
      <c r="D300" s="6" t="n">
        <v>0.7148</v>
      </c>
      <c r="E300" s="6" t="n">
        <v>0.5739</v>
      </c>
      <c r="F300" s="6" t="n">
        <v>0.5628</v>
      </c>
      <c r="G300" s="6" t="n">
        <v>0.4813</v>
      </c>
      <c r="H300" s="6" t="n">
        <v>0.5661</v>
      </c>
      <c r="I300" s="6" t="n">
        <v>0.3764</v>
      </c>
      <c r="J300" s="6" t="n">
        <v>0.8542</v>
      </c>
      <c r="K300" s="6" t="n">
        <v>0.4326</v>
      </c>
      <c r="L300" s="7">
        <f>Mecanismos!B2*C300</f>
        <v/>
      </c>
      <c r="M300" s="7">
        <f>Mecanismos!B7*D300</f>
        <v/>
      </c>
      <c r="N300" s="7">
        <f>Mecanismos!B4*(1-E300)</f>
        <v/>
      </c>
      <c r="O300" s="7">
        <f>Mecanismos!B5*(1-F300)</f>
        <v/>
      </c>
      <c r="P300" s="7">
        <f>Mecanismos!B6*(1-I300)</f>
        <v/>
      </c>
      <c r="Q300" s="7">
        <f>Mecanismos!B9*(1-G300)</f>
        <v/>
      </c>
      <c r="R300" s="7">
        <f>Mecanismos!B3*(1-D300)</f>
        <v/>
      </c>
      <c r="S300" s="7">
        <f>Mecanismos!B9*(1-J300)</f>
        <v/>
      </c>
      <c r="T300" s="7">
        <f>Mecanismos!B8*H300</f>
        <v/>
      </c>
      <c r="U300" s="7">
        <f>Mecanismos!B10*H300</f>
        <v/>
      </c>
      <c r="V300" s="7">
        <f>Mecanismos!B8*K300</f>
        <v/>
      </c>
      <c r="W300" s="7">
        <f>SUM(L300:S300)</f>
        <v/>
      </c>
      <c r="X300" s="7">
        <f>SUM(T300:V300)</f>
        <v/>
      </c>
      <c r="Y300" s="8">
        <f>MAX(0,MIN(1,Parametros!B2-W300*Parametros!B3+X300*Parametros!B4))</f>
        <v/>
      </c>
    </row>
    <row r="301">
      <c r="A301" t="inlineStr">
        <is>
          <t>u2hirb</t>
        </is>
      </c>
      <c r="B301" t="inlineStr">
        <is>
          <t>Lucca Dias</t>
        </is>
      </c>
      <c r="C301" s="6" t="n">
        <v>0.6812</v>
      </c>
      <c r="D301" s="6" t="n">
        <v>0.6251</v>
      </c>
      <c r="E301" s="6" t="n">
        <v>0.4171</v>
      </c>
      <c r="F301" s="6" t="n">
        <v>0.6624</v>
      </c>
      <c r="G301" s="6" t="n">
        <v>0.6116</v>
      </c>
      <c r="H301" s="6" t="n">
        <v>0.6061</v>
      </c>
      <c r="I301" s="6" t="n">
        <v>0.6717</v>
      </c>
      <c r="J301" s="6" t="n">
        <v>0.7985</v>
      </c>
      <c r="K301" s="6" t="n">
        <v>0.4348</v>
      </c>
      <c r="L301" s="7">
        <f>Mecanismos!B2*C301</f>
        <v/>
      </c>
      <c r="M301" s="7">
        <f>Mecanismos!B7*D301</f>
        <v/>
      </c>
      <c r="N301" s="7">
        <f>Mecanismos!B4*(1-E301)</f>
        <v/>
      </c>
      <c r="O301" s="7">
        <f>Mecanismos!B5*(1-F301)</f>
        <v/>
      </c>
      <c r="P301" s="7">
        <f>Mecanismos!B6*(1-I301)</f>
        <v/>
      </c>
      <c r="Q301" s="7">
        <f>Mecanismos!B9*(1-G301)</f>
        <v/>
      </c>
      <c r="R301" s="7">
        <f>Mecanismos!B3*(1-D301)</f>
        <v/>
      </c>
      <c r="S301" s="7">
        <f>Mecanismos!B9*(1-J301)</f>
        <v/>
      </c>
      <c r="T301" s="7">
        <f>Mecanismos!B8*H301</f>
        <v/>
      </c>
      <c r="U301" s="7">
        <f>Mecanismos!B10*H301</f>
        <v/>
      </c>
      <c r="V301" s="7">
        <f>Mecanismos!B8*K301</f>
        <v/>
      </c>
      <c r="W301" s="7">
        <f>SUM(L301:S301)</f>
        <v/>
      </c>
      <c r="X301" s="7">
        <f>SUM(T301:V301)</f>
        <v/>
      </c>
      <c r="Y301" s="8">
        <f>MAX(0,MIN(1,Parametros!B2-W301*Parametros!B3+X301*Parametros!B4))</f>
        <v/>
      </c>
    </row>
    <row r="302">
      <c r="A302" t="inlineStr">
        <is>
          <t>y81btb</t>
        </is>
      </c>
      <c r="B302" t="inlineStr">
        <is>
          <t>Lucca Gonçalves</t>
        </is>
      </c>
      <c r="C302" s="6" t="n">
        <v>0.7083</v>
      </c>
      <c r="D302" s="6" t="n">
        <v>0.5212</v>
      </c>
      <c r="E302" s="6" t="n">
        <v>0.4492</v>
      </c>
      <c r="F302" s="6" t="n">
        <v>0.7411</v>
      </c>
      <c r="G302" s="6" t="n">
        <v>0.477</v>
      </c>
      <c r="H302" s="6" t="n">
        <v>0.46</v>
      </c>
      <c r="I302" s="6" t="n">
        <v>0.5452</v>
      </c>
      <c r="J302" s="6" t="n">
        <v>0.5483</v>
      </c>
      <c r="K302" s="6" t="n">
        <v>0.6241</v>
      </c>
      <c r="L302" s="7">
        <f>Mecanismos!B2*C302</f>
        <v/>
      </c>
      <c r="M302" s="7">
        <f>Mecanismos!B7*D302</f>
        <v/>
      </c>
      <c r="N302" s="7">
        <f>Mecanismos!B4*(1-E302)</f>
        <v/>
      </c>
      <c r="O302" s="7">
        <f>Mecanismos!B5*(1-F302)</f>
        <v/>
      </c>
      <c r="P302" s="7">
        <f>Mecanismos!B6*(1-I302)</f>
        <v/>
      </c>
      <c r="Q302" s="7">
        <f>Mecanismos!B9*(1-G302)</f>
        <v/>
      </c>
      <c r="R302" s="7">
        <f>Mecanismos!B3*(1-D302)</f>
        <v/>
      </c>
      <c r="S302" s="7">
        <f>Mecanismos!B9*(1-J302)</f>
        <v/>
      </c>
      <c r="T302" s="7">
        <f>Mecanismos!B8*H302</f>
        <v/>
      </c>
      <c r="U302" s="7">
        <f>Mecanismos!B10*H302</f>
        <v/>
      </c>
      <c r="V302" s="7">
        <f>Mecanismos!B8*K302</f>
        <v/>
      </c>
      <c r="W302" s="7">
        <f>SUM(L302:S302)</f>
        <v/>
      </c>
      <c r="X302" s="7">
        <f>SUM(T302:V302)</f>
        <v/>
      </c>
      <c r="Y302" s="8">
        <f>MAX(0,MIN(1,Parametros!B2-W302*Parametros!B3+X302*Parametros!B4))</f>
        <v/>
      </c>
    </row>
    <row r="303">
      <c r="A303" t="inlineStr">
        <is>
          <t>tq8cku</t>
        </is>
      </c>
      <c r="B303" t="inlineStr">
        <is>
          <t>Lucca Melo</t>
        </is>
      </c>
      <c r="C303" s="6" t="n">
        <v>0.6496</v>
      </c>
      <c r="D303" s="6" t="n">
        <v>0.3391</v>
      </c>
      <c r="E303" s="6" t="n">
        <v>0.5676</v>
      </c>
      <c r="F303" s="6" t="n">
        <v>0.6604</v>
      </c>
      <c r="G303" s="6" t="n">
        <v>0.463</v>
      </c>
      <c r="H303" s="6" t="n">
        <v>0.5344</v>
      </c>
      <c r="I303" s="6" t="n">
        <v>0.2991</v>
      </c>
      <c r="J303" s="6" t="n">
        <v>0.8048</v>
      </c>
      <c r="K303" s="6" t="n">
        <v>0.209</v>
      </c>
      <c r="L303" s="7">
        <f>Mecanismos!B2*C303</f>
        <v/>
      </c>
      <c r="M303" s="7">
        <f>Mecanismos!B7*D303</f>
        <v/>
      </c>
      <c r="N303" s="7">
        <f>Mecanismos!B4*(1-E303)</f>
        <v/>
      </c>
      <c r="O303" s="7">
        <f>Mecanismos!B5*(1-F303)</f>
        <v/>
      </c>
      <c r="P303" s="7">
        <f>Mecanismos!B6*(1-I303)</f>
        <v/>
      </c>
      <c r="Q303" s="7">
        <f>Mecanismos!B9*(1-G303)</f>
        <v/>
      </c>
      <c r="R303" s="7">
        <f>Mecanismos!B3*(1-D303)</f>
        <v/>
      </c>
      <c r="S303" s="7">
        <f>Mecanismos!B9*(1-J303)</f>
        <v/>
      </c>
      <c r="T303" s="7">
        <f>Mecanismos!B8*H303</f>
        <v/>
      </c>
      <c r="U303" s="7">
        <f>Mecanismos!B10*H303</f>
        <v/>
      </c>
      <c r="V303" s="7">
        <f>Mecanismos!B8*K303</f>
        <v/>
      </c>
      <c r="W303" s="7">
        <f>SUM(L303:S303)</f>
        <v/>
      </c>
      <c r="X303" s="7">
        <f>SUM(T303:V303)</f>
        <v/>
      </c>
      <c r="Y303" s="8">
        <f>MAX(0,MIN(1,Parametros!B2-W303*Parametros!B3+X303*Parametros!B4))</f>
        <v/>
      </c>
    </row>
    <row r="304">
      <c r="A304" t="inlineStr">
        <is>
          <t>7yr2da</t>
        </is>
      </c>
      <c r="B304" t="inlineStr">
        <is>
          <t>Lucca Montenegro</t>
        </is>
      </c>
      <c r="C304" s="6" t="n">
        <v>0.3533</v>
      </c>
      <c r="D304" s="6" t="n">
        <v>0.4487</v>
      </c>
      <c r="E304" s="6" t="n">
        <v>0.478</v>
      </c>
      <c r="F304" s="6" t="n">
        <v>0.4285</v>
      </c>
      <c r="G304" s="6" t="n">
        <v>0.5093</v>
      </c>
      <c r="H304" s="6" t="n">
        <v>0.6699000000000001</v>
      </c>
      <c r="I304" s="6" t="n">
        <v>0.4777</v>
      </c>
      <c r="J304" s="6" t="n">
        <v>0.7391</v>
      </c>
      <c r="K304" s="6" t="n">
        <v>0.6415999999999999</v>
      </c>
      <c r="L304" s="7">
        <f>Mecanismos!B2*C304</f>
        <v/>
      </c>
      <c r="M304" s="7">
        <f>Mecanismos!B7*D304</f>
        <v/>
      </c>
      <c r="N304" s="7">
        <f>Mecanismos!B4*(1-E304)</f>
        <v/>
      </c>
      <c r="O304" s="7">
        <f>Mecanismos!B5*(1-F304)</f>
        <v/>
      </c>
      <c r="P304" s="7">
        <f>Mecanismos!B6*(1-I304)</f>
        <v/>
      </c>
      <c r="Q304" s="7">
        <f>Mecanismos!B9*(1-G304)</f>
        <v/>
      </c>
      <c r="R304" s="7">
        <f>Mecanismos!B3*(1-D304)</f>
        <v/>
      </c>
      <c r="S304" s="7">
        <f>Mecanismos!B9*(1-J304)</f>
        <v/>
      </c>
      <c r="T304" s="7">
        <f>Mecanismos!B8*H304</f>
        <v/>
      </c>
      <c r="U304" s="7">
        <f>Mecanismos!B10*H304</f>
        <v/>
      </c>
      <c r="V304" s="7">
        <f>Mecanismos!B8*K304</f>
        <v/>
      </c>
      <c r="W304" s="7">
        <f>SUM(L304:S304)</f>
        <v/>
      </c>
      <c r="X304" s="7">
        <f>SUM(T304:V304)</f>
        <v/>
      </c>
      <c r="Y304" s="8">
        <f>MAX(0,MIN(1,Parametros!B2-W304*Parametros!B3+X304*Parametros!B4))</f>
        <v/>
      </c>
    </row>
    <row r="305">
      <c r="A305" t="inlineStr">
        <is>
          <t>148cxl</t>
        </is>
      </c>
      <c r="B305" t="inlineStr">
        <is>
          <t>Luigi da Rocha</t>
        </is>
      </c>
      <c r="C305" s="6" t="n">
        <v>0.5956</v>
      </c>
      <c r="D305" s="6" t="n">
        <v>0.4059</v>
      </c>
      <c r="E305" s="6" t="n">
        <v>0.4904</v>
      </c>
      <c r="F305" s="6" t="n">
        <v>0.5343</v>
      </c>
      <c r="G305" s="6" t="n">
        <v>0.7206</v>
      </c>
      <c r="H305" s="6" t="n">
        <v>0.5373</v>
      </c>
      <c r="I305" s="6" t="n">
        <v>0.5919</v>
      </c>
      <c r="J305" s="6" t="n">
        <v>0.7028</v>
      </c>
      <c r="K305" s="6" t="n">
        <v>0.5662</v>
      </c>
      <c r="L305" s="7">
        <f>Mecanismos!B2*C305</f>
        <v/>
      </c>
      <c r="M305" s="7">
        <f>Mecanismos!B7*D305</f>
        <v/>
      </c>
      <c r="N305" s="7">
        <f>Mecanismos!B4*(1-E305)</f>
        <v/>
      </c>
      <c r="O305" s="7">
        <f>Mecanismos!B5*(1-F305)</f>
        <v/>
      </c>
      <c r="P305" s="7">
        <f>Mecanismos!B6*(1-I305)</f>
        <v/>
      </c>
      <c r="Q305" s="7">
        <f>Mecanismos!B9*(1-G305)</f>
        <v/>
      </c>
      <c r="R305" s="7">
        <f>Mecanismos!B3*(1-D305)</f>
        <v/>
      </c>
      <c r="S305" s="7">
        <f>Mecanismos!B9*(1-J305)</f>
        <v/>
      </c>
      <c r="T305" s="7">
        <f>Mecanismos!B8*H305</f>
        <v/>
      </c>
      <c r="U305" s="7">
        <f>Mecanismos!B10*H305</f>
        <v/>
      </c>
      <c r="V305" s="7">
        <f>Mecanismos!B8*K305</f>
        <v/>
      </c>
      <c r="W305" s="7">
        <f>SUM(L305:S305)</f>
        <v/>
      </c>
      <c r="X305" s="7">
        <f>SUM(T305:V305)</f>
        <v/>
      </c>
      <c r="Y305" s="8">
        <f>MAX(0,MIN(1,Parametros!B2-W305*Parametros!B3+X305*Parametros!B4))</f>
        <v/>
      </c>
    </row>
    <row r="306">
      <c r="A306" t="inlineStr">
        <is>
          <t>picfys</t>
        </is>
      </c>
      <c r="B306" t="inlineStr">
        <is>
          <t>Luiz Fernando Campos</t>
        </is>
      </c>
      <c r="C306" s="6" t="n">
        <v>0.5503</v>
      </c>
      <c r="D306" s="6" t="n">
        <v>0.6413</v>
      </c>
      <c r="E306" s="6" t="n">
        <v>0.5746</v>
      </c>
      <c r="F306" s="6" t="n">
        <v>0.4841</v>
      </c>
      <c r="G306" s="6" t="n">
        <v>0.4598</v>
      </c>
      <c r="H306" s="6" t="n">
        <v>0.5264</v>
      </c>
      <c r="I306" s="6" t="n">
        <v>0.4316</v>
      </c>
      <c r="J306" s="6" t="n">
        <v>0.7399</v>
      </c>
      <c r="K306" s="6" t="n">
        <v>0.7033</v>
      </c>
      <c r="L306" s="7">
        <f>Mecanismos!B2*C306</f>
        <v/>
      </c>
      <c r="M306" s="7">
        <f>Mecanismos!B7*D306</f>
        <v/>
      </c>
      <c r="N306" s="7">
        <f>Mecanismos!B4*(1-E306)</f>
        <v/>
      </c>
      <c r="O306" s="7">
        <f>Mecanismos!B5*(1-F306)</f>
        <v/>
      </c>
      <c r="P306" s="7">
        <f>Mecanismos!B6*(1-I306)</f>
        <v/>
      </c>
      <c r="Q306" s="7">
        <f>Mecanismos!B9*(1-G306)</f>
        <v/>
      </c>
      <c r="R306" s="7">
        <f>Mecanismos!B3*(1-D306)</f>
        <v/>
      </c>
      <c r="S306" s="7">
        <f>Mecanismos!B9*(1-J306)</f>
        <v/>
      </c>
      <c r="T306" s="7">
        <f>Mecanismos!B8*H306</f>
        <v/>
      </c>
      <c r="U306" s="7">
        <f>Mecanismos!B10*H306</f>
        <v/>
      </c>
      <c r="V306" s="7">
        <f>Mecanismos!B8*K306</f>
        <v/>
      </c>
      <c r="W306" s="7">
        <f>SUM(L306:S306)</f>
        <v/>
      </c>
      <c r="X306" s="7">
        <f>SUM(T306:V306)</f>
        <v/>
      </c>
      <c r="Y306" s="8">
        <f>MAX(0,MIN(1,Parametros!B2-W306*Parametros!B3+X306*Parametros!B4))</f>
        <v/>
      </c>
    </row>
    <row r="307">
      <c r="A307" t="inlineStr">
        <is>
          <t>0eej23</t>
        </is>
      </c>
      <c r="B307" t="inlineStr">
        <is>
          <t>Luiz Fernando Nogueira</t>
        </is>
      </c>
      <c r="C307" s="6" t="n">
        <v>0.3932</v>
      </c>
      <c r="D307" s="6" t="n">
        <v>0.6616</v>
      </c>
      <c r="E307" s="6" t="n">
        <v>0.7523</v>
      </c>
      <c r="F307" s="6" t="n">
        <v>0.4521</v>
      </c>
      <c r="G307" s="6" t="n">
        <v>0.3202</v>
      </c>
      <c r="H307" s="6" t="n">
        <v>0.4712</v>
      </c>
      <c r="I307" s="6" t="n">
        <v>0.3373</v>
      </c>
      <c r="J307" s="6" t="n">
        <v>0.7703</v>
      </c>
      <c r="K307" s="6" t="n">
        <v>0.3163</v>
      </c>
      <c r="L307" s="7">
        <f>Mecanismos!B2*C307</f>
        <v/>
      </c>
      <c r="M307" s="7">
        <f>Mecanismos!B7*D307</f>
        <v/>
      </c>
      <c r="N307" s="7">
        <f>Mecanismos!B4*(1-E307)</f>
        <v/>
      </c>
      <c r="O307" s="7">
        <f>Mecanismos!B5*(1-F307)</f>
        <v/>
      </c>
      <c r="P307" s="7">
        <f>Mecanismos!B6*(1-I307)</f>
        <v/>
      </c>
      <c r="Q307" s="7">
        <f>Mecanismos!B9*(1-G307)</f>
        <v/>
      </c>
      <c r="R307" s="7">
        <f>Mecanismos!B3*(1-D307)</f>
        <v/>
      </c>
      <c r="S307" s="7">
        <f>Mecanismos!B9*(1-J307)</f>
        <v/>
      </c>
      <c r="T307" s="7">
        <f>Mecanismos!B8*H307</f>
        <v/>
      </c>
      <c r="U307" s="7">
        <f>Mecanismos!B10*H307</f>
        <v/>
      </c>
      <c r="V307" s="7">
        <f>Mecanismos!B8*K307</f>
        <v/>
      </c>
      <c r="W307" s="7">
        <f>SUM(L307:S307)</f>
        <v/>
      </c>
      <c r="X307" s="7">
        <f>SUM(T307:V307)</f>
        <v/>
      </c>
      <c r="Y307" s="8">
        <f>MAX(0,MIN(1,Parametros!B2-W307*Parametros!B3+X307*Parametros!B4))</f>
        <v/>
      </c>
    </row>
    <row r="308">
      <c r="A308" t="inlineStr">
        <is>
          <t>4cnkf1</t>
        </is>
      </c>
      <c r="B308" t="inlineStr">
        <is>
          <t>Luiz Fernando Novaes</t>
        </is>
      </c>
      <c r="C308" s="6" t="n">
        <v>0.5175999999999999</v>
      </c>
      <c r="D308" s="6" t="n">
        <v>0.6006</v>
      </c>
      <c r="E308" s="6" t="n">
        <v>0.2605</v>
      </c>
      <c r="F308" s="6" t="n">
        <v>0.6111</v>
      </c>
      <c r="G308" s="6" t="n">
        <v>0.3451</v>
      </c>
      <c r="H308" s="6" t="n">
        <v>0.5239</v>
      </c>
      <c r="I308" s="6" t="n">
        <v>0.5839</v>
      </c>
      <c r="J308" s="6" t="n">
        <v>0.6373</v>
      </c>
      <c r="K308" s="6" t="n">
        <v>0.5496</v>
      </c>
      <c r="L308" s="7">
        <f>Mecanismos!B2*C308</f>
        <v/>
      </c>
      <c r="M308" s="7">
        <f>Mecanismos!B7*D308</f>
        <v/>
      </c>
      <c r="N308" s="7">
        <f>Mecanismos!B4*(1-E308)</f>
        <v/>
      </c>
      <c r="O308" s="7">
        <f>Mecanismos!B5*(1-F308)</f>
        <v/>
      </c>
      <c r="P308" s="7">
        <f>Mecanismos!B6*(1-I308)</f>
        <v/>
      </c>
      <c r="Q308" s="7">
        <f>Mecanismos!B9*(1-G308)</f>
        <v/>
      </c>
      <c r="R308" s="7">
        <f>Mecanismos!B3*(1-D308)</f>
        <v/>
      </c>
      <c r="S308" s="7">
        <f>Mecanismos!B9*(1-J308)</f>
        <v/>
      </c>
      <c r="T308" s="7">
        <f>Mecanismos!B8*H308</f>
        <v/>
      </c>
      <c r="U308" s="7">
        <f>Mecanismos!B10*H308</f>
        <v/>
      </c>
      <c r="V308" s="7">
        <f>Mecanismos!B8*K308</f>
        <v/>
      </c>
      <c r="W308" s="7">
        <f>SUM(L308:S308)</f>
        <v/>
      </c>
      <c r="X308" s="7">
        <f>SUM(T308:V308)</f>
        <v/>
      </c>
      <c r="Y308" s="8">
        <f>MAX(0,MIN(1,Parametros!B2-W308*Parametros!B3+X308*Parametros!B4))</f>
        <v/>
      </c>
    </row>
    <row r="309">
      <c r="A309" t="inlineStr">
        <is>
          <t>l1tteg</t>
        </is>
      </c>
      <c r="B309" t="inlineStr">
        <is>
          <t>Luiz Fernando Pires</t>
        </is>
      </c>
      <c r="C309" s="6" t="n">
        <v>0.4788</v>
      </c>
      <c r="D309" s="6" t="n">
        <v>0.8476</v>
      </c>
      <c r="E309" s="6" t="n">
        <v>0.4434</v>
      </c>
      <c r="F309" s="6" t="n">
        <v>0.8491</v>
      </c>
      <c r="G309" s="6" t="n">
        <v>0.3201</v>
      </c>
      <c r="H309" s="6" t="n">
        <v>0.6292</v>
      </c>
      <c r="I309" s="6" t="n">
        <v>0.7511</v>
      </c>
      <c r="J309" s="6" t="n">
        <v>0.8707</v>
      </c>
      <c r="K309" s="6" t="n">
        <v>0.707</v>
      </c>
      <c r="L309" s="7">
        <f>Mecanismos!B2*C309</f>
        <v/>
      </c>
      <c r="M309" s="7">
        <f>Mecanismos!B7*D309</f>
        <v/>
      </c>
      <c r="N309" s="7">
        <f>Mecanismos!B4*(1-E309)</f>
        <v/>
      </c>
      <c r="O309" s="7">
        <f>Mecanismos!B5*(1-F309)</f>
        <v/>
      </c>
      <c r="P309" s="7">
        <f>Mecanismos!B6*(1-I309)</f>
        <v/>
      </c>
      <c r="Q309" s="7">
        <f>Mecanismos!B9*(1-G309)</f>
        <v/>
      </c>
      <c r="R309" s="7">
        <f>Mecanismos!B3*(1-D309)</f>
        <v/>
      </c>
      <c r="S309" s="7">
        <f>Mecanismos!B9*(1-J309)</f>
        <v/>
      </c>
      <c r="T309" s="7">
        <f>Mecanismos!B8*H309</f>
        <v/>
      </c>
      <c r="U309" s="7">
        <f>Mecanismos!B10*H309</f>
        <v/>
      </c>
      <c r="V309" s="7">
        <f>Mecanismos!B8*K309</f>
        <v/>
      </c>
      <c r="W309" s="7">
        <f>SUM(L309:S309)</f>
        <v/>
      </c>
      <c r="X309" s="7">
        <f>SUM(T309:V309)</f>
        <v/>
      </c>
      <c r="Y309" s="8">
        <f>MAX(0,MIN(1,Parametros!B2-W309*Parametros!B3+X309*Parametros!B4))</f>
        <v/>
      </c>
    </row>
    <row r="310">
      <c r="A310" t="inlineStr">
        <is>
          <t>d93an8</t>
        </is>
      </c>
      <c r="B310" t="inlineStr">
        <is>
          <t>Luiz Gustavo da Conceição</t>
        </is>
      </c>
      <c r="C310" s="6" t="n">
        <v>0.5688</v>
      </c>
      <c r="D310" s="6" t="n">
        <v>0.5567</v>
      </c>
      <c r="E310" s="6" t="n">
        <v>0.5632</v>
      </c>
      <c r="F310" s="6" t="n">
        <v>0.4985</v>
      </c>
      <c r="G310" s="6" t="n">
        <v>0.5585</v>
      </c>
      <c r="H310" s="6" t="n">
        <v>0.7518</v>
      </c>
      <c r="I310" s="6" t="n">
        <v>0.7994</v>
      </c>
      <c r="J310" s="6" t="n">
        <v>0.6977</v>
      </c>
      <c r="K310" s="6" t="n">
        <v>0.3152</v>
      </c>
      <c r="L310" s="7">
        <f>Mecanismos!B2*C310</f>
        <v/>
      </c>
      <c r="M310" s="7">
        <f>Mecanismos!B7*D310</f>
        <v/>
      </c>
      <c r="N310" s="7">
        <f>Mecanismos!B4*(1-E310)</f>
        <v/>
      </c>
      <c r="O310" s="7">
        <f>Mecanismos!B5*(1-F310)</f>
        <v/>
      </c>
      <c r="P310" s="7">
        <f>Mecanismos!B6*(1-I310)</f>
        <v/>
      </c>
      <c r="Q310" s="7">
        <f>Mecanismos!B9*(1-G310)</f>
        <v/>
      </c>
      <c r="R310" s="7">
        <f>Mecanismos!B3*(1-D310)</f>
        <v/>
      </c>
      <c r="S310" s="7">
        <f>Mecanismos!B9*(1-J310)</f>
        <v/>
      </c>
      <c r="T310" s="7">
        <f>Mecanismos!B8*H310</f>
        <v/>
      </c>
      <c r="U310" s="7">
        <f>Mecanismos!B10*H310</f>
        <v/>
      </c>
      <c r="V310" s="7">
        <f>Mecanismos!B8*K310</f>
        <v/>
      </c>
      <c r="W310" s="7">
        <f>SUM(L310:S310)</f>
        <v/>
      </c>
      <c r="X310" s="7">
        <f>SUM(T310:V310)</f>
        <v/>
      </c>
      <c r="Y310" s="8">
        <f>MAX(0,MIN(1,Parametros!B2-W310*Parametros!B3+X310*Parametros!B4))</f>
        <v/>
      </c>
    </row>
    <row r="311">
      <c r="A311" t="inlineStr">
        <is>
          <t>bh7rct</t>
        </is>
      </c>
      <c r="B311" t="inlineStr">
        <is>
          <t>Luiz Gustavo das Neves</t>
        </is>
      </c>
      <c r="C311" s="6" t="n">
        <v>0.6423</v>
      </c>
      <c r="D311" s="6" t="n">
        <v>0.4468</v>
      </c>
      <c r="E311" s="6" t="n">
        <v>0.5939</v>
      </c>
      <c r="F311" s="6" t="n">
        <v>0.4763</v>
      </c>
      <c r="G311" s="6" t="n">
        <v>0.4762</v>
      </c>
      <c r="H311" s="6" t="n">
        <v>0.4624</v>
      </c>
      <c r="I311" s="6" t="n">
        <v>0.4793</v>
      </c>
      <c r="J311" s="6" t="n">
        <v>0.832</v>
      </c>
      <c r="K311" s="6" t="n">
        <v>0.619</v>
      </c>
      <c r="L311" s="7">
        <f>Mecanismos!B2*C311</f>
        <v/>
      </c>
      <c r="M311" s="7">
        <f>Mecanismos!B7*D311</f>
        <v/>
      </c>
      <c r="N311" s="7">
        <f>Mecanismos!B4*(1-E311)</f>
        <v/>
      </c>
      <c r="O311" s="7">
        <f>Mecanismos!B5*(1-F311)</f>
        <v/>
      </c>
      <c r="P311" s="7">
        <f>Mecanismos!B6*(1-I311)</f>
        <v/>
      </c>
      <c r="Q311" s="7">
        <f>Mecanismos!B9*(1-G311)</f>
        <v/>
      </c>
      <c r="R311" s="7">
        <f>Mecanismos!B3*(1-D311)</f>
        <v/>
      </c>
      <c r="S311" s="7">
        <f>Mecanismos!B9*(1-J311)</f>
        <v/>
      </c>
      <c r="T311" s="7">
        <f>Mecanismos!B8*H311</f>
        <v/>
      </c>
      <c r="U311" s="7">
        <f>Mecanismos!B10*H311</f>
        <v/>
      </c>
      <c r="V311" s="7">
        <f>Mecanismos!B8*K311</f>
        <v/>
      </c>
      <c r="W311" s="7">
        <f>SUM(L311:S311)</f>
        <v/>
      </c>
      <c r="X311" s="7">
        <f>SUM(T311:V311)</f>
        <v/>
      </c>
      <c r="Y311" s="8">
        <f>MAX(0,MIN(1,Parametros!B2-W311*Parametros!B3+X311*Parametros!B4))</f>
        <v/>
      </c>
    </row>
    <row r="312">
      <c r="A312" t="inlineStr">
        <is>
          <t>m7d7tf</t>
        </is>
      </c>
      <c r="B312" t="inlineStr">
        <is>
          <t>Luiz Miguel Macedo</t>
        </is>
      </c>
      <c r="C312" s="6" t="n">
        <v>0.6308</v>
      </c>
      <c r="D312" s="6" t="n">
        <v>0.4656</v>
      </c>
      <c r="E312" s="6" t="n">
        <v>0.5436</v>
      </c>
      <c r="F312" s="6" t="n">
        <v>0.7871</v>
      </c>
      <c r="G312" s="6" t="n">
        <v>0.5311</v>
      </c>
      <c r="H312" s="6" t="n">
        <v>0.5790999999999999</v>
      </c>
      <c r="I312" s="6" t="n">
        <v>0.5967</v>
      </c>
      <c r="J312" s="6" t="n">
        <v>0.5016</v>
      </c>
      <c r="K312" s="6" t="n">
        <v>0.3338</v>
      </c>
      <c r="L312" s="7">
        <f>Mecanismos!B2*C312</f>
        <v/>
      </c>
      <c r="M312" s="7">
        <f>Mecanismos!B7*D312</f>
        <v/>
      </c>
      <c r="N312" s="7">
        <f>Mecanismos!B4*(1-E312)</f>
        <v/>
      </c>
      <c r="O312" s="7">
        <f>Mecanismos!B5*(1-F312)</f>
        <v/>
      </c>
      <c r="P312" s="7">
        <f>Mecanismos!B6*(1-I312)</f>
        <v/>
      </c>
      <c r="Q312" s="7">
        <f>Mecanismos!B9*(1-G312)</f>
        <v/>
      </c>
      <c r="R312" s="7">
        <f>Mecanismos!B3*(1-D312)</f>
        <v/>
      </c>
      <c r="S312" s="7">
        <f>Mecanismos!B9*(1-J312)</f>
        <v/>
      </c>
      <c r="T312" s="7">
        <f>Mecanismos!B8*H312</f>
        <v/>
      </c>
      <c r="U312" s="7">
        <f>Mecanismos!B10*H312</f>
        <v/>
      </c>
      <c r="V312" s="7">
        <f>Mecanismos!B8*K312</f>
        <v/>
      </c>
      <c r="W312" s="7">
        <f>SUM(L312:S312)</f>
        <v/>
      </c>
      <c r="X312" s="7">
        <f>SUM(T312:V312)</f>
        <v/>
      </c>
      <c r="Y312" s="8">
        <f>MAX(0,MIN(1,Parametros!B2-W312*Parametros!B3+X312*Parametros!B4))</f>
        <v/>
      </c>
    </row>
    <row r="313">
      <c r="A313" t="inlineStr">
        <is>
          <t>ss11gz</t>
        </is>
      </c>
      <c r="B313" t="inlineStr">
        <is>
          <t>Luiz Otávio Rodrigues</t>
        </is>
      </c>
      <c r="C313" s="6" t="n">
        <v>0.6794</v>
      </c>
      <c r="D313" s="6" t="n">
        <v>0.6913</v>
      </c>
      <c r="E313" s="6" t="n">
        <v>0.4271</v>
      </c>
      <c r="F313" s="6" t="n">
        <v>0.5592</v>
      </c>
      <c r="G313" s="6" t="n">
        <v>0.3531</v>
      </c>
      <c r="H313" s="6" t="n">
        <v>0.5038</v>
      </c>
      <c r="I313" s="6" t="n">
        <v>0.5734</v>
      </c>
      <c r="J313" s="6" t="n">
        <v>0.7378</v>
      </c>
      <c r="K313" s="6" t="n">
        <v>0.4213</v>
      </c>
      <c r="L313" s="7">
        <f>Mecanismos!B2*C313</f>
        <v/>
      </c>
      <c r="M313" s="7">
        <f>Mecanismos!B7*D313</f>
        <v/>
      </c>
      <c r="N313" s="7">
        <f>Mecanismos!B4*(1-E313)</f>
        <v/>
      </c>
      <c r="O313" s="7">
        <f>Mecanismos!B5*(1-F313)</f>
        <v/>
      </c>
      <c r="P313" s="7">
        <f>Mecanismos!B6*(1-I313)</f>
        <v/>
      </c>
      <c r="Q313" s="7">
        <f>Mecanismos!B9*(1-G313)</f>
        <v/>
      </c>
      <c r="R313" s="7">
        <f>Mecanismos!B3*(1-D313)</f>
        <v/>
      </c>
      <c r="S313" s="7">
        <f>Mecanismos!B9*(1-J313)</f>
        <v/>
      </c>
      <c r="T313" s="7">
        <f>Mecanismos!B8*H313</f>
        <v/>
      </c>
      <c r="U313" s="7">
        <f>Mecanismos!B10*H313</f>
        <v/>
      </c>
      <c r="V313" s="7">
        <f>Mecanismos!B8*K313</f>
        <v/>
      </c>
      <c r="W313" s="7">
        <f>SUM(L313:S313)</f>
        <v/>
      </c>
      <c r="X313" s="7">
        <f>SUM(T313:V313)</f>
        <v/>
      </c>
      <c r="Y313" s="8">
        <f>MAX(0,MIN(1,Parametros!B2-W313*Parametros!B3+X313*Parametros!B4))</f>
        <v/>
      </c>
    </row>
    <row r="314">
      <c r="A314" t="inlineStr">
        <is>
          <t>gsdg1p</t>
        </is>
      </c>
      <c r="B314" t="inlineStr">
        <is>
          <t>Luna Cardoso</t>
        </is>
      </c>
      <c r="C314" s="6" t="n">
        <v>0.837</v>
      </c>
      <c r="D314" s="6" t="n">
        <v>0.502</v>
      </c>
      <c r="E314" s="6" t="n">
        <v>0.6357</v>
      </c>
      <c r="F314" s="6" t="n">
        <v>0.4688</v>
      </c>
      <c r="G314" s="6" t="n">
        <v>0.5515</v>
      </c>
      <c r="H314" s="6" t="n">
        <v>0.6813</v>
      </c>
      <c r="I314" s="6" t="n">
        <v>0.3245</v>
      </c>
      <c r="J314" s="6" t="n">
        <v>0.695</v>
      </c>
      <c r="K314" s="6" t="n">
        <v>0.1486</v>
      </c>
      <c r="L314" s="7">
        <f>Mecanismos!B2*C314</f>
        <v/>
      </c>
      <c r="M314" s="7">
        <f>Mecanismos!B7*D314</f>
        <v/>
      </c>
      <c r="N314" s="7">
        <f>Mecanismos!B4*(1-E314)</f>
        <v/>
      </c>
      <c r="O314" s="7">
        <f>Mecanismos!B5*(1-F314)</f>
        <v/>
      </c>
      <c r="P314" s="7">
        <f>Mecanismos!B6*(1-I314)</f>
        <v/>
      </c>
      <c r="Q314" s="7">
        <f>Mecanismos!B9*(1-G314)</f>
        <v/>
      </c>
      <c r="R314" s="7">
        <f>Mecanismos!B3*(1-D314)</f>
        <v/>
      </c>
      <c r="S314" s="7">
        <f>Mecanismos!B9*(1-J314)</f>
        <v/>
      </c>
      <c r="T314" s="7">
        <f>Mecanismos!B8*H314</f>
        <v/>
      </c>
      <c r="U314" s="7">
        <f>Mecanismos!B10*H314</f>
        <v/>
      </c>
      <c r="V314" s="7">
        <f>Mecanismos!B8*K314</f>
        <v/>
      </c>
      <c r="W314" s="7">
        <f>SUM(L314:S314)</f>
        <v/>
      </c>
      <c r="X314" s="7">
        <f>SUM(T314:V314)</f>
        <v/>
      </c>
      <c r="Y314" s="8">
        <f>MAX(0,MIN(1,Parametros!B2-W314*Parametros!B3+X314*Parametros!B4))</f>
        <v/>
      </c>
    </row>
    <row r="315">
      <c r="A315" t="inlineStr">
        <is>
          <t>t0owrn</t>
        </is>
      </c>
      <c r="B315" t="inlineStr">
        <is>
          <t>Luna das Neves</t>
        </is>
      </c>
      <c r="C315" s="6" t="n">
        <v>0.6087</v>
      </c>
      <c r="D315" s="6" t="n">
        <v>0.3546</v>
      </c>
      <c r="E315" s="6" t="n">
        <v>0.52</v>
      </c>
      <c r="F315" s="6" t="n">
        <v>0.4615</v>
      </c>
      <c r="G315" s="6" t="n">
        <v>0.4899</v>
      </c>
      <c r="H315" s="6" t="n">
        <v>0.7383999999999999</v>
      </c>
      <c r="I315" s="6" t="n">
        <v>0.4407</v>
      </c>
      <c r="J315" s="6" t="n">
        <v>0.871</v>
      </c>
      <c r="K315" s="6" t="n">
        <v>0.7426</v>
      </c>
      <c r="L315" s="7">
        <f>Mecanismos!B2*C315</f>
        <v/>
      </c>
      <c r="M315" s="7">
        <f>Mecanismos!B7*D315</f>
        <v/>
      </c>
      <c r="N315" s="7">
        <f>Mecanismos!B4*(1-E315)</f>
        <v/>
      </c>
      <c r="O315" s="7">
        <f>Mecanismos!B5*(1-F315)</f>
        <v/>
      </c>
      <c r="P315" s="7">
        <f>Mecanismos!B6*(1-I315)</f>
        <v/>
      </c>
      <c r="Q315" s="7">
        <f>Mecanismos!B9*(1-G315)</f>
        <v/>
      </c>
      <c r="R315" s="7">
        <f>Mecanismos!B3*(1-D315)</f>
        <v/>
      </c>
      <c r="S315" s="7">
        <f>Mecanismos!B9*(1-J315)</f>
        <v/>
      </c>
      <c r="T315" s="7">
        <f>Mecanismos!B8*H315</f>
        <v/>
      </c>
      <c r="U315" s="7">
        <f>Mecanismos!B10*H315</f>
        <v/>
      </c>
      <c r="V315" s="7">
        <f>Mecanismos!B8*K315</f>
        <v/>
      </c>
      <c r="W315" s="7">
        <f>SUM(L315:S315)</f>
        <v/>
      </c>
      <c r="X315" s="7">
        <f>SUM(T315:V315)</f>
        <v/>
      </c>
      <c r="Y315" s="8">
        <f>MAX(0,MIN(1,Parametros!B2-W315*Parametros!B3+X315*Parametros!B4))</f>
        <v/>
      </c>
    </row>
    <row r="316">
      <c r="A316" t="inlineStr">
        <is>
          <t>vn1ngu</t>
        </is>
      </c>
      <c r="B316" t="inlineStr">
        <is>
          <t>Lunna Melo</t>
        </is>
      </c>
      <c r="C316" s="6" t="n">
        <v>0.7723</v>
      </c>
      <c r="D316" s="6" t="n">
        <v>0.6063</v>
      </c>
      <c r="E316" s="6" t="n">
        <v>0.3079</v>
      </c>
      <c r="F316" s="6" t="n">
        <v>0.636</v>
      </c>
      <c r="G316" s="6" t="n">
        <v>0.388</v>
      </c>
      <c r="H316" s="6" t="n">
        <v>0.6127</v>
      </c>
      <c r="I316" s="6" t="n">
        <v>0.5764</v>
      </c>
      <c r="J316" s="6" t="n">
        <v>0.9413</v>
      </c>
      <c r="K316" s="6" t="n">
        <v>0.5643</v>
      </c>
      <c r="L316" s="7">
        <f>Mecanismos!B2*C316</f>
        <v/>
      </c>
      <c r="M316" s="7">
        <f>Mecanismos!B7*D316</f>
        <v/>
      </c>
      <c r="N316" s="7">
        <f>Mecanismos!B4*(1-E316)</f>
        <v/>
      </c>
      <c r="O316" s="7">
        <f>Mecanismos!B5*(1-F316)</f>
        <v/>
      </c>
      <c r="P316" s="7">
        <f>Mecanismos!B6*(1-I316)</f>
        <v/>
      </c>
      <c r="Q316" s="7">
        <f>Mecanismos!B9*(1-G316)</f>
        <v/>
      </c>
      <c r="R316" s="7">
        <f>Mecanismos!B3*(1-D316)</f>
        <v/>
      </c>
      <c r="S316" s="7">
        <f>Mecanismos!B9*(1-J316)</f>
        <v/>
      </c>
      <c r="T316" s="7">
        <f>Mecanismos!B8*H316</f>
        <v/>
      </c>
      <c r="U316" s="7">
        <f>Mecanismos!B10*H316</f>
        <v/>
      </c>
      <c r="V316" s="7">
        <f>Mecanismos!B8*K316</f>
        <v/>
      </c>
      <c r="W316" s="7">
        <f>SUM(L316:S316)</f>
        <v/>
      </c>
      <c r="X316" s="7">
        <f>SUM(T316:V316)</f>
        <v/>
      </c>
      <c r="Y316" s="8">
        <f>MAX(0,MIN(1,Parametros!B2-W316*Parametros!B3+X316*Parametros!B4))</f>
        <v/>
      </c>
    </row>
    <row r="317">
      <c r="A317" t="inlineStr">
        <is>
          <t>fwuoga</t>
        </is>
      </c>
      <c r="B317" t="inlineStr">
        <is>
          <t>Léo Gonçalves</t>
        </is>
      </c>
      <c r="C317" s="6" t="n">
        <v>0.6445</v>
      </c>
      <c r="D317" s="6" t="n">
        <v>0.3526</v>
      </c>
      <c r="E317" s="6" t="n">
        <v>0.676</v>
      </c>
      <c r="F317" s="6" t="n">
        <v>0.2496</v>
      </c>
      <c r="G317" s="6" t="n">
        <v>0.6646</v>
      </c>
      <c r="H317" s="6" t="n">
        <v>0.651</v>
      </c>
      <c r="I317" s="6" t="n">
        <v>0.4292</v>
      </c>
      <c r="J317" s="6" t="n">
        <v>0.7926</v>
      </c>
      <c r="K317" s="6" t="n">
        <v>0.3085</v>
      </c>
      <c r="L317" s="7">
        <f>Mecanismos!B2*C317</f>
        <v/>
      </c>
      <c r="M317" s="7">
        <f>Mecanismos!B7*D317</f>
        <v/>
      </c>
      <c r="N317" s="7">
        <f>Mecanismos!B4*(1-E317)</f>
        <v/>
      </c>
      <c r="O317" s="7">
        <f>Mecanismos!B5*(1-F317)</f>
        <v/>
      </c>
      <c r="P317" s="7">
        <f>Mecanismos!B6*(1-I317)</f>
        <v/>
      </c>
      <c r="Q317" s="7">
        <f>Mecanismos!B9*(1-G317)</f>
        <v/>
      </c>
      <c r="R317" s="7">
        <f>Mecanismos!B3*(1-D317)</f>
        <v/>
      </c>
      <c r="S317" s="7">
        <f>Mecanismos!B9*(1-J317)</f>
        <v/>
      </c>
      <c r="T317" s="7">
        <f>Mecanismos!B8*H317</f>
        <v/>
      </c>
      <c r="U317" s="7">
        <f>Mecanismos!B10*H317</f>
        <v/>
      </c>
      <c r="V317" s="7">
        <f>Mecanismos!B8*K317</f>
        <v/>
      </c>
      <c r="W317" s="7">
        <f>SUM(L317:S317)</f>
        <v/>
      </c>
      <c r="X317" s="7">
        <f>SUM(T317:V317)</f>
        <v/>
      </c>
      <c r="Y317" s="8">
        <f>MAX(0,MIN(1,Parametros!B2-W317*Parametros!B3+X317*Parametros!B4))</f>
        <v/>
      </c>
    </row>
    <row r="318">
      <c r="A318" t="inlineStr">
        <is>
          <t>ccfobx</t>
        </is>
      </c>
      <c r="B318" t="inlineStr">
        <is>
          <t>Maitê Costela</t>
        </is>
      </c>
      <c r="C318" s="6" t="n">
        <v>0.5914</v>
      </c>
      <c r="D318" s="6" t="n">
        <v>0.7391</v>
      </c>
      <c r="E318" s="6" t="n">
        <v>0.4215</v>
      </c>
      <c r="F318" s="6" t="n">
        <v>0.5899</v>
      </c>
      <c r="G318" s="6" t="n">
        <v>0.623</v>
      </c>
      <c r="H318" s="6" t="n">
        <v>0.4955</v>
      </c>
      <c r="I318" s="6" t="n">
        <v>0.4365</v>
      </c>
      <c r="J318" s="6" t="n">
        <v>0.7256</v>
      </c>
      <c r="K318" s="6" t="n">
        <v>0.4304</v>
      </c>
      <c r="L318" s="7">
        <f>Mecanismos!B2*C318</f>
        <v/>
      </c>
      <c r="M318" s="7">
        <f>Mecanismos!B7*D318</f>
        <v/>
      </c>
      <c r="N318" s="7">
        <f>Mecanismos!B4*(1-E318)</f>
        <v/>
      </c>
      <c r="O318" s="7">
        <f>Mecanismos!B5*(1-F318)</f>
        <v/>
      </c>
      <c r="P318" s="7">
        <f>Mecanismos!B6*(1-I318)</f>
        <v/>
      </c>
      <c r="Q318" s="7">
        <f>Mecanismos!B9*(1-G318)</f>
        <v/>
      </c>
      <c r="R318" s="7">
        <f>Mecanismos!B3*(1-D318)</f>
        <v/>
      </c>
      <c r="S318" s="7">
        <f>Mecanismos!B9*(1-J318)</f>
        <v/>
      </c>
      <c r="T318" s="7">
        <f>Mecanismos!B8*H318</f>
        <v/>
      </c>
      <c r="U318" s="7">
        <f>Mecanismos!B10*H318</f>
        <v/>
      </c>
      <c r="V318" s="7">
        <f>Mecanismos!B8*K318</f>
        <v/>
      </c>
      <c r="W318" s="7">
        <f>SUM(L318:S318)</f>
        <v/>
      </c>
      <c r="X318" s="7">
        <f>SUM(T318:V318)</f>
        <v/>
      </c>
      <c r="Y318" s="8">
        <f>MAX(0,MIN(1,Parametros!B2-W318*Parametros!B3+X318*Parametros!B4))</f>
        <v/>
      </c>
    </row>
    <row r="319">
      <c r="A319" t="inlineStr">
        <is>
          <t>1joosl</t>
        </is>
      </c>
      <c r="B319" t="inlineStr">
        <is>
          <t>Maitê Sales</t>
        </is>
      </c>
      <c r="C319" s="6" t="n">
        <v>0.5548</v>
      </c>
      <c r="D319" s="6" t="n">
        <v>0.4489</v>
      </c>
      <c r="E319" s="6" t="n">
        <v>0.555</v>
      </c>
      <c r="F319" s="6" t="n">
        <v>0.5676</v>
      </c>
      <c r="G319" s="6" t="n">
        <v>0.484</v>
      </c>
      <c r="H319" s="6" t="n">
        <v>0.4503</v>
      </c>
      <c r="I319" s="6" t="n">
        <v>0.4519</v>
      </c>
      <c r="J319" s="6" t="n">
        <v>0.8718</v>
      </c>
      <c r="K319" s="6" t="n">
        <v>0.4721</v>
      </c>
      <c r="L319" s="7">
        <f>Mecanismos!B2*C319</f>
        <v/>
      </c>
      <c r="M319" s="7">
        <f>Mecanismos!B7*D319</f>
        <v/>
      </c>
      <c r="N319" s="7">
        <f>Mecanismos!B4*(1-E319)</f>
        <v/>
      </c>
      <c r="O319" s="7">
        <f>Mecanismos!B5*(1-F319)</f>
        <v/>
      </c>
      <c r="P319" s="7">
        <f>Mecanismos!B6*(1-I319)</f>
        <v/>
      </c>
      <c r="Q319" s="7">
        <f>Mecanismos!B9*(1-G319)</f>
        <v/>
      </c>
      <c r="R319" s="7">
        <f>Mecanismos!B3*(1-D319)</f>
        <v/>
      </c>
      <c r="S319" s="7">
        <f>Mecanismos!B9*(1-J319)</f>
        <v/>
      </c>
      <c r="T319" s="7">
        <f>Mecanismos!B8*H319</f>
        <v/>
      </c>
      <c r="U319" s="7">
        <f>Mecanismos!B10*H319</f>
        <v/>
      </c>
      <c r="V319" s="7">
        <f>Mecanismos!B8*K319</f>
        <v/>
      </c>
      <c r="W319" s="7">
        <f>SUM(L319:S319)</f>
        <v/>
      </c>
      <c r="X319" s="7">
        <f>SUM(T319:V319)</f>
        <v/>
      </c>
      <c r="Y319" s="8">
        <f>MAX(0,MIN(1,Parametros!B2-W319*Parametros!B3+X319*Parametros!B4))</f>
        <v/>
      </c>
    </row>
    <row r="320">
      <c r="A320" t="inlineStr">
        <is>
          <t>8biq2y</t>
        </is>
      </c>
      <c r="B320" t="inlineStr">
        <is>
          <t>Manuela Costa</t>
        </is>
      </c>
      <c r="C320" s="6" t="n">
        <v>0.8395</v>
      </c>
      <c r="D320" s="6" t="n">
        <v>0.2226</v>
      </c>
      <c r="E320" s="6" t="n">
        <v>0.7030999999999999</v>
      </c>
      <c r="F320" s="6" t="n">
        <v>0.5817</v>
      </c>
      <c r="G320" s="6" t="n">
        <v>0.5308</v>
      </c>
      <c r="H320" s="6" t="n">
        <v>0.5455</v>
      </c>
      <c r="I320" s="6" t="n">
        <v>0.4663</v>
      </c>
      <c r="J320" s="6" t="n">
        <v>0.9115</v>
      </c>
      <c r="K320" s="6" t="n">
        <v>0.6278</v>
      </c>
      <c r="L320" s="7">
        <f>Mecanismos!B2*C320</f>
        <v/>
      </c>
      <c r="M320" s="7">
        <f>Mecanismos!B7*D320</f>
        <v/>
      </c>
      <c r="N320" s="7">
        <f>Mecanismos!B4*(1-E320)</f>
        <v/>
      </c>
      <c r="O320" s="7">
        <f>Mecanismos!B5*(1-F320)</f>
        <v/>
      </c>
      <c r="P320" s="7">
        <f>Mecanismos!B6*(1-I320)</f>
        <v/>
      </c>
      <c r="Q320" s="7">
        <f>Mecanismos!B9*(1-G320)</f>
        <v/>
      </c>
      <c r="R320" s="7">
        <f>Mecanismos!B3*(1-D320)</f>
        <v/>
      </c>
      <c r="S320" s="7">
        <f>Mecanismos!B9*(1-J320)</f>
        <v/>
      </c>
      <c r="T320" s="7">
        <f>Mecanismos!B8*H320</f>
        <v/>
      </c>
      <c r="U320" s="7">
        <f>Mecanismos!B10*H320</f>
        <v/>
      </c>
      <c r="V320" s="7">
        <f>Mecanismos!B8*K320</f>
        <v/>
      </c>
      <c r="W320" s="7">
        <f>SUM(L320:S320)</f>
        <v/>
      </c>
      <c r="X320" s="7">
        <f>SUM(T320:V320)</f>
        <v/>
      </c>
      <c r="Y320" s="8">
        <f>MAX(0,MIN(1,Parametros!B2-W320*Parametros!B3+X320*Parametros!B4))</f>
        <v/>
      </c>
    </row>
    <row r="321">
      <c r="A321" t="inlineStr">
        <is>
          <t>epgc39</t>
        </is>
      </c>
      <c r="B321" t="inlineStr">
        <is>
          <t>Manuela da Luz</t>
        </is>
      </c>
      <c r="C321" s="6" t="n">
        <v>0.464</v>
      </c>
      <c r="D321" s="6" t="n">
        <v>0.3201</v>
      </c>
      <c r="E321" s="6" t="n">
        <v>0.4255</v>
      </c>
      <c r="F321" s="6" t="n">
        <v>0.4413</v>
      </c>
      <c r="G321" s="6" t="n">
        <v>0.522</v>
      </c>
      <c r="H321" s="6" t="n">
        <v>0.6531</v>
      </c>
      <c r="I321" s="6" t="n">
        <v>0.8092</v>
      </c>
      <c r="J321" s="6" t="n">
        <v>0.8633</v>
      </c>
      <c r="K321" s="6" t="n">
        <v>0.4719</v>
      </c>
      <c r="L321" s="7">
        <f>Mecanismos!B2*C321</f>
        <v/>
      </c>
      <c r="M321" s="7">
        <f>Mecanismos!B7*D321</f>
        <v/>
      </c>
      <c r="N321" s="7">
        <f>Mecanismos!B4*(1-E321)</f>
        <v/>
      </c>
      <c r="O321" s="7">
        <f>Mecanismos!B5*(1-F321)</f>
        <v/>
      </c>
      <c r="P321" s="7">
        <f>Mecanismos!B6*(1-I321)</f>
        <v/>
      </c>
      <c r="Q321" s="7">
        <f>Mecanismos!B9*(1-G321)</f>
        <v/>
      </c>
      <c r="R321" s="7">
        <f>Mecanismos!B3*(1-D321)</f>
        <v/>
      </c>
      <c r="S321" s="7">
        <f>Mecanismos!B9*(1-J321)</f>
        <v/>
      </c>
      <c r="T321" s="7">
        <f>Mecanismos!B8*H321</f>
        <v/>
      </c>
      <c r="U321" s="7">
        <f>Mecanismos!B10*H321</f>
        <v/>
      </c>
      <c r="V321" s="7">
        <f>Mecanismos!B8*K321</f>
        <v/>
      </c>
      <c r="W321" s="7">
        <f>SUM(L321:S321)</f>
        <v/>
      </c>
      <c r="X321" s="7">
        <f>SUM(T321:V321)</f>
        <v/>
      </c>
      <c r="Y321" s="8">
        <f>MAX(0,MIN(1,Parametros!B2-W321*Parametros!B3+X321*Parametros!B4))</f>
        <v/>
      </c>
    </row>
    <row r="322">
      <c r="A322" t="inlineStr">
        <is>
          <t>otdd3z</t>
        </is>
      </c>
      <c r="B322" t="inlineStr">
        <is>
          <t>Manuella da Cunha</t>
        </is>
      </c>
      <c r="C322" s="6" t="n">
        <v>0.6242</v>
      </c>
      <c r="D322" s="6" t="n">
        <v>0.4761</v>
      </c>
      <c r="E322" s="6" t="n">
        <v>0.8586</v>
      </c>
      <c r="F322" s="6" t="n">
        <v>0.4524</v>
      </c>
      <c r="G322" s="6" t="n">
        <v>0.2237</v>
      </c>
      <c r="H322" s="6" t="n">
        <v>0.5436</v>
      </c>
      <c r="I322" s="6" t="n">
        <v>0.6713</v>
      </c>
      <c r="J322" s="6" t="n">
        <v>0.6337</v>
      </c>
      <c r="K322" s="6" t="n">
        <v>0.8374</v>
      </c>
      <c r="L322" s="7">
        <f>Mecanismos!B2*C322</f>
        <v/>
      </c>
      <c r="M322" s="7">
        <f>Mecanismos!B7*D322</f>
        <v/>
      </c>
      <c r="N322" s="7">
        <f>Mecanismos!B4*(1-E322)</f>
        <v/>
      </c>
      <c r="O322" s="7">
        <f>Mecanismos!B5*(1-F322)</f>
        <v/>
      </c>
      <c r="P322" s="7">
        <f>Mecanismos!B6*(1-I322)</f>
        <v/>
      </c>
      <c r="Q322" s="7">
        <f>Mecanismos!B9*(1-G322)</f>
        <v/>
      </c>
      <c r="R322" s="7">
        <f>Mecanismos!B3*(1-D322)</f>
        <v/>
      </c>
      <c r="S322" s="7">
        <f>Mecanismos!B9*(1-J322)</f>
        <v/>
      </c>
      <c r="T322" s="7">
        <f>Mecanismos!B8*H322</f>
        <v/>
      </c>
      <c r="U322" s="7">
        <f>Mecanismos!B10*H322</f>
        <v/>
      </c>
      <c r="V322" s="7">
        <f>Mecanismos!B8*K322</f>
        <v/>
      </c>
      <c r="W322" s="7">
        <f>SUM(L322:S322)</f>
        <v/>
      </c>
      <c r="X322" s="7">
        <f>SUM(T322:V322)</f>
        <v/>
      </c>
      <c r="Y322" s="8">
        <f>MAX(0,MIN(1,Parametros!B2-W322*Parametros!B3+X322*Parametros!B4))</f>
        <v/>
      </c>
    </row>
    <row r="323">
      <c r="A323" t="inlineStr">
        <is>
          <t>clsi4f</t>
        </is>
      </c>
      <c r="B323" t="inlineStr">
        <is>
          <t>Marcela Ramos</t>
        </is>
      </c>
      <c r="C323" s="6" t="n">
        <v>0.7027</v>
      </c>
      <c r="D323" s="6" t="n">
        <v>0.4192</v>
      </c>
      <c r="E323" s="6" t="n">
        <v>0.5033</v>
      </c>
      <c r="F323" s="6" t="n">
        <v>0.3831</v>
      </c>
      <c r="G323" s="6" t="n">
        <v>0.4042</v>
      </c>
      <c r="H323" s="6" t="n">
        <v>0.5225</v>
      </c>
      <c r="I323" s="6" t="n">
        <v>0.4186</v>
      </c>
      <c r="J323" s="6" t="n">
        <v>0.7513</v>
      </c>
      <c r="K323" s="6" t="n">
        <v>0.5574</v>
      </c>
      <c r="L323" s="7">
        <f>Mecanismos!B2*C323</f>
        <v/>
      </c>
      <c r="M323" s="7">
        <f>Mecanismos!B7*D323</f>
        <v/>
      </c>
      <c r="N323" s="7">
        <f>Mecanismos!B4*(1-E323)</f>
        <v/>
      </c>
      <c r="O323" s="7">
        <f>Mecanismos!B5*(1-F323)</f>
        <v/>
      </c>
      <c r="P323" s="7">
        <f>Mecanismos!B6*(1-I323)</f>
        <v/>
      </c>
      <c r="Q323" s="7">
        <f>Mecanismos!B9*(1-G323)</f>
        <v/>
      </c>
      <c r="R323" s="7">
        <f>Mecanismos!B3*(1-D323)</f>
        <v/>
      </c>
      <c r="S323" s="7">
        <f>Mecanismos!B9*(1-J323)</f>
        <v/>
      </c>
      <c r="T323" s="7">
        <f>Mecanismos!B8*H323</f>
        <v/>
      </c>
      <c r="U323" s="7">
        <f>Mecanismos!B10*H323</f>
        <v/>
      </c>
      <c r="V323" s="7">
        <f>Mecanismos!B8*K323</f>
        <v/>
      </c>
      <c r="W323" s="7">
        <f>SUM(L323:S323)</f>
        <v/>
      </c>
      <c r="X323" s="7">
        <f>SUM(T323:V323)</f>
        <v/>
      </c>
      <c r="Y323" s="8">
        <f>MAX(0,MIN(1,Parametros!B2-W323*Parametros!B3+X323*Parametros!B4))</f>
        <v/>
      </c>
    </row>
    <row r="324">
      <c r="A324" t="inlineStr">
        <is>
          <t>o0n0pc</t>
        </is>
      </c>
      <c r="B324" t="inlineStr">
        <is>
          <t>Marcelo Garcia</t>
        </is>
      </c>
      <c r="C324" s="6" t="n">
        <v>0.5241</v>
      </c>
      <c r="D324" s="6" t="n">
        <v>0.506</v>
      </c>
      <c r="E324" s="6" t="n">
        <v>0.4461</v>
      </c>
      <c r="F324" s="6" t="n">
        <v>0.5417</v>
      </c>
      <c r="G324" s="6" t="n">
        <v>0.8082</v>
      </c>
      <c r="H324" s="6" t="n">
        <v>0.5467</v>
      </c>
      <c r="I324" s="6" t="n">
        <v>0.376</v>
      </c>
      <c r="J324" s="6" t="n">
        <v>0.978</v>
      </c>
      <c r="K324" s="6" t="n">
        <v>0.2223</v>
      </c>
      <c r="L324" s="7">
        <f>Mecanismos!B2*C324</f>
        <v/>
      </c>
      <c r="M324" s="7">
        <f>Mecanismos!B7*D324</f>
        <v/>
      </c>
      <c r="N324" s="7">
        <f>Mecanismos!B4*(1-E324)</f>
        <v/>
      </c>
      <c r="O324" s="7">
        <f>Mecanismos!B5*(1-F324)</f>
        <v/>
      </c>
      <c r="P324" s="7">
        <f>Mecanismos!B6*(1-I324)</f>
        <v/>
      </c>
      <c r="Q324" s="7">
        <f>Mecanismos!B9*(1-G324)</f>
        <v/>
      </c>
      <c r="R324" s="7">
        <f>Mecanismos!B3*(1-D324)</f>
        <v/>
      </c>
      <c r="S324" s="7">
        <f>Mecanismos!B9*(1-J324)</f>
        <v/>
      </c>
      <c r="T324" s="7">
        <f>Mecanismos!B8*H324</f>
        <v/>
      </c>
      <c r="U324" s="7">
        <f>Mecanismos!B10*H324</f>
        <v/>
      </c>
      <c r="V324" s="7">
        <f>Mecanismos!B8*K324</f>
        <v/>
      </c>
      <c r="W324" s="7">
        <f>SUM(L324:S324)</f>
        <v/>
      </c>
      <c r="X324" s="7">
        <f>SUM(T324:V324)</f>
        <v/>
      </c>
      <c r="Y324" s="8">
        <f>MAX(0,MIN(1,Parametros!B2-W324*Parametros!B3+X324*Parametros!B4))</f>
        <v/>
      </c>
    </row>
    <row r="325">
      <c r="A325" t="inlineStr">
        <is>
          <t>eez11o</t>
        </is>
      </c>
      <c r="B325" t="inlineStr">
        <is>
          <t>Marcos Vinicius Cavalcante</t>
        </is>
      </c>
      <c r="C325" s="6" t="n">
        <v>0.579</v>
      </c>
      <c r="D325" s="6" t="n">
        <v>0.447</v>
      </c>
      <c r="E325" s="6" t="n">
        <v>0.5816</v>
      </c>
      <c r="F325" s="6" t="n">
        <v>0.7208</v>
      </c>
      <c r="G325" s="6" t="n">
        <v>0.5895</v>
      </c>
      <c r="H325" s="6" t="n">
        <v>0.5245</v>
      </c>
      <c r="I325" s="6" t="n">
        <v>0.3882</v>
      </c>
      <c r="J325" s="6" t="n">
        <v>0.8925</v>
      </c>
      <c r="K325" s="6" t="n">
        <v>0.6742</v>
      </c>
      <c r="L325" s="7">
        <f>Mecanismos!B2*C325</f>
        <v/>
      </c>
      <c r="M325" s="7">
        <f>Mecanismos!B7*D325</f>
        <v/>
      </c>
      <c r="N325" s="7">
        <f>Mecanismos!B4*(1-E325)</f>
        <v/>
      </c>
      <c r="O325" s="7">
        <f>Mecanismos!B5*(1-F325)</f>
        <v/>
      </c>
      <c r="P325" s="7">
        <f>Mecanismos!B6*(1-I325)</f>
        <v/>
      </c>
      <c r="Q325" s="7">
        <f>Mecanismos!B9*(1-G325)</f>
        <v/>
      </c>
      <c r="R325" s="7">
        <f>Mecanismos!B3*(1-D325)</f>
        <v/>
      </c>
      <c r="S325" s="7">
        <f>Mecanismos!B9*(1-J325)</f>
        <v/>
      </c>
      <c r="T325" s="7">
        <f>Mecanismos!B8*H325</f>
        <v/>
      </c>
      <c r="U325" s="7">
        <f>Mecanismos!B10*H325</f>
        <v/>
      </c>
      <c r="V325" s="7">
        <f>Mecanismos!B8*K325</f>
        <v/>
      </c>
      <c r="W325" s="7">
        <f>SUM(L325:S325)</f>
        <v/>
      </c>
      <c r="X325" s="7">
        <f>SUM(T325:V325)</f>
        <v/>
      </c>
      <c r="Y325" s="8">
        <f>MAX(0,MIN(1,Parametros!B2-W325*Parametros!B3+X325*Parametros!B4))</f>
        <v/>
      </c>
    </row>
    <row r="326">
      <c r="A326" t="inlineStr">
        <is>
          <t>kdkuyi</t>
        </is>
      </c>
      <c r="B326" t="inlineStr">
        <is>
          <t>Marcos Vinicius da Costa</t>
        </is>
      </c>
      <c r="C326" s="6" t="n">
        <v>0.7005</v>
      </c>
      <c r="D326" s="6" t="n">
        <v>0.4853</v>
      </c>
      <c r="E326" s="6" t="n">
        <v>0.2626</v>
      </c>
      <c r="F326" s="6" t="n">
        <v>0.5572</v>
      </c>
      <c r="G326" s="6" t="n">
        <v>0.6056</v>
      </c>
      <c r="H326" s="6" t="n">
        <v>0.797</v>
      </c>
      <c r="I326" s="6" t="n">
        <v>0.6877</v>
      </c>
      <c r="J326" s="6" t="n">
        <v>0.954</v>
      </c>
      <c r="K326" s="6" t="n">
        <v>0.6212</v>
      </c>
      <c r="L326" s="7">
        <f>Mecanismos!B2*C326</f>
        <v/>
      </c>
      <c r="M326" s="7">
        <f>Mecanismos!B7*D326</f>
        <v/>
      </c>
      <c r="N326" s="7">
        <f>Mecanismos!B4*(1-E326)</f>
        <v/>
      </c>
      <c r="O326" s="7">
        <f>Mecanismos!B5*(1-F326)</f>
        <v/>
      </c>
      <c r="P326" s="7">
        <f>Mecanismos!B6*(1-I326)</f>
        <v/>
      </c>
      <c r="Q326" s="7">
        <f>Mecanismos!B9*(1-G326)</f>
        <v/>
      </c>
      <c r="R326" s="7">
        <f>Mecanismos!B3*(1-D326)</f>
        <v/>
      </c>
      <c r="S326" s="7">
        <f>Mecanismos!B9*(1-J326)</f>
        <v/>
      </c>
      <c r="T326" s="7">
        <f>Mecanismos!B8*H326</f>
        <v/>
      </c>
      <c r="U326" s="7">
        <f>Mecanismos!B10*H326</f>
        <v/>
      </c>
      <c r="V326" s="7">
        <f>Mecanismos!B8*K326</f>
        <v/>
      </c>
      <c r="W326" s="7">
        <f>SUM(L326:S326)</f>
        <v/>
      </c>
      <c r="X326" s="7">
        <f>SUM(T326:V326)</f>
        <v/>
      </c>
      <c r="Y326" s="8">
        <f>MAX(0,MIN(1,Parametros!B2-W326*Parametros!B3+X326*Parametros!B4))</f>
        <v/>
      </c>
    </row>
    <row r="327">
      <c r="A327" t="inlineStr">
        <is>
          <t>lpeemn</t>
        </is>
      </c>
      <c r="B327" t="inlineStr">
        <is>
          <t>Maria Alice Andrade</t>
        </is>
      </c>
      <c r="C327" s="6" t="n">
        <v>0.5064</v>
      </c>
      <c r="D327" s="6" t="n">
        <v>0.7477</v>
      </c>
      <c r="E327" s="6" t="n">
        <v>0.4681</v>
      </c>
      <c r="F327" s="6" t="n">
        <v>0.606</v>
      </c>
      <c r="G327" s="6" t="n">
        <v>0.4894</v>
      </c>
      <c r="H327" s="6" t="n">
        <v>0.7024</v>
      </c>
      <c r="I327" s="6" t="n">
        <v>0.4787</v>
      </c>
      <c r="J327" s="6" t="n">
        <v>0.3569</v>
      </c>
      <c r="K327" s="6" t="n">
        <v>0.5674</v>
      </c>
      <c r="L327" s="7">
        <f>Mecanismos!B2*C327</f>
        <v/>
      </c>
      <c r="M327" s="7">
        <f>Mecanismos!B7*D327</f>
        <v/>
      </c>
      <c r="N327" s="7">
        <f>Mecanismos!B4*(1-E327)</f>
        <v/>
      </c>
      <c r="O327" s="7">
        <f>Mecanismos!B5*(1-F327)</f>
        <v/>
      </c>
      <c r="P327" s="7">
        <f>Mecanismos!B6*(1-I327)</f>
        <v/>
      </c>
      <c r="Q327" s="7">
        <f>Mecanismos!B9*(1-G327)</f>
        <v/>
      </c>
      <c r="R327" s="7">
        <f>Mecanismos!B3*(1-D327)</f>
        <v/>
      </c>
      <c r="S327" s="7">
        <f>Mecanismos!B9*(1-J327)</f>
        <v/>
      </c>
      <c r="T327" s="7">
        <f>Mecanismos!B8*H327</f>
        <v/>
      </c>
      <c r="U327" s="7">
        <f>Mecanismos!B10*H327</f>
        <v/>
      </c>
      <c r="V327" s="7">
        <f>Mecanismos!B8*K327</f>
        <v/>
      </c>
      <c r="W327" s="7">
        <f>SUM(L327:S327)</f>
        <v/>
      </c>
      <c r="X327" s="7">
        <f>SUM(T327:V327)</f>
        <v/>
      </c>
      <c r="Y327" s="8">
        <f>MAX(0,MIN(1,Parametros!B2-W327*Parametros!B3+X327*Parametros!B4))</f>
        <v/>
      </c>
    </row>
    <row r="328">
      <c r="A328" t="inlineStr">
        <is>
          <t>buezrb</t>
        </is>
      </c>
      <c r="B328" t="inlineStr">
        <is>
          <t>Maria Alice Cavalcanti</t>
        </is>
      </c>
      <c r="C328" s="6" t="n">
        <v>0.5968</v>
      </c>
      <c r="D328" s="6" t="n">
        <v>0.3096</v>
      </c>
      <c r="E328" s="6" t="n">
        <v>0.6768</v>
      </c>
      <c r="F328" s="6" t="n">
        <v>0.4421</v>
      </c>
      <c r="G328" s="6" t="n">
        <v>0.6512</v>
      </c>
      <c r="H328" s="6" t="n">
        <v>0.6586</v>
      </c>
      <c r="I328" s="6" t="n">
        <v>0.6302</v>
      </c>
      <c r="J328" s="6" t="n">
        <v>0.9308</v>
      </c>
      <c r="K328" s="6" t="n">
        <v>0.6536</v>
      </c>
      <c r="L328" s="7">
        <f>Mecanismos!B2*C328</f>
        <v/>
      </c>
      <c r="M328" s="7">
        <f>Mecanismos!B7*D328</f>
        <v/>
      </c>
      <c r="N328" s="7">
        <f>Mecanismos!B4*(1-E328)</f>
        <v/>
      </c>
      <c r="O328" s="7">
        <f>Mecanismos!B5*(1-F328)</f>
        <v/>
      </c>
      <c r="P328" s="7">
        <f>Mecanismos!B6*(1-I328)</f>
        <v/>
      </c>
      <c r="Q328" s="7">
        <f>Mecanismos!B9*(1-G328)</f>
        <v/>
      </c>
      <c r="R328" s="7">
        <f>Mecanismos!B3*(1-D328)</f>
        <v/>
      </c>
      <c r="S328" s="7">
        <f>Mecanismos!B9*(1-J328)</f>
        <v/>
      </c>
      <c r="T328" s="7">
        <f>Mecanismos!B8*H328</f>
        <v/>
      </c>
      <c r="U328" s="7">
        <f>Mecanismos!B10*H328</f>
        <v/>
      </c>
      <c r="V328" s="7">
        <f>Mecanismos!B8*K328</f>
        <v/>
      </c>
      <c r="W328" s="7">
        <f>SUM(L328:S328)</f>
        <v/>
      </c>
      <c r="X328" s="7">
        <f>SUM(T328:V328)</f>
        <v/>
      </c>
      <c r="Y328" s="8">
        <f>MAX(0,MIN(1,Parametros!B2-W328*Parametros!B3+X328*Parametros!B4))</f>
        <v/>
      </c>
    </row>
    <row r="329">
      <c r="A329" t="inlineStr">
        <is>
          <t>jpbx8m</t>
        </is>
      </c>
      <c r="B329" t="inlineStr">
        <is>
          <t>Maria Alice Novaes</t>
        </is>
      </c>
      <c r="C329" s="6" t="n">
        <v>0.5566</v>
      </c>
      <c r="D329" s="6" t="n">
        <v>0.3547</v>
      </c>
      <c r="E329" s="6" t="n">
        <v>0.7215</v>
      </c>
      <c r="F329" s="6" t="n">
        <v>0.2806</v>
      </c>
      <c r="G329" s="6" t="n">
        <v>0.4042</v>
      </c>
      <c r="H329" s="6" t="n">
        <v>0.7655999999999999</v>
      </c>
      <c r="I329" s="6" t="n">
        <v>0.4237</v>
      </c>
      <c r="J329" s="6" t="n">
        <v>0.6176</v>
      </c>
      <c r="K329" s="6" t="n">
        <v>0.4221</v>
      </c>
      <c r="L329" s="7">
        <f>Mecanismos!B2*C329</f>
        <v/>
      </c>
      <c r="M329" s="7">
        <f>Mecanismos!B7*D329</f>
        <v/>
      </c>
      <c r="N329" s="7">
        <f>Mecanismos!B4*(1-E329)</f>
        <v/>
      </c>
      <c r="O329" s="7">
        <f>Mecanismos!B5*(1-F329)</f>
        <v/>
      </c>
      <c r="P329" s="7">
        <f>Mecanismos!B6*(1-I329)</f>
        <v/>
      </c>
      <c r="Q329" s="7">
        <f>Mecanismos!B9*(1-G329)</f>
        <v/>
      </c>
      <c r="R329" s="7">
        <f>Mecanismos!B3*(1-D329)</f>
        <v/>
      </c>
      <c r="S329" s="7">
        <f>Mecanismos!B9*(1-J329)</f>
        <v/>
      </c>
      <c r="T329" s="7">
        <f>Mecanismos!B8*H329</f>
        <v/>
      </c>
      <c r="U329" s="7">
        <f>Mecanismos!B10*H329</f>
        <v/>
      </c>
      <c r="V329" s="7">
        <f>Mecanismos!B8*K329</f>
        <v/>
      </c>
      <c r="W329" s="7">
        <f>SUM(L329:S329)</f>
        <v/>
      </c>
      <c r="X329" s="7">
        <f>SUM(T329:V329)</f>
        <v/>
      </c>
      <c r="Y329" s="8">
        <f>MAX(0,MIN(1,Parametros!B2-W329*Parametros!B3+X329*Parametros!B4))</f>
        <v/>
      </c>
    </row>
    <row r="330">
      <c r="A330" t="inlineStr">
        <is>
          <t>triuk4</t>
        </is>
      </c>
      <c r="B330" t="inlineStr">
        <is>
          <t>Maria Cecília Araújo</t>
        </is>
      </c>
      <c r="C330" s="6" t="n">
        <v>0.6661</v>
      </c>
      <c r="D330" s="6" t="n">
        <v>0.4905</v>
      </c>
      <c r="E330" s="6" t="n">
        <v>0.5458</v>
      </c>
      <c r="F330" s="6" t="n">
        <v>0.6924</v>
      </c>
      <c r="G330" s="6" t="n">
        <v>0.4585</v>
      </c>
      <c r="H330" s="6" t="n">
        <v>0.5276</v>
      </c>
      <c r="I330" s="6" t="n">
        <v>0.7768</v>
      </c>
      <c r="J330" s="6" t="n">
        <v>0.5048</v>
      </c>
      <c r="K330" s="6" t="n">
        <v>0.3408</v>
      </c>
      <c r="L330" s="7">
        <f>Mecanismos!B2*C330</f>
        <v/>
      </c>
      <c r="M330" s="7">
        <f>Mecanismos!B7*D330</f>
        <v/>
      </c>
      <c r="N330" s="7">
        <f>Mecanismos!B4*(1-E330)</f>
        <v/>
      </c>
      <c r="O330" s="7">
        <f>Mecanismos!B5*(1-F330)</f>
        <v/>
      </c>
      <c r="P330" s="7">
        <f>Mecanismos!B6*(1-I330)</f>
        <v/>
      </c>
      <c r="Q330" s="7">
        <f>Mecanismos!B9*(1-G330)</f>
        <v/>
      </c>
      <c r="R330" s="7">
        <f>Mecanismos!B3*(1-D330)</f>
        <v/>
      </c>
      <c r="S330" s="7">
        <f>Mecanismos!B9*(1-J330)</f>
        <v/>
      </c>
      <c r="T330" s="7">
        <f>Mecanismos!B8*H330</f>
        <v/>
      </c>
      <c r="U330" s="7">
        <f>Mecanismos!B10*H330</f>
        <v/>
      </c>
      <c r="V330" s="7">
        <f>Mecanismos!B8*K330</f>
        <v/>
      </c>
      <c r="W330" s="7">
        <f>SUM(L330:S330)</f>
        <v/>
      </c>
      <c r="X330" s="7">
        <f>SUM(T330:V330)</f>
        <v/>
      </c>
      <c r="Y330" s="8">
        <f>MAX(0,MIN(1,Parametros!B2-W330*Parametros!B3+X330*Parametros!B4))</f>
        <v/>
      </c>
    </row>
    <row r="331">
      <c r="A331" t="inlineStr">
        <is>
          <t>bmsi9d</t>
        </is>
      </c>
      <c r="B331" t="inlineStr">
        <is>
          <t>Maria Clara Moreira</t>
        </is>
      </c>
      <c r="C331" s="6" t="n">
        <v>0.4811</v>
      </c>
      <c r="D331" s="6" t="n">
        <v>0.839</v>
      </c>
      <c r="E331" s="6" t="n">
        <v>0.3341</v>
      </c>
      <c r="F331" s="6" t="n">
        <v>0.6948</v>
      </c>
      <c r="G331" s="6" t="n">
        <v>0.5832000000000001</v>
      </c>
      <c r="H331" s="6" t="n">
        <v>0.7762</v>
      </c>
      <c r="I331" s="6" t="n">
        <v>0.6395</v>
      </c>
      <c r="J331" s="6" t="n">
        <v>0.8249</v>
      </c>
      <c r="K331" s="6" t="n">
        <v>0.4004</v>
      </c>
      <c r="L331" s="7">
        <f>Mecanismos!B2*C331</f>
        <v/>
      </c>
      <c r="M331" s="7">
        <f>Mecanismos!B7*D331</f>
        <v/>
      </c>
      <c r="N331" s="7">
        <f>Mecanismos!B4*(1-E331)</f>
        <v/>
      </c>
      <c r="O331" s="7">
        <f>Mecanismos!B5*(1-F331)</f>
        <v/>
      </c>
      <c r="P331" s="7">
        <f>Mecanismos!B6*(1-I331)</f>
        <v/>
      </c>
      <c r="Q331" s="7">
        <f>Mecanismos!B9*(1-G331)</f>
        <v/>
      </c>
      <c r="R331" s="7">
        <f>Mecanismos!B3*(1-D331)</f>
        <v/>
      </c>
      <c r="S331" s="7">
        <f>Mecanismos!B9*(1-J331)</f>
        <v/>
      </c>
      <c r="T331" s="7">
        <f>Mecanismos!B8*H331</f>
        <v/>
      </c>
      <c r="U331" s="7">
        <f>Mecanismos!B10*H331</f>
        <v/>
      </c>
      <c r="V331" s="7">
        <f>Mecanismos!B8*K331</f>
        <v/>
      </c>
      <c r="W331" s="7">
        <f>SUM(L331:S331)</f>
        <v/>
      </c>
      <c r="X331" s="7">
        <f>SUM(T331:V331)</f>
        <v/>
      </c>
      <c r="Y331" s="8">
        <f>MAX(0,MIN(1,Parametros!B2-W331*Parametros!B3+X331*Parametros!B4))</f>
        <v/>
      </c>
    </row>
    <row r="332">
      <c r="A332" t="inlineStr">
        <is>
          <t>aefx0r</t>
        </is>
      </c>
      <c r="B332" t="inlineStr">
        <is>
          <t>Maria Cunha</t>
        </is>
      </c>
      <c r="C332" s="6" t="n">
        <v>0.5515</v>
      </c>
      <c r="D332" s="6" t="n">
        <v>0.4998</v>
      </c>
      <c r="E332" s="6" t="n">
        <v>0.5255</v>
      </c>
      <c r="F332" s="6" t="n">
        <v>0.1656</v>
      </c>
      <c r="G332" s="6" t="n">
        <v>0.4535</v>
      </c>
      <c r="H332" s="6" t="n">
        <v>0.6138</v>
      </c>
      <c r="I332" s="6" t="n">
        <v>0.2614</v>
      </c>
      <c r="J332" s="6" t="n">
        <v>0.5913</v>
      </c>
      <c r="K332" s="6" t="n">
        <v>0.4795</v>
      </c>
      <c r="L332" s="7">
        <f>Mecanismos!B2*C332</f>
        <v/>
      </c>
      <c r="M332" s="7">
        <f>Mecanismos!B7*D332</f>
        <v/>
      </c>
      <c r="N332" s="7">
        <f>Mecanismos!B4*(1-E332)</f>
        <v/>
      </c>
      <c r="O332" s="7">
        <f>Mecanismos!B5*(1-F332)</f>
        <v/>
      </c>
      <c r="P332" s="7">
        <f>Mecanismos!B6*(1-I332)</f>
        <v/>
      </c>
      <c r="Q332" s="7">
        <f>Mecanismos!B9*(1-G332)</f>
        <v/>
      </c>
      <c r="R332" s="7">
        <f>Mecanismos!B3*(1-D332)</f>
        <v/>
      </c>
      <c r="S332" s="7">
        <f>Mecanismos!B9*(1-J332)</f>
        <v/>
      </c>
      <c r="T332" s="7">
        <f>Mecanismos!B8*H332</f>
        <v/>
      </c>
      <c r="U332" s="7">
        <f>Mecanismos!B10*H332</f>
        <v/>
      </c>
      <c r="V332" s="7">
        <f>Mecanismos!B8*K332</f>
        <v/>
      </c>
      <c r="W332" s="7">
        <f>SUM(L332:S332)</f>
        <v/>
      </c>
      <c r="X332" s="7">
        <f>SUM(T332:V332)</f>
        <v/>
      </c>
      <c r="Y332" s="8">
        <f>MAX(0,MIN(1,Parametros!B2-W332*Parametros!B3+X332*Parametros!B4))</f>
        <v/>
      </c>
    </row>
    <row r="333">
      <c r="A333" t="inlineStr">
        <is>
          <t>5jg7zn</t>
        </is>
      </c>
      <c r="B333" t="inlineStr">
        <is>
          <t>Maria Eduarda Gomes</t>
        </is>
      </c>
      <c r="C333" s="6" t="n">
        <v>0.8459</v>
      </c>
      <c r="D333" s="6" t="n">
        <v>0.7107</v>
      </c>
      <c r="E333" s="6" t="n">
        <v>0.4985</v>
      </c>
      <c r="F333" s="6" t="n">
        <v>0.5178</v>
      </c>
      <c r="G333" s="6" t="n">
        <v>0.6927</v>
      </c>
      <c r="H333" s="6" t="n">
        <v>0.5662</v>
      </c>
      <c r="I333" s="6" t="n">
        <v>0.4201</v>
      </c>
      <c r="J333" s="6" t="n">
        <v>0.8885999999999999</v>
      </c>
      <c r="K333" s="6" t="n">
        <v>0.3614</v>
      </c>
      <c r="L333" s="7">
        <f>Mecanismos!B2*C333</f>
        <v/>
      </c>
      <c r="M333" s="7">
        <f>Mecanismos!B7*D333</f>
        <v/>
      </c>
      <c r="N333" s="7">
        <f>Mecanismos!B4*(1-E333)</f>
        <v/>
      </c>
      <c r="O333" s="7">
        <f>Mecanismos!B5*(1-F333)</f>
        <v/>
      </c>
      <c r="P333" s="7">
        <f>Mecanismos!B6*(1-I333)</f>
        <v/>
      </c>
      <c r="Q333" s="7">
        <f>Mecanismos!B9*(1-G333)</f>
        <v/>
      </c>
      <c r="R333" s="7">
        <f>Mecanismos!B3*(1-D333)</f>
        <v/>
      </c>
      <c r="S333" s="7">
        <f>Mecanismos!B9*(1-J333)</f>
        <v/>
      </c>
      <c r="T333" s="7">
        <f>Mecanismos!B8*H333</f>
        <v/>
      </c>
      <c r="U333" s="7">
        <f>Mecanismos!B10*H333</f>
        <v/>
      </c>
      <c r="V333" s="7">
        <f>Mecanismos!B8*K333</f>
        <v/>
      </c>
      <c r="W333" s="7">
        <f>SUM(L333:S333)</f>
        <v/>
      </c>
      <c r="X333" s="7">
        <f>SUM(T333:V333)</f>
        <v/>
      </c>
      <c r="Y333" s="8">
        <f>MAX(0,MIN(1,Parametros!B2-W333*Parametros!B3+X333*Parametros!B4))</f>
        <v/>
      </c>
    </row>
    <row r="334">
      <c r="A334" t="inlineStr">
        <is>
          <t>zo8sc8</t>
        </is>
      </c>
      <c r="B334" t="inlineStr">
        <is>
          <t>Maria Eduarda Gonçalves</t>
        </is>
      </c>
      <c r="C334" s="6" t="n">
        <v>0.5649999999999999</v>
      </c>
      <c r="D334" s="6" t="n">
        <v>0.3526</v>
      </c>
      <c r="E334" s="6" t="n">
        <v>0.5339</v>
      </c>
      <c r="F334" s="6" t="n">
        <v>0.6192</v>
      </c>
      <c r="G334" s="6" t="n">
        <v>0.285</v>
      </c>
      <c r="H334" s="6" t="n">
        <v>0.5397</v>
      </c>
      <c r="I334" s="6" t="n">
        <v>0.08799999999999999</v>
      </c>
      <c r="J334" s="6" t="n">
        <v>0.5152</v>
      </c>
      <c r="K334" s="6" t="n">
        <v>0.6451</v>
      </c>
      <c r="L334" s="7">
        <f>Mecanismos!B2*C334</f>
        <v/>
      </c>
      <c r="M334" s="7">
        <f>Mecanismos!B7*D334</f>
        <v/>
      </c>
      <c r="N334" s="7">
        <f>Mecanismos!B4*(1-E334)</f>
        <v/>
      </c>
      <c r="O334" s="7">
        <f>Mecanismos!B5*(1-F334)</f>
        <v/>
      </c>
      <c r="P334" s="7">
        <f>Mecanismos!B6*(1-I334)</f>
        <v/>
      </c>
      <c r="Q334" s="7">
        <f>Mecanismos!B9*(1-G334)</f>
        <v/>
      </c>
      <c r="R334" s="7">
        <f>Mecanismos!B3*(1-D334)</f>
        <v/>
      </c>
      <c r="S334" s="7">
        <f>Mecanismos!B9*(1-J334)</f>
        <v/>
      </c>
      <c r="T334" s="7">
        <f>Mecanismos!B8*H334</f>
        <v/>
      </c>
      <c r="U334" s="7">
        <f>Mecanismos!B10*H334</f>
        <v/>
      </c>
      <c r="V334" s="7">
        <f>Mecanismos!B8*K334</f>
        <v/>
      </c>
      <c r="W334" s="7">
        <f>SUM(L334:S334)</f>
        <v/>
      </c>
      <c r="X334" s="7">
        <f>SUM(T334:V334)</f>
        <v/>
      </c>
      <c r="Y334" s="8">
        <f>MAX(0,MIN(1,Parametros!B2-W334*Parametros!B3+X334*Parametros!B4))</f>
        <v/>
      </c>
    </row>
    <row r="335">
      <c r="A335" t="inlineStr">
        <is>
          <t>7w6llg</t>
        </is>
      </c>
      <c r="B335" t="inlineStr">
        <is>
          <t>Maria Eduarda Mendes</t>
        </is>
      </c>
      <c r="C335" s="6" t="n">
        <v>0.4295</v>
      </c>
      <c r="D335" s="6" t="n">
        <v>0.6359</v>
      </c>
      <c r="E335" s="6" t="n">
        <v>0.15</v>
      </c>
      <c r="F335" s="6" t="n">
        <v>0.7147</v>
      </c>
      <c r="G335" s="6" t="n">
        <v>0.4119</v>
      </c>
      <c r="H335" s="6" t="n">
        <v>0.4762</v>
      </c>
      <c r="I335" s="6" t="n">
        <v>0.5802</v>
      </c>
      <c r="J335" s="6" t="n">
        <v>0.9286</v>
      </c>
      <c r="K335" s="6" t="n">
        <v>0.6975</v>
      </c>
      <c r="L335" s="7">
        <f>Mecanismos!B2*C335</f>
        <v/>
      </c>
      <c r="M335" s="7">
        <f>Mecanismos!B7*D335</f>
        <v/>
      </c>
      <c r="N335" s="7">
        <f>Mecanismos!B4*(1-E335)</f>
        <v/>
      </c>
      <c r="O335" s="7">
        <f>Mecanismos!B5*(1-F335)</f>
        <v/>
      </c>
      <c r="P335" s="7">
        <f>Mecanismos!B6*(1-I335)</f>
        <v/>
      </c>
      <c r="Q335" s="7">
        <f>Mecanismos!B9*(1-G335)</f>
        <v/>
      </c>
      <c r="R335" s="7">
        <f>Mecanismos!B3*(1-D335)</f>
        <v/>
      </c>
      <c r="S335" s="7">
        <f>Mecanismos!B9*(1-J335)</f>
        <v/>
      </c>
      <c r="T335" s="7">
        <f>Mecanismos!B8*H335</f>
        <v/>
      </c>
      <c r="U335" s="7">
        <f>Mecanismos!B10*H335</f>
        <v/>
      </c>
      <c r="V335" s="7">
        <f>Mecanismos!B8*K335</f>
        <v/>
      </c>
      <c r="W335" s="7">
        <f>SUM(L335:S335)</f>
        <v/>
      </c>
      <c r="X335" s="7">
        <f>SUM(T335:V335)</f>
        <v/>
      </c>
      <c r="Y335" s="8">
        <f>MAX(0,MIN(1,Parametros!B2-W335*Parametros!B3+X335*Parametros!B4))</f>
        <v/>
      </c>
    </row>
    <row r="336">
      <c r="A336" t="inlineStr">
        <is>
          <t>79bg3q</t>
        </is>
      </c>
      <c r="B336" t="inlineStr">
        <is>
          <t>Maria Eduarda Pereira</t>
        </is>
      </c>
      <c r="C336" s="6" t="n">
        <v>0.642</v>
      </c>
      <c r="D336" s="6" t="n">
        <v>0.6847</v>
      </c>
      <c r="E336" s="6" t="n">
        <v>0.2316</v>
      </c>
      <c r="F336" s="6" t="n">
        <v>0.6922</v>
      </c>
      <c r="G336" s="6" t="n">
        <v>0.4888</v>
      </c>
      <c r="H336" s="6" t="n">
        <v>0.6239</v>
      </c>
      <c r="I336" s="6" t="n">
        <v>0.7356</v>
      </c>
      <c r="J336" s="6" t="n">
        <v>0.7706</v>
      </c>
      <c r="K336" s="6" t="n">
        <v>0.1661</v>
      </c>
      <c r="L336" s="7">
        <f>Mecanismos!B2*C336</f>
        <v/>
      </c>
      <c r="M336" s="7">
        <f>Mecanismos!B7*D336</f>
        <v/>
      </c>
      <c r="N336" s="7">
        <f>Mecanismos!B4*(1-E336)</f>
        <v/>
      </c>
      <c r="O336" s="7">
        <f>Mecanismos!B5*(1-F336)</f>
        <v/>
      </c>
      <c r="P336" s="7">
        <f>Mecanismos!B6*(1-I336)</f>
        <v/>
      </c>
      <c r="Q336" s="7">
        <f>Mecanismos!B9*(1-G336)</f>
        <v/>
      </c>
      <c r="R336" s="7">
        <f>Mecanismos!B3*(1-D336)</f>
        <v/>
      </c>
      <c r="S336" s="7">
        <f>Mecanismos!B9*(1-J336)</f>
        <v/>
      </c>
      <c r="T336" s="7">
        <f>Mecanismos!B8*H336</f>
        <v/>
      </c>
      <c r="U336" s="7">
        <f>Mecanismos!B10*H336</f>
        <v/>
      </c>
      <c r="V336" s="7">
        <f>Mecanismos!B8*K336</f>
        <v/>
      </c>
      <c r="W336" s="7">
        <f>SUM(L336:S336)</f>
        <v/>
      </c>
      <c r="X336" s="7">
        <f>SUM(T336:V336)</f>
        <v/>
      </c>
      <c r="Y336" s="8">
        <f>MAX(0,MIN(1,Parametros!B2-W336*Parametros!B3+X336*Parametros!B4))</f>
        <v/>
      </c>
    </row>
    <row r="337">
      <c r="A337" t="inlineStr">
        <is>
          <t>map6yr</t>
        </is>
      </c>
      <c r="B337" t="inlineStr">
        <is>
          <t>Maria Eduarda Rocha</t>
        </is>
      </c>
      <c r="C337" s="6" t="n">
        <v>0.381</v>
      </c>
      <c r="D337" s="6" t="n">
        <v>0.4538</v>
      </c>
      <c r="E337" s="6" t="n">
        <v>0.5201</v>
      </c>
      <c r="F337" s="6" t="n">
        <v>0.6106</v>
      </c>
      <c r="G337" s="6" t="n">
        <v>0.3684</v>
      </c>
      <c r="H337" s="6" t="n">
        <v>0.7499</v>
      </c>
      <c r="I337" s="6" t="n">
        <v>0.5879</v>
      </c>
      <c r="J337" s="6" t="n">
        <v>0.8694</v>
      </c>
      <c r="K337" s="6" t="n">
        <v>0.2193</v>
      </c>
      <c r="L337" s="7">
        <f>Mecanismos!B2*C337</f>
        <v/>
      </c>
      <c r="M337" s="7">
        <f>Mecanismos!B7*D337</f>
        <v/>
      </c>
      <c r="N337" s="7">
        <f>Mecanismos!B4*(1-E337)</f>
        <v/>
      </c>
      <c r="O337" s="7">
        <f>Mecanismos!B5*(1-F337)</f>
        <v/>
      </c>
      <c r="P337" s="7">
        <f>Mecanismos!B6*(1-I337)</f>
        <v/>
      </c>
      <c r="Q337" s="7">
        <f>Mecanismos!B9*(1-G337)</f>
        <v/>
      </c>
      <c r="R337" s="7">
        <f>Mecanismos!B3*(1-D337)</f>
        <v/>
      </c>
      <c r="S337" s="7">
        <f>Mecanismos!B9*(1-J337)</f>
        <v/>
      </c>
      <c r="T337" s="7">
        <f>Mecanismos!B8*H337</f>
        <v/>
      </c>
      <c r="U337" s="7">
        <f>Mecanismos!B10*H337</f>
        <v/>
      </c>
      <c r="V337" s="7">
        <f>Mecanismos!B8*K337</f>
        <v/>
      </c>
      <c r="W337" s="7">
        <f>SUM(L337:S337)</f>
        <v/>
      </c>
      <c r="X337" s="7">
        <f>SUM(T337:V337)</f>
        <v/>
      </c>
      <c r="Y337" s="8">
        <f>MAX(0,MIN(1,Parametros!B2-W337*Parametros!B3+X337*Parametros!B4))</f>
        <v/>
      </c>
    </row>
    <row r="338">
      <c r="A338" t="inlineStr">
        <is>
          <t>kuzfbj</t>
        </is>
      </c>
      <c r="B338" t="inlineStr">
        <is>
          <t>Maria Fernandes</t>
        </is>
      </c>
      <c r="C338" s="6" t="n">
        <v>0.3416</v>
      </c>
      <c r="D338" s="6" t="n">
        <v>0.7141999999999999</v>
      </c>
      <c r="E338" s="6" t="n">
        <v>0.4719</v>
      </c>
      <c r="F338" s="6" t="n">
        <v>0.7514999999999999</v>
      </c>
      <c r="G338" s="6" t="n">
        <v>0.2063</v>
      </c>
      <c r="H338" s="6" t="n">
        <v>0.722</v>
      </c>
      <c r="I338" s="6" t="n">
        <v>0.5532</v>
      </c>
      <c r="J338" s="6" t="n">
        <v>0.3701</v>
      </c>
      <c r="K338" s="6" t="n">
        <v>0.8028999999999999</v>
      </c>
      <c r="L338" s="7">
        <f>Mecanismos!B2*C338</f>
        <v/>
      </c>
      <c r="M338" s="7">
        <f>Mecanismos!B7*D338</f>
        <v/>
      </c>
      <c r="N338" s="7">
        <f>Mecanismos!B4*(1-E338)</f>
        <v/>
      </c>
      <c r="O338" s="7">
        <f>Mecanismos!B5*(1-F338)</f>
        <v/>
      </c>
      <c r="P338" s="7">
        <f>Mecanismos!B6*(1-I338)</f>
        <v/>
      </c>
      <c r="Q338" s="7">
        <f>Mecanismos!B9*(1-G338)</f>
        <v/>
      </c>
      <c r="R338" s="7">
        <f>Mecanismos!B3*(1-D338)</f>
        <v/>
      </c>
      <c r="S338" s="7">
        <f>Mecanismos!B9*(1-J338)</f>
        <v/>
      </c>
      <c r="T338" s="7">
        <f>Mecanismos!B8*H338</f>
        <v/>
      </c>
      <c r="U338" s="7">
        <f>Mecanismos!B10*H338</f>
        <v/>
      </c>
      <c r="V338" s="7">
        <f>Mecanismos!B8*K338</f>
        <v/>
      </c>
      <c r="W338" s="7">
        <f>SUM(L338:S338)</f>
        <v/>
      </c>
      <c r="X338" s="7">
        <f>SUM(T338:V338)</f>
        <v/>
      </c>
      <c r="Y338" s="8">
        <f>MAX(0,MIN(1,Parametros!B2-W338*Parametros!B3+X338*Parametros!B4))</f>
        <v/>
      </c>
    </row>
    <row r="339">
      <c r="A339" t="inlineStr">
        <is>
          <t>520g8x</t>
        </is>
      </c>
      <c r="B339" t="inlineStr">
        <is>
          <t>Maria Flor Casa Grande</t>
        </is>
      </c>
      <c r="C339" s="6" t="n">
        <v>0.4465</v>
      </c>
      <c r="D339" s="6" t="n">
        <v>0.4227</v>
      </c>
      <c r="E339" s="6" t="n">
        <v>0.6074000000000001</v>
      </c>
      <c r="F339" s="6" t="n">
        <v>0.5959</v>
      </c>
      <c r="G339" s="6" t="n">
        <v>0.3977</v>
      </c>
      <c r="H339" s="6" t="n">
        <v>0.796</v>
      </c>
      <c r="I339" s="6" t="n">
        <v>0.3946</v>
      </c>
      <c r="J339" s="6" t="n">
        <v>0.768</v>
      </c>
      <c r="K339" s="6" t="n">
        <v>0.5638</v>
      </c>
      <c r="L339" s="7">
        <f>Mecanismos!B2*C339</f>
        <v/>
      </c>
      <c r="M339" s="7">
        <f>Mecanismos!B7*D339</f>
        <v/>
      </c>
      <c r="N339" s="7">
        <f>Mecanismos!B4*(1-E339)</f>
        <v/>
      </c>
      <c r="O339" s="7">
        <f>Mecanismos!B5*(1-F339)</f>
        <v/>
      </c>
      <c r="P339" s="7">
        <f>Mecanismos!B6*(1-I339)</f>
        <v/>
      </c>
      <c r="Q339" s="7">
        <f>Mecanismos!B9*(1-G339)</f>
        <v/>
      </c>
      <c r="R339" s="7">
        <f>Mecanismos!B3*(1-D339)</f>
        <v/>
      </c>
      <c r="S339" s="7">
        <f>Mecanismos!B9*(1-J339)</f>
        <v/>
      </c>
      <c r="T339" s="7">
        <f>Mecanismos!B8*H339</f>
        <v/>
      </c>
      <c r="U339" s="7">
        <f>Mecanismos!B10*H339</f>
        <v/>
      </c>
      <c r="V339" s="7">
        <f>Mecanismos!B8*K339</f>
        <v/>
      </c>
      <c r="W339" s="7">
        <f>SUM(L339:S339)</f>
        <v/>
      </c>
      <c r="X339" s="7">
        <f>SUM(T339:V339)</f>
        <v/>
      </c>
      <c r="Y339" s="8">
        <f>MAX(0,MIN(1,Parametros!B2-W339*Parametros!B3+X339*Parametros!B4))</f>
        <v/>
      </c>
    </row>
    <row r="340">
      <c r="A340" t="inlineStr">
        <is>
          <t>ox1ju4</t>
        </is>
      </c>
      <c r="B340" t="inlineStr">
        <is>
          <t>Maria Fonseca</t>
        </is>
      </c>
      <c r="C340" s="6" t="n">
        <v>0.7576000000000001</v>
      </c>
      <c r="D340" s="6" t="n">
        <v>0.1801</v>
      </c>
      <c r="E340" s="6" t="n">
        <v>0.6843</v>
      </c>
      <c r="F340" s="6" t="n">
        <v>0.455</v>
      </c>
      <c r="G340" s="6" t="n">
        <v>0.375</v>
      </c>
      <c r="H340" s="6" t="n">
        <v>0.6689000000000001</v>
      </c>
      <c r="I340" s="6" t="n">
        <v>0.4677</v>
      </c>
      <c r="J340" s="6" t="n">
        <v>0.4387</v>
      </c>
      <c r="K340" s="6" t="n">
        <v>0.3671</v>
      </c>
      <c r="L340" s="7">
        <f>Mecanismos!B2*C340</f>
        <v/>
      </c>
      <c r="M340" s="7">
        <f>Mecanismos!B7*D340</f>
        <v/>
      </c>
      <c r="N340" s="7">
        <f>Mecanismos!B4*(1-E340)</f>
        <v/>
      </c>
      <c r="O340" s="7">
        <f>Mecanismos!B5*(1-F340)</f>
        <v/>
      </c>
      <c r="P340" s="7">
        <f>Mecanismos!B6*(1-I340)</f>
        <v/>
      </c>
      <c r="Q340" s="7">
        <f>Mecanismos!B9*(1-G340)</f>
        <v/>
      </c>
      <c r="R340" s="7">
        <f>Mecanismos!B3*(1-D340)</f>
        <v/>
      </c>
      <c r="S340" s="7">
        <f>Mecanismos!B9*(1-J340)</f>
        <v/>
      </c>
      <c r="T340" s="7">
        <f>Mecanismos!B8*H340</f>
        <v/>
      </c>
      <c r="U340" s="7">
        <f>Mecanismos!B10*H340</f>
        <v/>
      </c>
      <c r="V340" s="7">
        <f>Mecanismos!B8*K340</f>
        <v/>
      </c>
      <c r="W340" s="7">
        <f>SUM(L340:S340)</f>
        <v/>
      </c>
      <c r="X340" s="7">
        <f>SUM(T340:V340)</f>
        <v/>
      </c>
      <c r="Y340" s="8">
        <f>MAX(0,MIN(1,Parametros!B2-W340*Parametros!B3+X340*Parametros!B4))</f>
        <v/>
      </c>
    </row>
    <row r="341">
      <c r="A341" t="inlineStr">
        <is>
          <t>jity40</t>
        </is>
      </c>
      <c r="B341" t="inlineStr">
        <is>
          <t>Maria Helena da Cunha</t>
        </is>
      </c>
      <c r="C341" s="6" t="n">
        <v>0.6528</v>
      </c>
      <c r="D341" s="6" t="n">
        <v>0.6516999999999999</v>
      </c>
      <c r="E341" s="6" t="n">
        <v>0.7826</v>
      </c>
      <c r="F341" s="6" t="n">
        <v>0.4532</v>
      </c>
      <c r="G341" s="6" t="n">
        <v>0.5343</v>
      </c>
      <c r="H341" s="6" t="n">
        <v>0.7468</v>
      </c>
      <c r="I341" s="6" t="n">
        <v>0.2994</v>
      </c>
      <c r="J341" s="6" t="n">
        <v>0.9032</v>
      </c>
      <c r="K341" s="6" t="n">
        <v>0.7282</v>
      </c>
      <c r="L341" s="7">
        <f>Mecanismos!B2*C341</f>
        <v/>
      </c>
      <c r="M341" s="7">
        <f>Mecanismos!B7*D341</f>
        <v/>
      </c>
      <c r="N341" s="7">
        <f>Mecanismos!B4*(1-E341)</f>
        <v/>
      </c>
      <c r="O341" s="7">
        <f>Mecanismos!B5*(1-F341)</f>
        <v/>
      </c>
      <c r="P341" s="7">
        <f>Mecanismos!B6*(1-I341)</f>
        <v/>
      </c>
      <c r="Q341" s="7">
        <f>Mecanismos!B9*(1-G341)</f>
        <v/>
      </c>
      <c r="R341" s="7">
        <f>Mecanismos!B3*(1-D341)</f>
        <v/>
      </c>
      <c r="S341" s="7">
        <f>Mecanismos!B9*(1-J341)</f>
        <v/>
      </c>
      <c r="T341" s="7">
        <f>Mecanismos!B8*H341</f>
        <v/>
      </c>
      <c r="U341" s="7">
        <f>Mecanismos!B10*H341</f>
        <v/>
      </c>
      <c r="V341" s="7">
        <f>Mecanismos!B8*K341</f>
        <v/>
      </c>
      <c r="W341" s="7">
        <f>SUM(L341:S341)</f>
        <v/>
      </c>
      <c r="X341" s="7">
        <f>SUM(T341:V341)</f>
        <v/>
      </c>
      <c r="Y341" s="8">
        <f>MAX(0,MIN(1,Parametros!B2-W341*Parametros!B3+X341*Parametros!B4))</f>
        <v/>
      </c>
    </row>
    <row r="342">
      <c r="A342" t="inlineStr">
        <is>
          <t>4slhpa</t>
        </is>
      </c>
      <c r="B342" t="inlineStr">
        <is>
          <t>Maria Isis Mendes</t>
        </is>
      </c>
      <c r="C342" s="6" t="n">
        <v>0.7366</v>
      </c>
      <c r="D342" s="6" t="n">
        <v>0.3366</v>
      </c>
      <c r="E342" s="6" t="n">
        <v>0.5714</v>
      </c>
      <c r="F342" s="6" t="n">
        <v>0.4335</v>
      </c>
      <c r="G342" s="6" t="n">
        <v>0.4212</v>
      </c>
      <c r="H342" s="6" t="n">
        <v>0.7337</v>
      </c>
      <c r="I342" s="6" t="n">
        <v>0.4474</v>
      </c>
      <c r="J342" s="6" t="n">
        <v>0.8413</v>
      </c>
      <c r="K342" s="6" t="n">
        <v>0.3465</v>
      </c>
      <c r="L342" s="7">
        <f>Mecanismos!B2*C342</f>
        <v/>
      </c>
      <c r="M342" s="7">
        <f>Mecanismos!B7*D342</f>
        <v/>
      </c>
      <c r="N342" s="7">
        <f>Mecanismos!B4*(1-E342)</f>
        <v/>
      </c>
      <c r="O342" s="7">
        <f>Mecanismos!B5*(1-F342)</f>
        <v/>
      </c>
      <c r="P342" s="7">
        <f>Mecanismos!B6*(1-I342)</f>
        <v/>
      </c>
      <c r="Q342" s="7">
        <f>Mecanismos!B9*(1-G342)</f>
        <v/>
      </c>
      <c r="R342" s="7">
        <f>Mecanismos!B3*(1-D342)</f>
        <v/>
      </c>
      <c r="S342" s="7">
        <f>Mecanismos!B9*(1-J342)</f>
        <v/>
      </c>
      <c r="T342" s="7">
        <f>Mecanismos!B8*H342</f>
        <v/>
      </c>
      <c r="U342" s="7">
        <f>Mecanismos!B10*H342</f>
        <v/>
      </c>
      <c r="V342" s="7">
        <f>Mecanismos!B8*K342</f>
        <v/>
      </c>
      <c r="W342" s="7">
        <f>SUM(L342:S342)</f>
        <v/>
      </c>
      <c r="X342" s="7">
        <f>SUM(T342:V342)</f>
        <v/>
      </c>
      <c r="Y342" s="8">
        <f>MAX(0,MIN(1,Parametros!B2-W342*Parametros!B3+X342*Parametros!B4))</f>
        <v/>
      </c>
    </row>
    <row r="343">
      <c r="A343" t="inlineStr">
        <is>
          <t>nsfohi</t>
        </is>
      </c>
      <c r="B343" t="inlineStr">
        <is>
          <t>Maria Isis Nogueira</t>
        </is>
      </c>
      <c r="C343" s="6" t="n">
        <v>0.6744</v>
      </c>
      <c r="D343" s="6" t="n">
        <v>0.495</v>
      </c>
      <c r="E343" s="6" t="n">
        <v>0.2534</v>
      </c>
      <c r="F343" s="6" t="n">
        <v>0.3574</v>
      </c>
      <c r="G343" s="6" t="n">
        <v>0.4629</v>
      </c>
      <c r="H343" s="6" t="n">
        <v>0.6381</v>
      </c>
      <c r="I343" s="6" t="n">
        <v>0.1702</v>
      </c>
      <c r="J343" s="6" t="n">
        <v>0.8151</v>
      </c>
      <c r="K343" s="6" t="n">
        <v>0.4709</v>
      </c>
      <c r="L343" s="7">
        <f>Mecanismos!B2*C343</f>
        <v/>
      </c>
      <c r="M343" s="7">
        <f>Mecanismos!B7*D343</f>
        <v/>
      </c>
      <c r="N343" s="7">
        <f>Mecanismos!B4*(1-E343)</f>
        <v/>
      </c>
      <c r="O343" s="7">
        <f>Mecanismos!B5*(1-F343)</f>
        <v/>
      </c>
      <c r="P343" s="7">
        <f>Mecanismos!B6*(1-I343)</f>
        <v/>
      </c>
      <c r="Q343" s="7">
        <f>Mecanismos!B9*(1-G343)</f>
        <v/>
      </c>
      <c r="R343" s="7">
        <f>Mecanismos!B3*(1-D343)</f>
        <v/>
      </c>
      <c r="S343" s="7">
        <f>Mecanismos!B9*(1-J343)</f>
        <v/>
      </c>
      <c r="T343" s="7">
        <f>Mecanismos!B8*H343</f>
        <v/>
      </c>
      <c r="U343" s="7">
        <f>Mecanismos!B10*H343</f>
        <v/>
      </c>
      <c r="V343" s="7">
        <f>Mecanismos!B8*K343</f>
        <v/>
      </c>
      <c r="W343" s="7">
        <f>SUM(L343:S343)</f>
        <v/>
      </c>
      <c r="X343" s="7">
        <f>SUM(T343:V343)</f>
        <v/>
      </c>
      <c r="Y343" s="8">
        <f>MAX(0,MIN(1,Parametros!B2-W343*Parametros!B3+X343*Parametros!B4))</f>
        <v/>
      </c>
    </row>
    <row r="344">
      <c r="A344" t="inlineStr">
        <is>
          <t>pdo7tc</t>
        </is>
      </c>
      <c r="B344" t="inlineStr">
        <is>
          <t>Maria Isis da Conceição</t>
        </is>
      </c>
      <c r="C344" s="6" t="n">
        <v>0.7205</v>
      </c>
      <c r="D344" s="6" t="n">
        <v>0.6347</v>
      </c>
      <c r="E344" s="6" t="n">
        <v>0.5122</v>
      </c>
      <c r="F344" s="6" t="n">
        <v>0.8747</v>
      </c>
      <c r="G344" s="6" t="n">
        <v>0.4745</v>
      </c>
      <c r="H344" s="6" t="n">
        <v>0.5817</v>
      </c>
      <c r="I344" s="6" t="n">
        <v>0.4843</v>
      </c>
      <c r="J344" s="6" t="n">
        <v>0.8991</v>
      </c>
      <c r="K344" s="6" t="n">
        <v>0.6177</v>
      </c>
      <c r="L344" s="7">
        <f>Mecanismos!B2*C344</f>
        <v/>
      </c>
      <c r="M344" s="7">
        <f>Mecanismos!B7*D344</f>
        <v/>
      </c>
      <c r="N344" s="7">
        <f>Mecanismos!B4*(1-E344)</f>
        <v/>
      </c>
      <c r="O344" s="7">
        <f>Mecanismos!B5*(1-F344)</f>
        <v/>
      </c>
      <c r="P344" s="7">
        <f>Mecanismos!B6*(1-I344)</f>
        <v/>
      </c>
      <c r="Q344" s="7">
        <f>Mecanismos!B9*(1-G344)</f>
        <v/>
      </c>
      <c r="R344" s="7">
        <f>Mecanismos!B3*(1-D344)</f>
        <v/>
      </c>
      <c r="S344" s="7">
        <f>Mecanismos!B9*(1-J344)</f>
        <v/>
      </c>
      <c r="T344" s="7">
        <f>Mecanismos!B8*H344</f>
        <v/>
      </c>
      <c r="U344" s="7">
        <f>Mecanismos!B10*H344</f>
        <v/>
      </c>
      <c r="V344" s="7">
        <f>Mecanismos!B8*K344</f>
        <v/>
      </c>
      <c r="W344" s="7">
        <f>SUM(L344:S344)</f>
        <v/>
      </c>
      <c r="X344" s="7">
        <f>SUM(T344:V344)</f>
        <v/>
      </c>
      <c r="Y344" s="8">
        <f>MAX(0,MIN(1,Parametros!B2-W344*Parametros!B3+X344*Parametros!B4))</f>
        <v/>
      </c>
    </row>
    <row r="345">
      <c r="A345" t="inlineStr">
        <is>
          <t>jcj00n</t>
        </is>
      </c>
      <c r="B345" t="inlineStr">
        <is>
          <t>Maria Júlia Monteiro</t>
        </is>
      </c>
      <c r="C345" s="6" t="n">
        <v>0.6129</v>
      </c>
      <c r="D345" s="6" t="n">
        <v>0.2883</v>
      </c>
      <c r="E345" s="6" t="n">
        <v>0.4841</v>
      </c>
      <c r="F345" s="6" t="n">
        <v>0.49</v>
      </c>
      <c r="G345" s="6" t="n">
        <v>0.5543</v>
      </c>
      <c r="H345" s="6" t="n">
        <v>0.6361</v>
      </c>
      <c r="I345" s="6" t="n">
        <v>0.5456</v>
      </c>
      <c r="J345" s="6" t="n">
        <v>0.5593</v>
      </c>
      <c r="K345" s="6" t="n">
        <v>0.4655</v>
      </c>
      <c r="L345" s="7">
        <f>Mecanismos!B2*C345</f>
        <v/>
      </c>
      <c r="M345" s="7">
        <f>Mecanismos!B7*D345</f>
        <v/>
      </c>
      <c r="N345" s="7">
        <f>Mecanismos!B4*(1-E345)</f>
        <v/>
      </c>
      <c r="O345" s="7">
        <f>Mecanismos!B5*(1-F345)</f>
        <v/>
      </c>
      <c r="P345" s="7">
        <f>Mecanismos!B6*(1-I345)</f>
        <v/>
      </c>
      <c r="Q345" s="7">
        <f>Mecanismos!B9*(1-G345)</f>
        <v/>
      </c>
      <c r="R345" s="7">
        <f>Mecanismos!B3*(1-D345)</f>
        <v/>
      </c>
      <c r="S345" s="7">
        <f>Mecanismos!B9*(1-J345)</f>
        <v/>
      </c>
      <c r="T345" s="7">
        <f>Mecanismos!B8*H345</f>
        <v/>
      </c>
      <c r="U345" s="7">
        <f>Mecanismos!B10*H345</f>
        <v/>
      </c>
      <c r="V345" s="7">
        <f>Mecanismos!B8*K345</f>
        <v/>
      </c>
      <c r="W345" s="7">
        <f>SUM(L345:S345)</f>
        <v/>
      </c>
      <c r="X345" s="7">
        <f>SUM(T345:V345)</f>
        <v/>
      </c>
      <c r="Y345" s="8">
        <f>MAX(0,MIN(1,Parametros!B2-W345*Parametros!B3+X345*Parametros!B4))</f>
        <v/>
      </c>
    </row>
    <row r="346">
      <c r="A346" t="inlineStr">
        <is>
          <t>1azilz</t>
        </is>
      </c>
      <c r="B346" t="inlineStr">
        <is>
          <t>Maria Laura Barbosa</t>
        </is>
      </c>
      <c r="C346" s="6" t="n">
        <v>0.6199</v>
      </c>
      <c r="D346" s="6" t="n">
        <v>0.3885</v>
      </c>
      <c r="E346" s="6" t="n">
        <v>0.5537</v>
      </c>
      <c r="F346" s="6" t="n">
        <v>0.1855</v>
      </c>
      <c r="G346" s="6" t="n">
        <v>0.3193</v>
      </c>
      <c r="H346" s="6" t="n">
        <v>0.4255</v>
      </c>
      <c r="I346" s="6" t="n">
        <v>0.1683</v>
      </c>
      <c r="J346" s="6" t="n">
        <v>0.4216</v>
      </c>
      <c r="K346" s="6" t="n">
        <v>0.2804</v>
      </c>
      <c r="L346" s="7">
        <f>Mecanismos!B2*C346</f>
        <v/>
      </c>
      <c r="M346" s="7">
        <f>Mecanismos!B7*D346</f>
        <v/>
      </c>
      <c r="N346" s="7">
        <f>Mecanismos!B4*(1-E346)</f>
        <v/>
      </c>
      <c r="O346" s="7">
        <f>Mecanismos!B5*(1-F346)</f>
        <v/>
      </c>
      <c r="P346" s="7">
        <f>Mecanismos!B6*(1-I346)</f>
        <v/>
      </c>
      <c r="Q346" s="7">
        <f>Mecanismos!B9*(1-G346)</f>
        <v/>
      </c>
      <c r="R346" s="7">
        <f>Mecanismos!B3*(1-D346)</f>
        <v/>
      </c>
      <c r="S346" s="7">
        <f>Mecanismos!B9*(1-J346)</f>
        <v/>
      </c>
      <c r="T346" s="7">
        <f>Mecanismos!B8*H346</f>
        <v/>
      </c>
      <c r="U346" s="7">
        <f>Mecanismos!B10*H346</f>
        <v/>
      </c>
      <c r="V346" s="7">
        <f>Mecanismos!B8*K346</f>
        <v/>
      </c>
      <c r="W346" s="7">
        <f>SUM(L346:S346)</f>
        <v/>
      </c>
      <c r="X346" s="7">
        <f>SUM(T346:V346)</f>
        <v/>
      </c>
      <c r="Y346" s="8">
        <f>MAX(0,MIN(1,Parametros!B2-W346*Parametros!B3+X346*Parametros!B4))</f>
        <v/>
      </c>
    </row>
    <row r="347">
      <c r="A347" t="inlineStr">
        <is>
          <t>z15q3g</t>
        </is>
      </c>
      <c r="B347" t="inlineStr">
        <is>
          <t>Maria Laura Cassiano</t>
        </is>
      </c>
      <c r="C347" s="6" t="n">
        <v>0.5182</v>
      </c>
      <c r="D347" s="6" t="n">
        <v>0.5528999999999999</v>
      </c>
      <c r="E347" s="6" t="n">
        <v>0.5566</v>
      </c>
      <c r="F347" s="6" t="n">
        <v>0.5382</v>
      </c>
      <c r="G347" s="6" t="n">
        <v>0.53</v>
      </c>
      <c r="H347" s="6" t="n">
        <v>0.6236</v>
      </c>
      <c r="I347" s="6" t="n">
        <v>0.2124</v>
      </c>
      <c r="J347" s="6" t="n">
        <v>0.8811</v>
      </c>
      <c r="K347" s="6" t="n">
        <v>0.4087</v>
      </c>
      <c r="L347" s="7">
        <f>Mecanismos!B2*C347</f>
        <v/>
      </c>
      <c r="M347" s="7">
        <f>Mecanismos!B7*D347</f>
        <v/>
      </c>
      <c r="N347" s="7">
        <f>Mecanismos!B4*(1-E347)</f>
        <v/>
      </c>
      <c r="O347" s="7">
        <f>Mecanismos!B5*(1-F347)</f>
        <v/>
      </c>
      <c r="P347" s="7">
        <f>Mecanismos!B6*(1-I347)</f>
        <v/>
      </c>
      <c r="Q347" s="7">
        <f>Mecanismos!B9*(1-G347)</f>
        <v/>
      </c>
      <c r="R347" s="7">
        <f>Mecanismos!B3*(1-D347)</f>
        <v/>
      </c>
      <c r="S347" s="7">
        <f>Mecanismos!B9*(1-J347)</f>
        <v/>
      </c>
      <c r="T347" s="7">
        <f>Mecanismos!B8*H347</f>
        <v/>
      </c>
      <c r="U347" s="7">
        <f>Mecanismos!B10*H347</f>
        <v/>
      </c>
      <c r="V347" s="7">
        <f>Mecanismos!B8*K347</f>
        <v/>
      </c>
      <c r="W347" s="7">
        <f>SUM(L347:S347)</f>
        <v/>
      </c>
      <c r="X347" s="7">
        <f>SUM(T347:V347)</f>
        <v/>
      </c>
      <c r="Y347" s="8">
        <f>MAX(0,MIN(1,Parametros!B2-W347*Parametros!B3+X347*Parametros!B4))</f>
        <v/>
      </c>
    </row>
    <row r="348">
      <c r="A348" t="inlineStr">
        <is>
          <t>6jmaf1</t>
        </is>
      </c>
      <c r="B348" t="inlineStr">
        <is>
          <t>Maria Laura Fogaça</t>
        </is>
      </c>
      <c r="C348" s="6" t="n">
        <v>0.7946</v>
      </c>
      <c r="D348" s="6" t="n">
        <v>0.5856</v>
      </c>
      <c r="E348" s="6" t="n">
        <v>0.5381</v>
      </c>
      <c r="F348" s="6" t="n">
        <v>0.3803</v>
      </c>
      <c r="G348" s="6" t="n">
        <v>0.5465</v>
      </c>
      <c r="H348" s="6" t="n">
        <v>0.4635</v>
      </c>
      <c r="I348" s="6" t="n">
        <v>0.3524</v>
      </c>
      <c r="J348" s="6" t="n">
        <v>0.9085</v>
      </c>
      <c r="K348" s="6" t="n">
        <v>0.5971</v>
      </c>
      <c r="L348" s="7">
        <f>Mecanismos!B2*C348</f>
        <v/>
      </c>
      <c r="M348" s="7">
        <f>Mecanismos!B7*D348</f>
        <v/>
      </c>
      <c r="N348" s="7">
        <f>Mecanismos!B4*(1-E348)</f>
        <v/>
      </c>
      <c r="O348" s="7">
        <f>Mecanismos!B5*(1-F348)</f>
        <v/>
      </c>
      <c r="P348" s="7">
        <f>Mecanismos!B6*(1-I348)</f>
        <v/>
      </c>
      <c r="Q348" s="7">
        <f>Mecanismos!B9*(1-G348)</f>
        <v/>
      </c>
      <c r="R348" s="7">
        <f>Mecanismos!B3*(1-D348)</f>
        <v/>
      </c>
      <c r="S348" s="7">
        <f>Mecanismos!B9*(1-J348)</f>
        <v/>
      </c>
      <c r="T348" s="7">
        <f>Mecanismos!B8*H348</f>
        <v/>
      </c>
      <c r="U348" s="7">
        <f>Mecanismos!B10*H348</f>
        <v/>
      </c>
      <c r="V348" s="7">
        <f>Mecanismos!B8*K348</f>
        <v/>
      </c>
      <c r="W348" s="7">
        <f>SUM(L348:S348)</f>
        <v/>
      </c>
      <c r="X348" s="7">
        <f>SUM(T348:V348)</f>
        <v/>
      </c>
      <c r="Y348" s="8">
        <f>MAX(0,MIN(1,Parametros!B2-W348*Parametros!B3+X348*Parametros!B4))</f>
        <v/>
      </c>
    </row>
    <row r="349">
      <c r="A349" t="inlineStr">
        <is>
          <t>0h7q89</t>
        </is>
      </c>
      <c r="B349" t="inlineStr">
        <is>
          <t>Maria Luiza Casa Grande</t>
        </is>
      </c>
      <c r="C349" s="6" t="n">
        <v>0.5503</v>
      </c>
      <c r="D349" s="6" t="n">
        <v>0.6372</v>
      </c>
      <c r="E349" s="6" t="n">
        <v>0.2845</v>
      </c>
      <c r="F349" s="6" t="n">
        <v>0.4996</v>
      </c>
      <c r="G349" s="6" t="n">
        <v>0.4567</v>
      </c>
      <c r="H349" s="6" t="n">
        <v>0.654</v>
      </c>
      <c r="I349" s="6" t="n">
        <v>0.6343</v>
      </c>
      <c r="J349" s="6" t="n">
        <v>0.8575</v>
      </c>
      <c r="K349" s="6" t="n">
        <v>0.5106000000000001</v>
      </c>
      <c r="L349" s="7">
        <f>Mecanismos!B2*C349</f>
        <v/>
      </c>
      <c r="M349" s="7">
        <f>Mecanismos!B7*D349</f>
        <v/>
      </c>
      <c r="N349" s="7">
        <f>Mecanismos!B4*(1-E349)</f>
        <v/>
      </c>
      <c r="O349" s="7">
        <f>Mecanismos!B5*(1-F349)</f>
        <v/>
      </c>
      <c r="P349" s="7">
        <f>Mecanismos!B6*(1-I349)</f>
        <v/>
      </c>
      <c r="Q349" s="7">
        <f>Mecanismos!B9*(1-G349)</f>
        <v/>
      </c>
      <c r="R349" s="7">
        <f>Mecanismos!B3*(1-D349)</f>
        <v/>
      </c>
      <c r="S349" s="7">
        <f>Mecanismos!B9*(1-J349)</f>
        <v/>
      </c>
      <c r="T349" s="7">
        <f>Mecanismos!B8*H349</f>
        <v/>
      </c>
      <c r="U349" s="7">
        <f>Mecanismos!B10*H349</f>
        <v/>
      </c>
      <c r="V349" s="7">
        <f>Mecanismos!B8*K349</f>
        <v/>
      </c>
      <c r="W349" s="7">
        <f>SUM(L349:S349)</f>
        <v/>
      </c>
      <c r="X349" s="7">
        <f>SUM(T349:V349)</f>
        <v/>
      </c>
      <c r="Y349" s="8">
        <f>MAX(0,MIN(1,Parametros!B2-W349*Parametros!B3+X349*Parametros!B4))</f>
        <v/>
      </c>
    </row>
    <row r="350">
      <c r="A350" t="inlineStr">
        <is>
          <t>d9wqoe</t>
        </is>
      </c>
      <c r="B350" t="inlineStr">
        <is>
          <t>Maria Luiza Dias</t>
        </is>
      </c>
      <c r="C350" s="6" t="n">
        <v>0.7956</v>
      </c>
      <c r="D350" s="6" t="n">
        <v>0.3328</v>
      </c>
      <c r="E350" s="6" t="n">
        <v>0.4029</v>
      </c>
      <c r="F350" s="6" t="n">
        <v>0.3981</v>
      </c>
      <c r="G350" s="6" t="n">
        <v>0.2571</v>
      </c>
      <c r="H350" s="6" t="n">
        <v>0.4929</v>
      </c>
      <c r="I350" s="6" t="n">
        <v>0.5739</v>
      </c>
      <c r="J350" s="6" t="n">
        <v>0.325</v>
      </c>
      <c r="K350" s="6" t="n">
        <v>0.5645</v>
      </c>
      <c r="L350" s="7">
        <f>Mecanismos!B2*C350</f>
        <v/>
      </c>
      <c r="M350" s="7">
        <f>Mecanismos!B7*D350</f>
        <v/>
      </c>
      <c r="N350" s="7">
        <f>Mecanismos!B4*(1-E350)</f>
        <v/>
      </c>
      <c r="O350" s="7">
        <f>Mecanismos!B5*(1-F350)</f>
        <v/>
      </c>
      <c r="P350" s="7">
        <f>Mecanismos!B6*(1-I350)</f>
        <v/>
      </c>
      <c r="Q350" s="7">
        <f>Mecanismos!B9*(1-G350)</f>
        <v/>
      </c>
      <c r="R350" s="7">
        <f>Mecanismos!B3*(1-D350)</f>
        <v/>
      </c>
      <c r="S350" s="7">
        <f>Mecanismos!B9*(1-J350)</f>
        <v/>
      </c>
      <c r="T350" s="7">
        <f>Mecanismos!B8*H350</f>
        <v/>
      </c>
      <c r="U350" s="7">
        <f>Mecanismos!B10*H350</f>
        <v/>
      </c>
      <c r="V350" s="7">
        <f>Mecanismos!B8*K350</f>
        <v/>
      </c>
      <c r="W350" s="7">
        <f>SUM(L350:S350)</f>
        <v/>
      </c>
      <c r="X350" s="7">
        <f>SUM(T350:V350)</f>
        <v/>
      </c>
      <c r="Y350" s="8">
        <f>MAX(0,MIN(1,Parametros!B2-W350*Parametros!B3+X350*Parametros!B4))</f>
        <v/>
      </c>
    </row>
    <row r="351">
      <c r="A351" t="inlineStr">
        <is>
          <t>rd1bf9</t>
        </is>
      </c>
      <c r="B351" t="inlineStr">
        <is>
          <t>Maria Luiza Guerra</t>
        </is>
      </c>
      <c r="C351" s="6" t="n">
        <v>0.5714</v>
      </c>
      <c r="D351" s="6" t="n">
        <v>0.3071</v>
      </c>
      <c r="E351" s="6" t="n">
        <v>0.2695</v>
      </c>
      <c r="F351" s="6" t="n">
        <v>0.618</v>
      </c>
      <c r="G351" s="6" t="n">
        <v>0.3031</v>
      </c>
      <c r="H351" s="6" t="n">
        <v>0.5883</v>
      </c>
      <c r="I351" s="6" t="n">
        <v>0.3237</v>
      </c>
      <c r="J351" s="6" t="n">
        <v>0.9123</v>
      </c>
      <c r="K351" s="6" t="n">
        <v>0.4021</v>
      </c>
      <c r="L351" s="7">
        <f>Mecanismos!B2*C351</f>
        <v/>
      </c>
      <c r="M351" s="7">
        <f>Mecanismos!B7*D351</f>
        <v/>
      </c>
      <c r="N351" s="7">
        <f>Mecanismos!B4*(1-E351)</f>
        <v/>
      </c>
      <c r="O351" s="7">
        <f>Mecanismos!B5*(1-F351)</f>
        <v/>
      </c>
      <c r="P351" s="7">
        <f>Mecanismos!B6*(1-I351)</f>
        <v/>
      </c>
      <c r="Q351" s="7">
        <f>Mecanismos!B9*(1-G351)</f>
        <v/>
      </c>
      <c r="R351" s="7">
        <f>Mecanismos!B3*(1-D351)</f>
        <v/>
      </c>
      <c r="S351" s="7">
        <f>Mecanismos!B9*(1-J351)</f>
        <v/>
      </c>
      <c r="T351" s="7">
        <f>Mecanismos!B8*H351</f>
        <v/>
      </c>
      <c r="U351" s="7">
        <f>Mecanismos!B10*H351</f>
        <v/>
      </c>
      <c r="V351" s="7">
        <f>Mecanismos!B8*K351</f>
        <v/>
      </c>
      <c r="W351" s="7">
        <f>SUM(L351:S351)</f>
        <v/>
      </c>
      <c r="X351" s="7">
        <f>SUM(T351:V351)</f>
        <v/>
      </c>
      <c r="Y351" s="8">
        <f>MAX(0,MIN(1,Parametros!B2-W351*Parametros!B3+X351*Parametros!B4))</f>
        <v/>
      </c>
    </row>
    <row r="352">
      <c r="A352" t="inlineStr">
        <is>
          <t>bdfy75</t>
        </is>
      </c>
      <c r="B352" t="inlineStr">
        <is>
          <t>Maria Luiza Lima</t>
        </is>
      </c>
      <c r="C352" s="6" t="n">
        <v>0.5750999999999999</v>
      </c>
      <c r="D352" s="6" t="n">
        <v>0.5082</v>
      </c>
      <c r="E352" s="6" t="n">
        <v>0.5659</v>
      </c>
      <c r="F352" s="6" t="n">
        <v>0.76</v>
      </c>
      <c r="G352" s="6" t="n">
        <v>0.5432</v>
      </c>
      <c r="H352" s="6" t="n">
        <v>0.7763</v>
      </c>
      <c r="I352" s="6" t="n">
        <v>0.5567</v>
      </c>
      <c r="J352" s="6" t="n">
        <v>0.9689</v>
      </c>
      <c r="K352" s="6" t="n">
        <v>0.4488</v>
      </c>
      <c r="L352" s="7">
        <f>Mecanismos!B2*C352</f>
        <v/>
      </c>
      <c r="M352" s="7">
        <f>Mecanismos!B7*D352</f>
        <v/>
      </c>
      <c r="N352" s="7">
        <f>Mecanismos!B4*(1-E352)</f>
        <v/>
      </c>
      <c r="O352" s="7">
        <f>Mecanismos!B5*(1-F352)</f>
        <v/>
      </c>
      <c r="P352" s="7">
        <f>Mecanismos!B6*(1-I352)</f>
        <v/>
      </c>
      <c r="Q352" s="7">
        <f>Mecanismos!B9*(1-G352)</f>
        <v/>
      </c>
      <c r="R352" s="7">
        <f>Mecanismos!B3*(1-D352)</f>
        <v/>
      </c>
      <c r="S352" s="7">
        <f>Mecanismos!B9*(1-J352)</f>
        <v/>
      </c>
      <c r="T352" s="7">
        <f>Mecanismos!B8*H352</f>
        <v/>
      </c>
      <c r="U352" s="7">
        <f>Mecanismos!B10*H352</f>
        <v/>
      </c>
      <c r="V352" s="7">
        <f>Mecanismos!B8*K352</f>
        <v/>
      </c>
      <c r="W352" s="7">
        <f>SUM(L352:S352)</f>
        <v/>
      </c>
      <c r="X352" s="7">
        <f>SUM(T352:V352)</f>
        <v/>
      </c>
      <c r="Y352" s="8">
        <f>MAX(0,MIN(1,Parametros!B2-W352*Parametros!B3+X352*Parametros!B4))</f>
        <v/>
      </c>
    </row>
    <row r="353">
      <c r="A353" t="inlineStr">
        <is>
          <t>tba1gj</t>
        </is>
      </c>
      <c r="B353" t="inlineStr">
        <is>
          <t>Maria Luísa Nunes</t>
        </is>
      </c>
      <c r="C353" s="6" t="n">
        <v>0.6761</v>
      </c>
      <c r="D353" s="6" t="n">
        <v>0.8363</v>
      </c>
      <c r="E353" s="6" t="n">
        <v>0.4037</v>
      </c>
      <c r="F353" s="6" t="n">
        <v>0.7227</v>
      </c>
      <c r="G353" s="6" t="n">
        <v>0.3479</v>
      </c>
      <c r="H353" s="6" t="n">
        <v>0.6088</v>
      </c>
      <c r="I353" s="6" t="n">
        <v>0.7926</v>
      </c>
      <c r="J353" s="6" t="n">
        <v>0.6636</v>
      </c>
      <c r="K353" s="6" t="n">
        <v>0.3564</v>
      </c>
      <c r="L353" s="7">
        <f>Mecanismos!B2*C353</f>
        <v/>
      </c>
      <c r="M353" s="7">
        <f>Mecanismos!B7*D353</f>
        <v/>
      </c>
      <c r="N353" s="7">
        <f>Mecanismos!B4*(1-E353)</f>
        <v/>
      </c>
      <c r="O353" s="7">
        <f>Mecanismos!B5*(1-F353)</f>
        <v/>
      </c>
      <c r="P353" s="7">
        <f>Mecanismos!B6*(1-I353)</f>
        <v/>
      </c>
      <c r="Q353" s="7">
        <f>Mecanismos!B9*(1-G353)</f>
        <v/>
      </c>
      <c r="R353" s="7">
        <f>Mecanismos!B3*(1-D353)</f>
        <v/>
      </c>
      <c r="S353" s="7">
        <f>Mecanismos!B9*(1-J353)</f>
        <v/>
      </c>
      <c r="T353" s="7">
        <f>Mecanismos!B8*H353</f>
        <v/>
      </c>
      <c r="U353" s="7">
        <f>Mecanismos!B10*H353</f>
        <v/>
      </c>
      <c r="V353" s="7">
        <f>Mecanismos!B8*K353</f>
        <v/>
      </c>
      <c r="W353" s="7">
        <f>SUM(L353:S353)</f>
        <v/>
      </c>
      <c r="X353" s="7">
        <f>SUM(T353:V353)</f>
        <v/>
      </c>
      <c r="Y353" s="8">
        <f>MAX(0,MIN(1,Parametros!B2-W353*Parametros!B3+X353*Parametros!B4))</f>
        <v/>
      </c>
    </row>
    <row r="354">
      <c r="A354" t="inlineStr">
        <is>
          <t>gyoe5k</t>
        </is>
      </c>
      <c r="B354" t="inlineStr">
        <is>
          <t>Maria Luísa Sá</t>
        </is>
      </c>
      <c r="C354" s="6" t="n">
        <v>0.5794</v>
      </c>
      <c r="D354" s="6" t="n">
        <v>0.4188</v>
      </c>
      <c r="E354" s="6" t="n">
        <v>0.4773</v>
      </c>
      <c r="F354" s="6" t="n">
        <v>0.5839</v>
      </c>
      <c r="G354" s="6" t="n">
        <v>0.4696</v>
      </c>
      <c r="H354" s="6" t="n">
        <v>0.6622</v>
      </c>
      <c r="I354" s="6" t="n">
        <v>0.5164</v>
      </c>
      <c r="J354" s="6" t="n">
        <v>0.7346</v>
      </c>
      <c r="K354" s="6" t="n">
        <v>0.7444</v>
      </c>
      <c r="L354" s="7">
        <f>Mecanismos!B2*C354</f>
        <v/>
      </c>
      <c r="M354" s="7">
        <f>Mecanismos!B7*D354</f>
        <v/>
      </c>
      <c r="N354" s="7">
        <f>Mecanismos!B4*(1-E354)</f>
        <v/>
      </c>
      <c r="O354" s="7">
        <f>Mecanismos!B5*(1-F354)</f>
        <v/>
      </c>
      <c r="P354" s="7">
        <f>Mecanismos!B6*(1-I354)</f>
        <v/>
      </c>
      <c r="Q354" s="7">
        <f>Mecanismos!B9*(1-G354)</f>
        <v/>
      </c>
      <c r="R354" s="7">
        <f>Mecanismos!B3*(1-D354)</f>
        <v/>
      </c>
      <c r="S354" s="7">
        <f>Mecanismos!B9*(1-J354)</f>
        <v/>
      </c>
      <c r="T354" s="7">
        <f>Mecanismos!B8*H354</f>
        <v/>
      </c>
      <c r="U354" s="7">
        <f>Mecanismos!B10*H354</f>
        <v/>
      </c>
      <c r="V354" s="7">
        <f>Mecanismos!B8*K354</f>
        <v/>
      </c>
      <c r="W354" s="7">
        <f>SUM(L354:S354)</f>
        <v/>
      </c>
      <c r="X354" s="7">
        <f>SUM(T354:V354)</f>
        <v/>
      </c>
      <c r="Y354" s="8">
        <f>MAX(0,MIN(1,Parametros!B2-W354*Parametros!B3+X354*Parametros!B4))</f>
        <v/>
      </c>
    </row>
    <row r="355">
      <c r="A355" t="inlineStr">
        <is>
          <t>a1fwgi</t>
        </is>
      </c>
      <c r="B355" t="inlineStr">
        <is>
          <t>Maria Sophia Duarte</t>
        </is>
      </c>
      <c r="C355" s="6" t="n">
        <v>0.5427</v>
      </c>
      <c r="D355" s="6" t="n">
        <v>0.4098</v>
      </c>
      <c r="E355" s="6" t="n">
        <v>0.3239</v>
      </c>
      <c r="F355" s="6" t="n">
        <v>0.4325</v>
      </c>
      <c r="G355" s="6" t="n">
        <v>0.3969</v>
      </c>
      <c r="H355" s="6" t="n">
        <v>0.3722</v>
      </c>
      <c r="I355" s="6" t="n">
        <v>0.5508999999999999</v>
      </c>
      <c r="J355" s="6" t="n">
        <v>0.7327</v>
      </c>
      <c r="K355" s="6" t="n">
        <v>0.2989</v>
      </c>
      <c r="L355" s="7">
        <f>Mecanismos!B2*C355</f>
        <v/>
      </c>
      <c r="M355" s="7">
        <f>Mecanismos!B7*D355</f>
        <v/>
      </c>
      <c r="N355" s="7">
        <f>Mecanismos!B4*(1-E355)</f>
        <v/>
      </c>
      <c r="O355" s="7">
        <f>Mecanismos!B5*(1-F355)</f>
        <v/>
      </c>
      <c r="P355" s="7">
        <f>Mecanismos!B6*(1-I355)</f>
        <v/>
      </c>
      <c r="Q355" s="7">
        <f>Mecanismos!B9*(1-G355)</f>
        <v/>
      </c>
      <c r="R355" s="7">
        <f>Mecanismos!B3*(1-D355)</f>
        <v/>
      </c>
      <c r="S355" s="7">
        <f>Mecanismos!B9*(1-J355)</f>
        <v/>
      </c>
      <c r="T355" s="7">
        <f>Mecanismos!B8*H355</f>
        <v/>
      </c>
      <c r="U355" s="7">
        <f>Mecanismos!B10*H355</f>
        <v/>
      </c>
      <c r="V355" s="7">
        <f>Mecanismos!B8*K355</f>
        <v/>
      </c>
      <c r="W355" s="7">
        <f>SUM(L355:S355)</f>
        <v/>
      </c>
      <c r="X355" s="7">
        <f>SUM(T355:V355)</f>
        <v/>
      </c>
      <c r="Y355" s="8">
        <f>MAX(0,MIN(1,Parametros!B2-W355*Parametros!B3+X355*Parametros!B4))</f>
        <v/>
      </c>
    </row>
    <row r="356">
      <c r="A356" t="inlineStr">
        <is>
          <t>n64l11</t>
        </is>
      </c>
      <c r="B356" t="inlineStr">
        <is>
          <t>Maria Sophia Marques</t>
        </is>
      </c>
      <c r="C356" s="6" t="n">
        <v>0.8103</v>
      </c>
      <c r="D356" s="6" t="n">
        <v>0.2686</v>
      </c>
      <c r="E356" s="6" t="n">
        <v>0.7382</v>
      </c>
      <c r="F356" s="6" t="n">
        <v>0.6804</v>
      </c>
      <c r="G356" s="6" t="n">
        <v>0.2505</v>
      </c>
      <c r="H356" s="6" t="n">
        <v>0.5722</v>
      </c>
      <c r="I356" s="6" t="n">
        <v>0.2587</v>
      </c>
      <c r="J356" s="6" t="n">
        <v>0.444</v>
      </c>
      <c r="K356" s="6" t="n">
        <v>0.7381</v>
      </c>
      <c r="L356" s="7">
        <f>Mecanismos!B2*C356</f>
        <v/>
      </c>
      <c r="M356" s="7">
        <f>Mecanismos!B7*D356</f>
        <v/>
      </c>
      <c r="N356" s="7">
        <f>Mecanismos!B4*(1-E356)</f>
        <v/>
      </c>
      <c r="O356" s="7">
        <f>Mecanismos!B5*(1-F356)</f>
        <v/>
      </c>
      <c r="P356" s="7">
        <f>Mecanismos!B6*(1-I356)</f>
        <v/>
      </c>
      <c r="Q356" s="7">
        <f>Mecanismos!B9*(1-G356)</f>
        <v/>
      </c>
      <c r="R356" s="7">
        <f>Mecanismos!B3*(1-D356)</f>
        <v/>
      </c>
      <c r="S356" s="7">
        <f>Mecanismos!B9*(1-J356)</f>
        <v/>
      </c>
      <c r="T356" s="7">
        <f>Mecanismos!B8*H356</f>
        <v/>
      </c>
      <c r="U356" s="7">
        <f>Mecanismos!B10*H356</f>
        <v/>
      </c>
      <c r="V356" s="7">
        <f>Mecanismos!B8*K356</f>
        <v/>
      </c>
      <c r="W356" s="7">
        <f>SUM(L356:S356)</f>
        <v/>
      </c>
      <c r="X356" s="7">
        <f>SUM(T356:V356)</f>
        <v/>
      </c>
      <c r="Y356" s="8">
        <f>MAX(0,MIN(1,Parametros!B2-W356*Parametros!B3+X356*Parametros!B4))</f>
        <v/>
      </c>
    </row>
    <row r="357">
      <c r="A357" t="inlineStr">
        <is>
          <t>6yxn71</t>
        </is>
      </c>
      <c r="B357" t="inlineStr">
        <is>
          <t>Maria Sophia Pereira</t>
        </is>
      </c>
      <c r="C357" s="6" t="n">
        <v>0.5499000000000001</v>
      </c>
      <c r="D357" s="6" t="n">
        <v>0.3848</v>
      </c>
      <c r="E357" s="6" t="n">
        <v>0.5884</v>
      </c>
      <c r="F357" s="6" t="n">
        <v>0.6249</v>
      </c>
      <c r="G357" s="6" t="n">
        <v>0.4721</v>
      </c>
      <c r="H357" s="6" t="n">
        <v>0.5914</v>
      </c>
      <c r="I357" s="6" t="n">
        <v>0.3815</v>
      </c>
      <c r="J357" s="6" t="n">
        <v>0.7153</v>
      </c>
      <c r="K357" s="6" t="n">
        <v>0.4091</v>
      </c>
      <c r="L357" s="7">
        <f>Mecanismos!B2*C357</f>
        <v/>
      </c>
      <c r="M357" s="7">
        <f>Mecanismos!B7*D357</f>
        <v/>
      </c>
      <c r="N357" s="7">
        <f>Mecanismos!B4*(1-E357)</f>
        <v/>
      </c>
      <c r="O357" s="7">
        <f>Mecanismos!B5*(1-F357)</f>
        <v/>
      </c>
      <c r="P357" s="7">
        <f>Mecanismos!B6*(1-I357)</f>
        <v/>
      </c>
      <c r="Q357" s="7">
        <f>Mecanismos!B9*(1-G357)</f>
        <v/>
      </c>
      <c r="R357" s="7">
        <f>Mecanismos!B3*(1-D357)</f>
        <v/>
      </c>
      <c r="S357" s="7">
        <f>Mecanismos!B9*(1-J357)</f>
        <v/>
      </c>
      <c r="T357" s="7">
        <f>Mecanismos!B8*H357</f>
        <v/>
      </c>
      <c r="U357" s="7">
        <f>Mecanismos!B10*H357</f>
        <v/>
      </c>
      <c r="V357" s="7">
        <f>Mecanismos!B8*K357</f>
        <v/>
      </c>
      <c r="W357" s="7">
        <f>SUM(L357:S357)</f>
        <v/>
      </c>
      <c r="X357" s="7">
        <f>SUM(T357:V357)</f>
        <v/>
      </c>
      <c r="Y357" s="8">
        <f>MAX(0,MIN(1,Parametros!B2-W357*Parametros!B3+X357*Parametros!B4))</f>
        <v/>
      </c>
    </row>
    <row r="358">
      <c r="A358" t="inlineStr">
        <is>
          <t>d3h6cy</t>
        </is>
      </c>
      <c r="B358" t="inlineStr">
        <is>
          <t>Maria Vitória Câmara</t>
        </is>
      </c>
      <c r="C358" s="6" t="n">
        <v>0.7105</v>
      </c>
      <c r="D358" s="6" t="n">
        <v>0.5198</v>
      </c>
      <c r="E358" s="6" t="n">
        <v>0.8017</v>
      </c>
      <c r="F358" s="6" t="n">
        <v>0.4886</v>
      </c>
      <c r="G358" s="6" t="n">
        <v>0.1631</v>
      </c>
      <c r="H358" s="6" t="n">
        <v>0.5567</v>
      </c>
      <c r="I358" s="6" t="n">
        <v>0.4385</v>
      </c>
      <c r="J358" s="6" t="n">
        <v>0.67</v>
      </c>
      <c r="K358" s="6" t="n">
        <v>0.5174</v>
      </c>
      <c r="L358" s="7">
        <f>Mecanismos!B2*C358</f>
        <v/>
      </c>
      <c r="M358" s="7">
        <f>Mecanismos!B7*D358</f>
        <v/>
      </c>
      <c r="N358" s="7">
        <f>Mecanismos!B4*(1-E358)</f>
        <v/>
      </c>
      <c r="O358" s="7">
        <f>Mecanismos!B5*(1-F358)</f>
        <v/>
      </c>
      <c r="P358" s="7">
        <f>Mecanismos!B6*(1-I358)</f>
        <v/>
      </c>
      <c r="Q358" s="7">
        <f>Mecanismos!B9*(1-G358)</f>
        <v/>
      </c>
      <c r="R358" s="7">
        <f>Mecanismos!B3*(1-D358)</f>
        <v/>
      </c>
      <c r="S358" s="7">
        <f>Mecanismos!B9*(1-J358)</f>
        <v/>
      </c>
      <c r="T358" s="7">
        <f>Mecanismos!B8*H358</f>
        <v/>
      </c>
      <c r="U358" s="7">
        <f>Mecanismos!B10*H358</f>
        <v/>
      </c>
      <c r="V358" s="7">
        <f>Mecanismos!B8*K358</f>
        <v/>
      </c>
      <c r="W358" s="7">
        <f>SUM(L358:S358)</f>
        <v/>
      </c>
      <c r="X358" s="7">
        <f>SUM(T358:V358)</f>
        <v/>
      </c>
      <c r="Y358" s="8">
        <f>MAX(0,MIN(1,Parametros!B2-W358*Parametros!B3+X358*Parametros!B4))</f>
        <v/>
      </c>
    </row>
    <row r="359">
      <c r="A359" t="inlineStr">
        <is>
          <t>vb9g46</t>
        </is>
      </c>
      <c r="B359" t="inlineStr">
        <is>
          <t>Maria Vitória Duarte</t>
        </is>
      </c>
      <c r="C359" s="6" t="n">
        <v>0.4179</v>
      </c>
      <c r="D359" s="6" t="n">
        <v>0.3695</v>
      </c>
      <c r="E359" s="6" t="n">
        <v>0.6002999999999999</v>
      </c>
      <c r="F359" s="6" t="n">
        <v>0.6804</v>
      </c>
      <c r="G359" s="6" t="n">
        <v>0.4248</v>
      </c>
      <c r="H359" s="6" t="n">
        <v>0.5682</v>
      </c>
      <c r="I359" s="6" t="n">
        <v>0.4237</v>
      </c>
      <c r="J359" s="6" t="n">
        <v>0.7665</v>
      </c>
      <c r="K359" s="6" t="n">
        <v>0.3439</v>
      </c>
      <c r="L359" s="7">
        <f>Mecanismos!B2*C359</f>
        <v/>
      </c>
      <c r="M359" s="7">
        <f>Mecanismos!B7*D359</f>
        <v/>
      </c>
      <c r="N359" s="7">
        <f>Mecanismos!B4*(1-E359)</f>
        <v/>
      </c>
      <c r="O359" s="7">
        <f>Mecanismos!B5*(1-F359)</f>
        <v/>
      </c>
      <c r="P359" s="7">
        <f>Mecanismos!B6*(1-I359)</f>
        <v/>
      </c>
      <c r="Q359" s="7">
        <f>Mecanismos!B9*(1-G359)</f>
        <v/>
      </c>
      <c r="R359" s="7">
        <f>Mecanismos!B3*(1-D359)</f>
        <v/>
      </c>
      <c r="S359" s="7">
        <f>Mecanismos!B9*(1-J359)</f>
        <v/>
      </c>
      <c r="T359" s="7">
        <f>Mecanismos!B8*H359</f>
        <v/>
      </c>
      <c r="U359" s="7">
        <f>Mecanismos!B10*H359</f>
        <v/>
      </c>
      <c r="V359" s="7">
        <f>Mecanismos!B8*K359</f>
        <v/>
      </c>
      <c r="W359" s="7">
        <f>SUM(L359:S359)</f>
        <v/>
      </c>
      <c r="X359" s="7">
        <f>SUM(T359:V359)</f>
        <v/>
      </c>
      <c r="Y359" s="8">
        <f>MAX(0,MIN(1,Parametros!B2-W359*Parametros!B3+X359*Parametros!B4))</f>
        <v/>
      </c>
    </row>
    <row r="360">
      <c r="A360" t="inlineStr">
        <is>
          <t>dzgznx</t>
        </is>
      </c>
      <c r="B360" t="inlineStr">
        <is>
          <t>Maria Vitória Pastor</t>
        </is>
      </c>
      <c r="C360" s="6" t="n">
        <v>0.5365</v>
      </c>
      <c r="D360" s="6" t="n">
        <v>0.5298</v>
      </c>
      <c r="E360" s="6" t="n">
        <v>0.3212</v>
      </c>
      <c r="F360" s="6" t="n">
        <v>0.5713</v>
      </c>
      <c r="G360" s="6" t="n">
        <v>0.4799</v>
      </c>
      <c r="H360" s="6" t="n">
        <v>0.5427999999999999</v>
      </c>
      <c r="I360" s="6" t="n">
        <v>0.6749000000000001</v>
      </c>
      <c r="J360" s="6" t="n">
        <v>0.885</v>
      </c>
      <c r="K360" s="6" t="n">
        <v>0.5554</v>
      </c>
      <c r="L360" s="7">
        <f>Mecanismos!B2*C360</f>
        <v/>
      </c>
      <c r="M360" s="7">
        <f>Mecanismos!B7*D360</f>
        <v/>
      </c>
      <c r="N360" s="7">
        <f>Mecanismos!B4*(1-E360)</f>
        <v/>
      </c>
      <c r="O360" s="7">
        <f>Mecanismos!B5*(1-F360)</f>
        <v/>
      </c>
      <c r="P360" s="7">
        <f>Mecanismos!B6*(1-I360)</f>
        <v/>
      </c>
      <c r="Q360" s="7">
        <f>Mecanismos!B9*(1-G360)</f>
        <v/>
      </c>
      <c r="R360" s="7">
        <f>Mecanismos!B3*(1-D360)</f>
        <v/>
      </c>
      <c r="S360" s="7">
        <f>Mecanismos!B9*(1-J360)</f>
        <v/>
      </c>
      <c r="T360" s="7">
        <f>Mecanismos!B8*H360</f>
        <v/>
      </c>
      <c r="U360" s="7">
        <f>Mecanismos!B10*H360</f>
        <v/>
      </c>
      <c r="V360" s="7">
        <f>Mecanismos!B8*K360</f>
        <v/>
      </c>
      <c r="W360" s="7">
        <f>SUM(L360:S360)</f>
        <v/>
      </c>
      <c r="X360" s="7">
        <f>SUM(T360:V360)</f>
        <v/>
      </c>
      <c r="Y360" s="8">
        <f>MAX(0,MIN(1,Parametros!B2-W360*Parametros!B3+X360*Parametros!B4))</f>
        <v/>
      </c>
    </row>
    <row r="361">
      <c r="A361" t="inlineStr">
        <is>
          <t>1o97zo</t>
        </is>
      </c>
      <c r="B361" t="inlineStr">
        <is>
          <t>Mariah Cavalcante</t>
        </is>
      </c>
      <c r="C361" s="6" t="n">
        <v>0.7432</v>
      </c>
      <c r="D361" s="6" t="n">
        <v>0.4078</v>
      </c>
      <c r="E361" s="6" t="n">
        <v>0.6209</v>
      </c>
      <c r="F361" s="6" t="n">
        <v>0.6832</v>
      </c>
      <c r="G361" s="6" t="n">
        <v>0.5602</v>
      </c>
      <c r="H361" s="6" t="n">
        <v>0.7511</v>
      </c>
      <c r="I361" s="6" t="n">
        <v>0.3098</v>
      </c>
      <c r="J361" s="6" t="n">
        <v>0.7307</v>
      </c>
      <c r="K361" s="6" t="n">
        <v>0.6325</v>
      </c>
      <c r="L361" s="7">
        <f>Mecanismos!B2*C361</f>
        <v/>
      </c>
      <c r="M361" s="7">
        <f>Mecanismos!B7*D361</f>
        <v/>
      </c>
      <c r="N361" s="7">
        <f>Mecanismos!B4*(1-E361)</f>
        <v/>
      </c>
      <c r="O361" s="7">
        <f>Mecanismos!B5*(1-F361)</f>
        <v/>
      </c>
      <c r="P361" s="7">
        <f>Mecanismos!B6*(1-I361)</f>
        <v/>
      </c>
      <c r="Q361" s="7">
        <f>Mecanismos!B9*(1-G361)</f>
        <v/>
      </c>
      <c r="R361" s="7">
        <f>Mecanismos!B3*(1-D361)</f>
        <v/>
      </c>
      <c r="S361" s="7">
        <f>Mecanismos!B9*(1-J361)</f>
        <v/>
      </c>
      <c r="T361" s="7">
        <f>Mecanismos!B8*H361</f>
        <v/>
      </c>
      <c r="U361" s="7">
        <f>Mecanismos!B10*H361</f>
        <v/>
      </c>
      <c r="V361" s="7">
        <f>Mecanismos!B8*K361</f>
        <v/>
      </c>
      <c r="W361" s="7">
        <f>SUM(L361:S361)</f>
        <v/>
      </c>
      <c r="X361" s="7">
        <f>SUM(T361:V361)</f>
        <v/>
      </c>
      <c r="Y361" s="8">
        <f>MAX(0,MIN(1,Parametros!B2-W361*Parametros!B3+X361*Parametros!B4))</f>
        <v/>
      </c>
    </row>
    <row r="362">
      <c r="A362" t="inlineStr">
        <is>
          <t>vytflv</t>
        </is>
      </c>
      <c r="B362" t="inlineStr">
        <is>
          <t>Mariah Guerra</t>
        </is>
      </c>
      <c r="C362" s="6" t="n">
        <v>0.5367</v>
      </c>
      <c r="D362" s="6" t="n">
        <v>0.5424</v>
      </c>
      <c r="E362" s="6" t="n">
        <v>0.4836</v>
      </c>
      <c r="F362" s="6" t="n">
        <v>0.5047</v>
      </c>
      <c r="G362" s="6" t="n">
        <v>0.5376</v>
      </c>
      <c r="H362" s="6" t="n">
        <v>0.5732</v>
      </c>
      <c r="I362" s="6" t="n">
        <v>0.3328</v>
      </c>
      <c r="J362" s="6" t="n">
        <v>0.9414</v>
      </c>
      <c r="K362" s="6" t="n">
        <v>0.5182</v>
      </c>
      <c r="L362" s="7">
        <f>Mecanismos!B2*C362</f>
        <v/>
      </c>
      <c r="M362" s="7">
        <f>Mecanismos!B7*D362</f>
        <v/>
      </c>
      <c r="N362" s="7">
        <f>Mecanismos!B4*(1-E362)</f>
        <v/>
      </c>
      <c r="O362" s="7">
        <f>Mecanismos!B5*(1-F362)</f>
        <v/>
      </c>
      <c r="P362" s="7">
        <f>Mecanismos!B6*(1-I362)</f>
        <v/>
      </c>
      <c r="Q362" s="7">
        <f>Mecanismos!B9*(1-G362)</f>
        <v/>
      </c>
      <c r="R362" s="7">
        <f>Mecanismos!B3*(1-D362)</f>
        <v/>
      </c>
      <c r="S362" s="7">
        <f>Mecanismos!B9*(1-J362)</f>
        <v/>
      </c>
      <c r="T362" s="7">
        <f>Mecanismos!B8*H362</f>
        <v/>
      </c>
      <c r="U362" s="7">
        <f>Mecanismos!B10*H362</f>
        <v/>
      </c>
      <c r="V362" s="7">
        <f>Mecanismos!B8*K362</f>
        <v/>
      </c>
      <c r="W362" s="7">
        <f>SUM(L362:S362)</f>
        <v/>
      </c>
      <c r="X362" s="7">
        <f>SUM(T362:V362)</f>
        <v/>
      </c>
      <c r="Y362" s="8">
        <f>MAX(0,MIN(1,Parametros!B2-W362*Parametros!B3+X362*Parametros!B4))</f>
        <v/>
      </c>
    </row>
    <row r="363">
      <c r="A363" t="inlineStr">
        <is>
          <t>2n9tzl</t>
        </is>
      </c>
      <c r="B363" t="inlineStr">
        <is>
          <t>Mariah Leão</t>
        </is>
      </c>
      <c r="C363" s="6" t="n">
        <v>0.4436</v>
      </c>
      <c r="D363" s="6" t="n">
        <v>0.5228</v>
      </c>
      <c r="E363" s="6" t="n">
        <v>0.5943000000000001</v>
      </c>
      <c r="F363" s="6" t="n">
        <v>0.623</v>
      </c>
      <c r="G363" s="6" t="n">
        <v>0.2964</v>
      </c>
      <c r="H363" s="6" t="n">
        <v>0.3491</v>
      </c>
      <c r="I363" s="6" t="n">
        <v>0.6106</v>
      </c>
      <c r="J363" s="6" t="n">
        <v>0.8387</v>
      </c>
      <c r="K363" s="6" t="n">
        <v>0.2312</v>
      </c>
      <c r="L363" s="7">
        <f>Mecanismos!B2*C363</f>
        <v/>
      </c>
      <c r="M363" s="7">
        <f>Mecanismos!B7*D363</f>
        <v/>
      </c>
      <c r="N363" s="7">
        <f>Mecanismos!B4*(1-E363)</f>
        <v/>
      </c>
      <c r="O363" s="7">
        <f>Mecanismos!B5*(1-F363)</f>
        <v/>
      </c>
      <c r="P363" s="7">
        <f>Mecanismos!B6*(1-I363)</f>
        <v/>
      </c>
      <c r="Q363" s="7">
        <f>Mecanismos!B9*(1-G363)</f>
        <v/>
      </c>
      <c r="R363" s="7">
        <f>Mecanismos!B3*(1-D363)</f>
        <v/>
      </c>
      <c r="S363" s="7">
        <f>Mecanismos!B9*(1-J363)</f>
        <v/>
      </c>
      <c r="T363" s="7">
        <f>Mecanismos!B8*H363</f>
        <v/>
      </c>
      <c r="U363" s="7">
        <f>Mecanismos!B10*H363</f>
        <v/>
      </c>
      <c r="V363" s="7">
        <f>Mecanismos!B8*K363</f>
        <v/>
      </c>
      <c r="W363" s="7">
        <f>SUM(L363:S363)</f>
        <v/>
      </c>
      <c r="X363" s="7">
        <f>SUM(T363:V363)</f>
        <v/>
      </c>
      <c r="Y363" s="8">
        <f>MAX(0,MIN(1,Parametros!B2-W363*Parametros!B3+X363*Parametros!B4))</f>
        <v/>
      </c>
    </row>
    <row r="364">
      <c r="A364" t="inlineStr">
        <is>
          <t>32g5s0</t>
        </is>
      </c>
      <c r="B364" t="inlineStr">
        <is>
          <t>Mariana Cavalcanti</t>
        </is>
      </c>
      <c r="C364" s="6" t="n">
        <v>0.8270999999999999</v>
      </c>
      <c r="D364" s="6" t="n">
        <v>0.5561</v>
      </c>
      <c r="E364" s="6" t="n">
        <v>0.6274999999999999</v>
      </c>
      <c r="F364" s="6" t="n">
        <v>0.3994</v>
      </c>
      <c r="G364" s="6" t="n">
        <v>0.2132</v>
      </c>
      <c r="H364" s="6" t="n">
        <v>0.5137</v>
      </c>
      <c r="I364" s="6" t="n">
        <v>0.09039999999999999</v>
      </c>
      <c r="J364" s="6" t="n">
        <v>0.7078</v>
      </c>
      <c r="K364" s="6" t="n">
        <v>0.4685</v>
      </c>
      <c r="L364" s="7">
        <f>Mecanismos!B2*C364</f>
        <v/>
      </c>
      <c r="M364" s="7">
        <f>Mecanismos!B7*D364</f>
        <v/>
      </c>
      <c r="N364" s="7">
        <f>Mecanismos!B4*(1-E364)</f>
        <v/>
      </c>
      <c r="O364" s="7">
        <f>Mecanismos!B5*(1-F364)</f>
        <v/>
      </c>
      <c r="P364" s="7">
        <f>Mecanismos!B6*(1-I364)</f>
        <v/>
      </c>
      <c r="Q364" s="7">
        <f>Mecanismos!B9*(1-G364)</f>
        <v/>
      </c>
      <c r="R364" s="7">
        <f>Mecanismos!B3*(1-D364)</f>
        <v/>
      </c>
      <c r="S364" s="7">
        <f>Mecanismos!B9*(1-J364)</f>
        <v/>
      </c>
      <c r="T364" s="7">
        <f>Mecanismos!B8*H364</f>
        <v/>
      </c>
      <c r="U364" s="7">
        <f>Mecanismos!B10*H364</f>
        <v/>
      </c>
      <c r="V364" s="7">
        <f>Mecanismos!B8*K364</f>
        <v/>
      </c>
      <c r="W364" s="7">
        <f>SUM(L364:S364)</f>
        <v/>
      </c>
      <c r="X364" s="7">
        <f>SUM(T364:V364)</f>
        <v/>
      </c>
      <c r="Y364" s="8">
        <f>MAX(0,MIN(1,Parametros!B2-W364*Parametros!B3+X364*Parametros!B4))</f>
        <v/>
      </c>
    </row>
    <row r="365">
      <c r="A365" t="inlineStr">
        <is>
          <t>z84bcd</t>
        </is>
      </c>
      <c r="B365" t="inlineStr">
        <is>
          <t>Mariana Moraes</t>
        </is>
      </c>
      <c r="C365" s="6" t="n">
        <v>0.4716</v>
      </c>
      <c r="D365" s="6" t="n">
        <v>0.516</v>
      </c>
      <c r="E365" s="6" t="n">
        <v>0.3702</v>
      </c>
      <c r="F365" s="6" t="n">
        <v>0.611</v>
      </c>
      <c r="G365" s="6" t="n">
        <v>0.3607</v>
      </c>
      <c r="H365" s="6" t="n">
        <v>0.7058</v>
      </c>
      <c r="I365" s="6" t="n">
        <v>0.4961</v>
      </c>
      <c r="J365" s="6" t="n">
        <v>0.6405</v>
      </c>
      <c r="K365" s="6" t="n">
        <v>0.2825</v>
      </c>
      <c r="L365" s="7">
        <f>Mecanismos!B2*C365</f>
        <v/>
      </c>
      <c r="M365" s="7">
        <f>Mecanismos!B7*D365</f>
        <v/>
      </c>
      <c r="N365" s="7">
        <f>Mecanismos!B4*(1-E365)</f>
        <v/>
      </c>
      <c r="O365" s="7">
        <f>Mecanismos!B5*(1-F365)</f>
        <v/>
      </c>
      <c r="P365" s="7">
        <f>Mecanismos!B6*(1-I365)</f>
        <v/>
      </c>
      <c r="Q365" s="7">
        <f>Mecanismos!B9*(1-G365)</f>
        <v/>
      </c>
      <c r="R365" s="7">
        <f>Mecanismos!B3*(1-D365)</f>
        <v/>
      </c>
      <c r="S365" s="7">
        <f>Mecanismos!B9*(1-J365)</f>
        <v/>
      </c>
      <c r="T365" s="7">
        <f>Mecanismos!B8*H365</f>
        <v/>
      </c>
      <c r="U365" s="7">
        <f>Mecanismos!B10*H365</f>
        <v/>
      </c>
      <c r="V365" s="7">
        <f>Mecanismos!B8*K365</f>
        <v/>
      </c>
      <c r="W365" s="7">
        <f>SUM(L365:S365)</f>
        <v/>
      </c>
      <c r="X365" s="7">
        <f>SUM(T365:V365)</f>
        <v/>
      </c>
      <c r="Y365" s="8">
        <f>MAX(0,MIN(1,Parametros!B2-W365*Parametros!B3+X365*Parametros!B4))</f>
        <v/>
      </c>
    </row>
    <row r="366">
      <c r="A366" t="inlineStr">
        <is>
          <t>65vui1</t>
        </is>
      </c>
      <c r="B366" t="inlineStr">
        <is>
          <t>Mariana Ribeiro</t>
        </is>
      </c>
      <c r="C366" s="6" t="n">
        <v>0.3306</v>
      </c>
      <c r="D366" s="6" t="n">
        <v>0.4531</v>
      </c>
      <c r="E366" s="6" t="n">
        <v>0.6818</v>
      </c>
      <c r="F366" s="6" t="n">
        <v>0.5949</v>
      </c>
      <c r="G366" s="6" t="n">
        <v>0.3044</v>
      </c>
      <c r="H366" s="6" t="n">
        <v>0.5289</v>
      </c>
      <c r="I366" s="6" t="n">
        <v>0.4903</v>
      </c>
      <c r="J366" s="6" t="n">
        <v>0.8401</v>
      </c>
      <c r="K366" s="6" t="n">
        <v>0.3023</v>
      </c>
      <c r="L366" s="7">
        <f>Mecanismos!B2*C366</f>
        <v/>
      </c>
      <c r="M366" s="7">
        <f>Mecanismos!B7*D366</f>
        <v/>
      </c>
      <c r="N366" s="7">
        <f>Mecanismos!B4*(1-E366)</f>
        <v/>
      </c>
      <c r="O366" s="7">
        <f>Mecanismos!B5*(1-F366)</f>
        <v/>
      </c>
      <c r="P366" s="7">
        <f>Mecanismos!B6*(1-I366)</f>
        <v/>
      </c>
      <c r="Q366" s="7">
        <f>Mecanismos!B9*(1-G366)</f>
        <v/>
      </c>
      <c r="R366" s="7">
        <f>Mecanismos!B3*(1-D366)</f>
        <v/>
      </c>
      <c r="S366" s="7">
        <f>Mecanismos!B9*(1-J366)</f>
        <v/>
      </c>
      <c r="T366" s="7">
        <f>Mecanismos!B8*H366</f>
        <v/>
      </c>
      <c r="U366" s="7">
        <f>Mecanismos!B10*H366</f>
        <v/>
      </c>
      <c r="V366" s="7">
        <f>Mecanismos!B8*K366</f>
        <v/>
      </c>
      <c r="W366" s="7">
        <f>SUM(L366:S366)</f>
        <v/>
      </c>
      <c r="X366" s="7">
        <f>SUM(T366:V366)</f>
        <v/>
      </c>
      <c r="Y366" s="8">
        <f>MAX(0,MIN(1,Parametros!B2-W366*Parametros!B3+X366*Parametros!B4))</f>
        <v/>
      </c>
    </row>
    <row r="367">
      <c r="A367" t="inlineStr">
        <is>
          <t>0asa50</t>
        </is>
      </c>
      <c r="B367" t="inlineStr">
        <is>
          <t>Mariana Silveira</t>
        </is>
      </c>
      <c r="C367" s="6" t="n">
        <v>0.5485</v>
      </c>
      <c r="D367" s="6" t="n">
        <v>0.3633</v>
      </c>
      <c r="E367" s="6" t="n">
        <v>0.4125</v>
      </c>
      <c r="F367" s="6" t="n">
        <v>0.485</v>
      </c>
      <c r="G367" s="6" t="n">
        <v>0.2437</v>
      </c>
      <c r="H367" s="6" t="n">
        <v>0.43</v>
      </c>
      <c r="I367" s="6" t="n">
        <v>0.7718</v>
      </c>
      <c r="J367" s="6" t="n">
        <v>0.9051</v>
      </c>
      <c r="K367" s="6" t="n">
        <v>0.609</v>
      </c>
      <c r="L367" s="7">
        <f>Mecanismos!B2*C367</f>
        <v/>
      </c>
      <c r="M367" s="7">
        <f>Mecanismos!B7*D367</f>
        <v/>
      </c>
      <c r="N367" s="7">
        <f>Mecanismos!B4*(1-E367)</f>
        <v/>
      </c>
      <c r="O367" s="7">
        <f>Mecanismos!B5*(1-F367)</f>
        <v/>
      </c>
      <c r="P367" s="7">
        <f>Mecanismos!B6*(1-I367)</f>
        <v/>
      </c>
      <c r="Q367" s="7">
        <f>Mecanismos!B9*(1-G367)</f>
        <v/>
      </c>
      <c r="R367" s="7">
        <f>Mecanismos!B3*(1-D367)</f>
        <v/>
      </c>
      <c r="S367" s="7">
        <f>Mecanismos!B9*(1-J367)</f>
        <v/>
      </c>
      <c r="T367" s="7">
        <f>Mecanismos!B8*H367</f>
        <v/>
      </c>
      <c r="U367" s="7">
        <f>Mecanismos!B10*H367</f>
        <v/>
      </c>
      <c r="V367" s="7">
        <f>Mecanismos!B8*K367</f>
        <v/>
      </c>
      <c r="W367" s="7">
        <f>SUM(L367:S367)</f>
        <v/>
      </c>
      <c r="X367" s="7">
        <f>SUM(T367:V367)</f>
        <v/>
      </c>
      <c r="Y367" s="8">
        <f>MAX(0,MIN(1,Parametros!B2-W367*Parametros!B3+X367*Parametros!B4))</f>
        <v/>
      </c>
    </row>
    <row r="368">
      <c r="A368" t="inlineStr">
        <is>
          <t>vq1eep</t>
        </is>
      </c>
      <c r="B368" t="inlineStr">
        <is>
          <t>Mariana Siqueira</t>
        </is>
      </c>
      <c r="C368" s="6" t="n">
        <v>0.6684</v>
      </c>
      <c r="D368" s="6" t="n">
        <v>0.6045</v>
      </c>
      <c r="E368" s="6" t="n">
        <v>0.4927</v>
      </c>
      <c r="F368" s="6" t="n">
        <v>0.6487000000000001</v>
      </c>
      <c r="G368" s="6" t="n">
        <v>0.5093</v>
      </c>
      <c r="H368" s="6" t="n">
        <v>0.3828</v>
      </c>
      <c r="I368" s="6" t="n">
        <v>0.5891</v>
      </c>
      <c r="J368" s="6" t="n">
        <v>0.6737</v>
      </c>
      <c r="K368" s="6" t="n">
        <v>0.8065</v>
      </c>
      <c r="L368" s="7">
        <f>Mecanismos!B2*C368</f>
        <v/>
      </c>
      <c r="M368" s="7">
        <f>Mecanismos!B7*D368</f>
        <v/>
      </c>
      <c r="N368" s="7">
        <f>Mecanismos!B4*(1-E368)</f>
        <v/>
      </c>
      <c r="O368" s="7">
        <f>Mecanismos!B5*(1-F368)</f>
        <v/>
      </c>
      <c r="P368" s="7">
        <f>Mecanismos!B6*(1-I368)</f>
        <v/>
      </c>
      <c r="Q368" s="7">
        <f>Mecanismos!B9*(1-G368)</f>
        <v/>
      </c>
      <c r="R368" s="7">
        <f>Mecanismos!B3*(1-D368)</f>
        <v/>
      </c>
      <c r="S368" s="7">
        <f>Mecanismos!B9*(1-J368)</f>
        <v/>
      </c>
      <c r="T368" s="7">
        <f>Mecanismos!B8*H368</f>
        <v/>
      </c>
      <c r="U368" s="7">
        <f>Mecanismos!B10*H368</f>
        <v/>
      </c>
      <c r="V368" s="7">
        <f>Mecanismos!B8*K368</f>
        <v/>
      </c>
      <c r="W368" s="7">
        <f>SUM(L368:S368)</f>
        <v/>
      </c>
      <c r="X368" s="7">
        <f>SUM(T368:V368)</f>
        <v/>
      </c>
      <c r="Y368" s="8">
        <f>MAX(0,MIN(1,Parametros!B2-W368*Parametros!B3+X368*Parametros!B4))</f>
        <v/>
      </c>
    </row>
    <row r="369">
      <c r="A369" t="inlineStr">
        <is>
          <t>kytdhi</t>
        </is>
      </c>
      <c r="B369" t="inlineStr">
        <is>
          <t>Mariane Albuquerque</t>
        </is>
      </c>
      <c r="C369" s="6" t="n">
        <v>0.3872</v>
      </c>
      <c r="D369" s="6" t="n">
        <v>0.7345</v>
      </c>
      <c r="E369" s="6" t="n">
        <v>0.5053</v>
      </c>
      <c r="F369" s="6" t="n">
        <v>0.5404</v>
      </c>
      <c r="G369" s="6" t="n">
        <v>0.8051</v>
      </c>
      <c r="H369" s="6" t="n">
        <v>0.8794</v>
      </c>
      <c r="I369" s="6" t="n">
        <v>0.7877</v>
      </c>
      <c r="J369" s="6" t="n">
        <v>0.7557</v>
      </c>
      <c r="K369" s="6" t="n">
        <v>0.8646</v>
      </c>
      <c r="L369" s="7">
        <f>Mecanismos!B2*C369</f>
        <v/>
      </c>
      <c r="M369" s="7">
        <f>Mecanismos!B7*D369</f>
        <v/>
      </c>
      <c r="N369" s="7">
        <f>Mecanismos!B4*(1-E369)</f>
        <v/>
      </c>
      <c r="O369" s="7">
        <f>Mecanismos!B5*(1-F369)</f>
        <v/>
      </c>
      <c r="P369" s="7">
        <f>Mecanismos!B6*(1-I369)</f>
        <v/>
      </c>
      <c r="Q369" s="7">
        <f>Mecanismos!B9*(1-G369)</f>
        <v/>
      </c>
      <c r="R369" s="7">
        <f>Mecanismos!B3*(1-D369)</f>
        <v/>
      </c>
      <c r="S369" s="7">
        <f>Mecanismos!B9*(1-J369)</f>
        <v/>
      </c>
      <c r="T369" s="7">
        <f>Mecanismos!B8*H369</f>
        <v/>
      </c>
      <c r="U369" s="7">
        <f>Mecanismos!B10*H369</f>
        <v/>
      </c>
      <c r="V369" s="7">
        <f>Mecanismos!B8*K369</f>
        <v/>
      </c>
      <c r="W369" s="7">
        <f>SUM(L369:S369)</f>
        <v/>
      </c>
      <c r="X369" s="7">
        <f>SUM(T369:V369)</f>
        <v/>
      </c>
      <c r="Y369" s="8">
        <f>MAX(0,MIN(1,Parametros!B2-W369*Parametros!B3+X369*Parametros!B4))</f>
        <v/>
      </c>
    </row>
    <row r="370">
      <c r="A370" t="inlineStr">
        <is>
          <t>4r43zn</t>
        </is>
      </c>
      <c r="B370" t="inlineStr">
        <is>
          <t>Mariane Barros</t>
        </is>
      </c>
      <c r="C370" s="6" t="n">
        <v>0.5493</v>
      </c>
      <c r="D370" s="6" t="n">
        <v>0.6901</v>
      </c>
      <c r="E370" s="6" t="n">
        <v>0.4596</v>
      </c>
      <c r="F370" s="6" t="n">
        <v>0.6777</v>
      </c>
      <c r="G370" s="6" t="n">
        <v>0.5072</v>
      </c>
      <c r="H370" s="6" t="n">
        <v>0.5835</v>
      </c>
      <c r="I370" s="6" t="n">
        <v>0.7423999999999999</v>
      </c>
      <c r="J370" s="6" t="n">
        <v>0.6778</v>
      </c>
      <c r="K370" s="6" t="n">
        <v>0.5528999999999999</v>
      </c>
      <c r="L370" s="7">
        <f>Mecanismos!B2*C370</f>
        <v/>
      </c>
      <c r="M370" s="7">
        <f>Mecanismos!B7*D370</f>
        <v/>
      </c>
      <c r="N370" s="7">
        <f>Mecanismos!B4*(1-E370)</f>
        <v/>
      </c>
      <c r="O370" s="7">
        <f>Mecanismos!B5*(1-F370)</f>
        <v/>
      </c>
      <c r="P370" s="7">
        <f>Mecanismos!B6*(1-I370)</f>
        <v/>
      </c>
      <c r="Q370" s="7">
        <f>Mecanismos!B9*(1-G370)</f>
        <v/>
      </c>
      <c r="R370" s="7">
        <f>Mecanismos!B3*(1-D370)</f>
        <v/>
      </c>
      <c r="S370" s="7">
        <f>Mecanismos!B9*(1-J370)</f>
        <v/>
      </c>
      <c r="T370" s="7">
        <f>Mecanismos!B8*H370</f>
        <v/>
      </c>
      <c r="U370" s="7">
        <f>Mecanismos!B10*H370</f>
        <v/>
      </c>
      <c r="V370" s="7">
        <f>Mecanismos!B8*K370</f>
        <v/>
      </c>
      <c r="W370" s="7">
        <f>SUM(L370:S370)</f>
        <v/>
      </c>
      <c r="X370" s="7">
        <f>SUM(T370:V370)</f>
        <v/>
      </c>
      <c r="Y370" s="8">
        <f>MAX(0,MIN(1,Parametros!B2-W370*Parametros!B3+X370*Parametros!B4))</f>
        <v/>
      </c>
    </row>
    <row r="371">
      <c r="A371" t="inlineStr">
        <is>
          <t>05eevt</t>
        </is>
      </c>
      <c r="B371" t="inlineStr">
        <is>
          <t>Marina Dias</t>
        </is>
      </c>
      <c r="C371" s="6" t="n">
        <v>0.8164</v>
      </c>
      <c r="D371" s="6" t="n">
        <v>0.4204</v>
      </c>
      <c r="E371" s="6" t="n">
        <v>0.7359</v>
      </c>
      <c r="F371" s="6" t="n">
        <v>0.303</v>
      </c>
      <c r="G371" s="6" t="n">
        <v>0.3439</v>
      </c>
      <c r="H371" s="6" t="n">
        <v>0.4535</v>
      </c>
      <c r="I371" s="6" t="n">
        <v>0.2625</v>
      </c>
      <c r="J371" s="6" t="n">
        <v>0.6524</v>
      </c>
      <c r="K371" s="6" t="n">
        <v>0.4745</v>
      </c>
      <c r="L371" s="7">
        <f>Mecanismos!B2*C371</f>
        <v/>
      </c>
      <c r="M371" s="7">
        <f>Mecanismos!B7*D371</f>
        <v/>
      </c>
      <c r="N371" s="7">
        <f>Mecanismos!B4*(1-E371)</f>
        <v/>
      </c>
      <c r="O371" s="7">
        <f>Mecanismos!B5*(1-F371)</f>
        <v/>
      </c>
      <c r="P371" s="7">
        <f>Mecanismos!B6*(1-I371)</f>
        <v/>
      </c>
      <c r="Q371" s="7">
        <f>Mecanismos!B9*(1-G371)</f>
        <v/>
      </c>
      <c r="R371" s="7">
        <f>Mecanismos!B3*(1-D371)</f>
        <v/>
      </c>
      <c r="S371" s="7">
        <f>Mecanismos!B9*(1-J371)</f>
        <v/>
      </c>
      <c r="T371" s="7">
        <f>Mecanismos!B8*H371</f>
        <v/>
      </c>
      <c r="U371" s="7">
        <f>Mecanismos!B10*H371</f>
        <v/>
      </c>
      <c r="V371" s="7">
        <f>Mecanismos!B8*K371</f>
        <v/>
      </c>
      <c r="W371" s="7">
        <f>SUM(L371:S371)</f>
        <v/>
      </c>
      <c r="X371" s="7">
        <f>SUM(T371:V371)</f>
        <v/>
      </c>
      <c r="Y371" s="8">
        <f>MAX(0,MIN(1,Parametros!B2-W371*Parametros!B3+X371*Parametros!B4))</f>
        <v/>
      </c>
    </row>
    <row r="372">
      <c r="A372" t="inlineStr">
        <is>
          <t>1c2tpw</t>
        </is>
      </c>
      <c r="B372" t="inlineStr">
        <is>
          <t>Marina Mendonça</t>
        </is>
      </c>
      <c r="C372" s="6" t="n">
        <v>0.8156</v>
      </c>
      <c r="D372" s="6" t="n">
        <v>0.4716</v>
      </c>
      <c r="E372" s="6" t="n">
        <v>0.5271</v>
      </c>
      <c r="F372" s="6" t="n">
        <v>0.338</v>
      </c>
      <c r="G372" s="6" t="n">
        <v>0.5129</v>
      </c>
      <c r="H372" s="6" t="n">
        <v>0.7681</v>
      </c>
      <c r="I372" s="6" t="n">
        <v>0.4609</v>
      </c>
      <c r="J372" s="6" t="n">
        <v>0.5673</v>
      </c>
      <c r="K372" s="6" t="n">
        <v>0.4894</v>
      </c>
      <c r="L372" s="7">
        <f>Mecanismos!B2*C372</f>
        <v/>
      </c>
      <c r="M372" s="7">
        <f>Mecanismos!B7*D372</f>
        <v/>
      </c>
      <c r="N372" s="7">
        <f>Mecanismos!B4*(1-E372)</f>
        <v/>
      </c>
      <c r="O372" s="7">
        <f>Mecanismos!B5*(1-F372)</f>
        <v/>
      </c>
      <c r="P372" s="7">
        <f>Mecanismos!B6*(1-I372)</f>
        <v/>
      </c>
      <c r="Q372" s="7">
        <f>Mecanismos!B9*(1-G372)</f>
        <v/>
      </c>
      <c r="R372" s="7">
        <f>Mecanismos!B3*(1-D372)</f>
        <v/>
      </c>
      <c r="S372" s="7">
        <f>Mecanismos!B9*(1-J372)</f>
        <v/>
      </c>
      <c r="T372" s="7">
        <f>Mecanismos!B8*H372</f>
        <v/>
      </c>
      <c r="U372" s="7">
        <f>Mecanismos!B10*H372</f>
        <v/>
      </c>
      <c r="V372" s="7">
        <f>Mecanismos!B8*K372</f>
        <v/>
      </c>
      <c r="W372" s="7">
        <f>SUM(L372:S372)</f>
        <v/>
      </c>
      <c r="X372" s="7">
        <f>SUM(T372:V372)</f>
        <v/>
      </c>
      <c r="Y372" s="8">
        <f>MAX(0,MIN(1,Parametros!B2-W372*Parametros!B3+X372*Parametros!B4))</f>
        <v/>
      </c>
    </row>
    <row r="373">
      <c r="A373" t="inlineStr">
        <is>
          <t>bbfcu0</t>
        </is>
      </c>
      <c r="B373" t="inlineStr">
        <is>
          <t>Mateus Martins</t>
        </is>
      </c>
      <c r="C373" s="6" t="n">
        <v>0.8447</v>
      </c>
      <c r="D373" s="6" t="n">
        <v>0.654</v>
      </c>
      <c r="E373" s="6" t="n">
        <v>0.5361</v>
      </c>
      <c r="F373" s="6" t="n">
        <v>0.616</v>
      </c>
      <c r="G373" s="6" t="n">
        <v>0.6425</v>
      </c>
      <c r="H373" s="6" t="n">
        <v>0.6403</v>
      </c>
      <c r="I373" s="6" t="n">
        <v>0.5558999999999999</v>
      </c>
      <c r="J373" s="6" t="n">
        <v>0.8048999999999999</v>
      </c>
      <c r="K373" s="6" t="n">
        <v>0.4135</v>
      </c>
      <c r="L373" s="7">
        <f>Mecanismos!B2*C373</f>
        <v/>
      </c>
      <c r="M373" s="7">
        <f>Mecanismos!B7*D373</f>
        <v/>
      </c>
      <c r="N373" s="7">
        <f>Mecanismos!B4*(1-E373)</f>
        <v/>
      </c>
      <c r="O373" s="7">
        <f>Mecanismos!B5*(1-F373)</f>
        <v/>
      </c>
      <c r="P373" s="7">
        <f>Mecanismos!B6*(1-I373)</f>
        <v/>
      </c>
      <c r="Q373" s="7">
        <f>Mecanismos!B9*(1-G373)</f>
        <v/>
      </c>
      <c r="R373" s="7">
        <f>Mecanismos!B3*(1-D373)</f>
        <v/>
      </c>
      <c r="S373" s="7">
        <f>Mecanismos!B9*(1-J373)</f>
        <v/>
      </c>
      <c r="T373" s="7">
        <f>Mecanismos!B8*H373</f>
        <v/>
      </c>
      <c r="U373" s="7">
        <f>Mecanismos!B10*H373</f>
        <v/>
      </c>
      <c r="V373" s="7">
        <f>Mecanismos!B8*K373</f>
        <v/>
      </c>
      <c r="W373" s="7">
        <f>SUM(L373:S373)</f>
        <v/>
      </c>
      <c r="X373" s="7">
        <f>SUM(T373:V373)</f>
        <v/>
      </c>
      <c r="Y373" s="8">
        <f>MAX(0,MIN(1,Parametros!B2-W373*Parametros!B3+X373*Parametros!B4))</f>
        <v/>
      </c>
    </row>
    <row r="374">
      <c r="A374" t="inlineStr">
        <is>
          <t>ax2c3x</t>
        </is>
      </c>
      <c r="B374" t="inlineStr">
        <is>
          <t>Mateus Melo</t>
        </is>
      </c>
      <c r="C374" s="6" t="n">
        <v>0.4525</v>
      </c>
      <c r="D374" s="6" t="n">
        <v>0.7347</v>
      </c>
      <c r="E374" s="6" t="n">
        <v>0.6041</v>
      </c>
      <c r="F374" s="6" t="n">
        <v>0.5639999999999999</v>
      </c>
      <c r="G374" s="6" t="n">
        <v>0.5722</v>
      </c>
      <c r="H374" s="6" t="n">
        <v>0.6005</v>
      </c>
      <c r="I374" s="6" t="n">
        <v>0.5074</v>
      </c>
      <c r="J374" s="6" t="n">
        <v>0.8773</v>
      </c>
      <c r="K374" s="6" t="n">
        <v>0.6489</v>
      </c>
      <c r="L374" s="7">
        <f>Mecanismos!B2*C374</f>
        <v/>
      </c>
      <c r="M374" s="7">
        <f>Mecanismos!B7*D374</f>
        <v/>
      </c>
      <c r="N374" s="7">
        <f>Mecanismos!B4*(1-E374)</f>
        <v/>
      </c>
      <c r="O374" s="7">
        <f>Mecanismos!B5*(1-F374)</f>
        <v/>
      </c>
      <c r="P374" s="7">
        <f>Mecanismos!B6*(1-I374)</f>
        <v/>
      </c>
      <c r="Q374" s="7">
        <f>Mecanismos!B9*(1-G374)</f>
        <v/>
      </c>
      <c r="R374" s="7">
        <f>Mecanismos!B3*(1-D374)</f>
        <v/>
      </c>
      <c r="S374" s="7">
        <f>Mecanismos!B9*(1-J374)</f>
        <v/>
      </c>
      <c r="T374" s="7">
        <f>Mecanismos!B8*H374</f>
        <v/>
      </c>
      <c r="U374" s="7">
        <f>Mecanismos!B10*H374</f>
        <v/>
      </c>
      <c r="V374" s="7">
        <f>Mecanismos!B8*K374</f>
        <v/>
      </c>
      <c r="W374" s="7">
        <f>SUM(L374:S374)</f>
        <v/>
      </c>
      <c r="X374" s="7">
        <f>SUM(T374:V374)</f>
        <v/>
      </c>
      <c r="Y374" s="8">
        <f>MAX(0,MIN(1,Parametros!B2-W374*Parametros!B3+X374*Parametros!B4))</f>
        <v/>
      </c>
    </row>
    <row r="375">
      <c r="A375" t="inlineStr">
        <is>
          <t>1nb8iz</t>
        </is>
      </c>
      <c r="B375" t="inlineStr">
        <is>
          <t>Matheus Rocha</t>
        </is>
      </c>
      <c r="C375" s="6" t="n">
        <v>0.6833</v>
      </c>
      <c r="D375" s="6" t="n">
        <v>0.4045</v>
      </c>
      <c r="E375" s="6" t="n">
        <v>0.5275</v>
      </c>
      <c r="F375" s="6" t="n">
        <v>0.5416</v>
      </c>
      <c r="G375" s="6" t="n">
        <v>0.5588</v>
      </c>
      <c r="H375" s="6" t="n">
        <v>0.5325</v>
      </c>
      <c r="I375" s="6" t="n">
        <v>0.2983</v>
      </c>
      <c r="J375" s="6" t="n">
        <v>0.9022</v>
      </c>
      <c r="K375" s="6" t="n">
        <v>0.4667</v>
      </c>
      <c r="L375" s="7">
        <f>Mecanismos!B2*C375</f>
        <v/>
      </c>
      <c r="M375" s="7">
        <f>Mecanismos!B7*D375</f>
        <v/>
      </c>
      <c r="N375" s="7">
        <f>Mecanismos!B4*(1-E375)</f>
        <v/>
      </c>
      <c r="O375" s="7">
        <f>Mecanismos!B5*(1-F375)</f>
        <v/>
      </c>
      <c r="P375" s="7">
        <f>Mecanismos!B6*(1-I375)</f>
        <v/>
      </c>
      <c r="Q375" s="7">
        <f>Mecanismos!B9*(1-G375)</f>
        <v/>
      </c>
      <c r="R375" s="7">
        <f>Mecanismos!B3*(1-D375)</f>
        <v/>
      </c>
      <c r="S375" s="7">
        <f>Mecanismos!B9*(1-J375)</f>
        <v/>
      </c>
      <c r="T375" s="7">
        <f>Mecanismos!B8*H375</f>
        <v/>
      </c>
      <c r="U375" s="7">
        <f>Mecanismos!B10*H375</f>
        <v/>
      </c>
      <c r="V375" s="7">
        <f>Mecanismos!B8*K375</f>
        <v/>
      </c>
      <c r="W375" s="7">
        <f>SUM(L375:S375)</f>
        <v/>
      </c>
      <c r="X375" s="7">
        <f>SUM(T375:V375)</f>
        <v/>
      </c>
      <c r="Y375" s="8">
        <f>MAX(0,MIN(1,Parametros!B2-W375*Parametros!B3+X375*Parametros!B4))</f>
        <v/>
      </c>
    </row>
    <row r="376">
      <c r="A376" t="inlineStr">
        <is>
          <t>3dcekr</t>
        </is>
      </c>
      <c r="B376" t="inlineStr">
        <is>
          <t>Matheus Rodrigues</t>
        </is>
      </c>
      <c r="C376" s="6" t="n">
        <v>0.4635</v>
      </c>
      <c r="D376" s="6" t="n">
        <v>0.545</v>
      </c>
      <c r="E376" s="6" t="n">
        <v>0.6286</v>
      </c>
      <c r="F376" s="6" t="n">
        <v>0.633</v>
      </c>
      <c r="G376" s="6" t="n">
        <v>0.696</v>
      </c>
      <c r="H376" s="6" t="n">
        <v>0.6844</v>
      </c>
      <c r="I376" s="6" t="n">
        <v>0.4755</v>
      </c>
      <c r="J376" s="6" t="n">
        <v>0.7598</v>
      </c>
      <c r="K376" s="6" t="n">
        <v>0.7648</v>
      </c>
      <c r="L376" s="7">
        <f>Mecanismos!B2*C376</f>
        <v/>
      </c>
      <c r="M376" s="7">
        <f>Mecanismos!B7*D376</f>
        <v/>
      </c>
      <c r="N376" s="7">
        <f>Mecanismos!B4*(1-E376)</f>
        <v/>
      </c>
      <c r="O376" s="7">
        <f>Mecanismos!B5*(1-F376)</f>
        <v/>
      </c>
      <c r="P376" s="7">
        <f>Mecanismos!B6*(1-I376)</f>
        <v/>
      </c>
      <c r="Q376" s="7">
        <f>Mecanismos!B9*(1-G376)</f>
        <v/>
      </c>
      <c r="R376" s="7">
        <f>Mecanismos!B3*(1-D376)</f>
        <v/>
      </c>
      <c r="S376" s="7">
        <f>Mecanismos!B9*(1-J376)</f>
        <v/>
      </c>
      <c r="T376" s="7">
        <f>Mecanismos!B8*H376</f>
        <v/>
      </c>
      <c r="U376" s="7">
        <f>Mecanismos!B10*H376</f>
        <v/>
      </c>
      <c r="V376" s="7">
        <f>Mecanismos!B8*K376</f>
        <v/>
      </c>
      <c r="W376" s="7">
        <f>SUM(L376:S376)</f>
        <v/>
      </c>
      <c r="X376" s="7">
        <f>SUM(T376:V376)</f>
        <v/>
      </c>
      <c r="Y376" s="8">
        <f>MAX(0,MIN(1,Parametros!B2-W376*Parametros!B3+X376*Parametros!B4))</f>
        <v/>
      </c>
    </row>
    <row r="377">
      <c r="A377" t="inlineStr">
        <is>
          <t>3pqxcc</t>
        </is>
      </c>
      <c r="B377" t="inlineStr">
        <is>
          <t>Mathias Ramos</t>
        </is>
      </c>
      <c r="C377" s="6" t="n">
        <v>0.6437</v>
      </c>
      <c r="D377" s="6" t="n">
        <v>0.4558</v>
      </c>
      <c r="E377" s="6" t="n">
        <v>0.4871</v>
      </c>
      <c r="F377" s="6" t="n">
        <v>0.3993</v>
      </c>
      <c r="G377" s="6" t="n">
        <v>0.3773</v>
      </c>
      <c r="H377" s="6" t="n">
        <v>0.6663</v>
      </c>
      <c r="I377" s="6" t="n">
        <v>0.2395</v>
      </c>
      <c r="J377" s="6" t="n">
        <v>0.7044</v>
      </c>
      <c r="K377" s="6" t="n">
        <v>0.527</v>
      </c>
      <c r="L377" s="7">
        <f>Mecanismos!B2*C377</f>
        <v/>
      </c>
      <c r="M377" s="7">
        <f>Mecanismos!B7*D377</f>
        <v/>
      </c>
      <c r="N377" s="7">
        <f>Mecanismos!B4*(1-E377)</f>
        <v/>
      </c>
      <c r="O377" s="7">
        <f>Mecanismos!B5*(1-F377)</f>
        <v/>
      </c>
      <c r="P377" s="7">
        <f>Mecanismos!B6*(1-I377)</f>
        <v/>
      </c>
      <c r="Q377" s="7">
        <f>Mecanismos!B9*(1-G377)</f>
        <v/>
      </c>
      <c r="R377" s="7">
        <f>Mecanismos!B3*(1-D377)</f>
        <v/>
      </c>
      <c r="S377" s="7">
        <f>Mecanismos!B9*(1-J377)</f>
        <v/>
      </c>
      <c r="T377" s="7">
        <f>Mecanismos!B8*H377</f>
        <v/>
      </c>
      <c r="U377" s="7">
        <f>Mecanismos!B10*H377</f>
        <v/>
      </c>
      <c r="V377" s="7">
        <f>Mecanismos!B8*K377</f>
        <v/>
      </c>
      <c r="W377" s="7">
        <f>SUM(L377:S377)</f>
        <v/>
      </c>
      <c r="X377" s="7">
        <f>SUM(T377:V377)</f>
        <v/>
      </c>
      <c r="Y377" s="8">
        <f>MAX(0,MIN(1,Parametros!B2-W377*Parametros!B3+X377*Parametros!B4))</f>
        <v/>
      </c>
    </row>
    <row r="378">
      <c r="A378" t="inlineStr">
        <is>
          <t>spfn5e</t>
        </is>
      </c>
      <c r="B378" t="inlineStr">
        <is>
          <t>Matteo Garcia</t>
        </is>
      </c>
      <c r="C378" s="6" t="n">
        <v>0.6937</v>
      </c>
      <c r="D378" s="6" t="n">
        <v>0.5058</v>
      </c>
      <c r="E378" s="6" t="n">
        <v>0.7229</v>
      </c>
      <c r="F378" s="6" t="n">
        <v>0.5256</v>
      </c>
      <c r="G378" s="6" t="n">
        <v>0.4079</v>
      </c>
      <c r="H378" s="6" t="n">
        <v>0.5125999999999999</v>
      </c>
      <c r="I378" s="6" t="n">
        <v>0.4239</v>
      </c>
      <c r="J378" s="6" t="n">
        <v>0.9048</v>
      </c>
      <c r="K378" s="6" t="n">
        <v>0.4537</v>
      </c>
      <c r="L378" s="7">
        <f>Mecanismos!B2*C378</f>
        <v/>
      </c>
      <c r="M378" s="7">
        <f>Mecanismos!B7*D378</f>
        <v/>
      </c>
      <c r="N378" s="7">
        <f>Mecanismos!B4*(1-E378)</f>
        <v/>
      </c>
      <c r="O378" s="7">
        <f>Mecanismos!B5*(1-F378)</f>
        <v/>
      </c>
      <c r="P378" s="7">
        <f>Mecanismos!B6*(1-I378)</f>
        <v/>
      </c>
      <c r="Q378" s="7">
        <f>Mecanismos!B9*(1-G378)</f>
        <v/>
      </c>
      <c r="R378" s="7">
        <f>Mecanismos!B3*(1-D378)</f>
        <v/>
      </c>
      <c r="S378" s="7">
        <f>Mecanismos!B9*(1-J378)</f>
        <v/>
      </c>
      <c r="T378" s="7">
        <f>Mecanismos!B8*H378</f>
        <v/>
      </c>
      <c r="U378" s="7">
        <f>Mecanismos!B10*H378</f>
        <v/>
      </c>
      <c r="V378" s="7">
        <f>Mecanismos!B8*K378</f>
        <v/>
      </c>
      <c r="W378" s="7">
        <f>SUM(L378:S378)</f>
        <v/>
      </c>
      <c r="X378" s="7">
        <f>SUM(T378:V378)</f>
        <v/>
      </c>
      <c r="Y378" s="8">
        <f>MAX(0,MIN(1,Parametros!B2-W378*Parametros!B3+X378*Parametros!B4))</f>
        <v/>
      </c>
    </row>
    <row r="379">
      <c r="A379" t="inlineStr">
        <is>
          <t>skoq2n</t>
        </is>
      </c>
      <c r="B379" t="inlineStr">
        <is>
          <t>Maya da Costa</t>
        </is>
      </c>
      <c r="C379" s="6" t="n">
        <v>0.3631</v>
      </c>
      <c r="D379" s="6" t="n">
        <v>0.4528</v>
      </c>
      <c r="E379" s="6" t="n">
        <v>0.4764</v>
      </c>
      <c r="F379" s="6" t="n">
        <v>0.5929</v>
      </c>
      <c r="G379" s="6" t="n">
        <v>0.5128</v>
      </c>
      <c r="H379" s="6" t="n">
        <v>0.624</v>
      </c>
      <c r="I379" s="6" t="n">
        <v>0.6942</v>
      </c>
      <c r="J379" s="6" t="n">
        <v>0.8356</v>
      </c>
      <c r="K379" s="6" t="n">
        <v>0.8915</v>
      </c>
      <c r="L379" s="7">
        <f>Mecanismos!B2*C379</f>
        <v/>
      </c>
      <c r="M379" s="7">
        <f>Mecanismos!B7*D379</f>
        <v/>
      </c>
      <c r="N379" s="7">
        <f>Mecanismos!B4*(1-E379)</f>
        <v/>
      </c>
      <c r="O379" s="7">
        <f>Mecanismos!B5*(1-F379)</f>
        <v/>
      </c>
      <c r="P379" s="7">
        <f>Mecanismos!B6*(1-I379)</f>
        <v/>
      </c>
      <c r="Q379" s="7">
        <f>Mecanismos!B9*(1-G379)</f>
        <v/>
      </c>
      <c r="R379" s="7">
        <f>Mecanismos!B3*(1-D379)</f>
        <v/>
      </c>
      <c r="S379" s="7">
        <f>Mecanismos!B9*(1-J379)</f>
        <v/>
      </c>
      <c r="T379" s="7">
        <f>Mecanismos!B8*H379</f>
        <v/>
      </c>
      <c r="U379" s="7">
        <f>Mecanismos!B10*H379</f>
        <v/>
      </c>
      <c r="V379" s="7">
        <f>Mecanismos!B8*K379</f>
        <v/>
      </c>
      <c r="W379" s="7">
        <f>SUM(L379:S379)</f>
        <v/>
      </c>
      <c r="X379" s="7">
        <f>SUM(T379:V379)</f>
        <v/>
      </c>
      <c r="Y379" s="8">
        <f>MAX(0,MIN(1,Parametros!B2-W379*Parametros!B3+X379*Parametros!B4))</f>
        <v/>
      </c>
    </row>
    <row r="380">
      <c r="A380" t="inlineStr">
        <is>
          <t>zpjpox</t>
        </is>
      </c>
      <c r="B380" t="inlineStr">
        <is>
          <t>Maysa Alves</t>
        </is>
      </c>
      <c r="C380" s="6" t="n">
        <v>0.6085</v>
      </c>
      <c r="D380" s="6" t="n">
        <v>0.5409</v>
      </c>
      <c r="E380" s="6" t="n">
        <v>0.6911</v>
      </c>
      <c r="F380" s="6" t="n">
        <v>0.5036</v>
      </c>
      <c r="G380" s="6" t="n">
        <v>0.3436</v>
      </c>
      <c r="H380" s="6" t="n">
        <v>0.4784</v>
      </c>
      <c r="I380" s="6" t="n">
        <v>0.5365</v>
      </c>
      <c r="J380" s="6" t="n">
        <v>0.7337</v>
      </c>
      <c r="K380" s="6" t="n">
        <v>0.3442</v>
      </c>
      <c r="L380" s="7">
        <f>Mecanismos!B2*C380</f>
        <v/>
      </c>
      <c r="M380" s="7">
        <f>Mecanismos!B7*D380</f>
        <v/>
      </c>
      <c r="N380" s="7">
        <f>Mecanismos!B4*(1-E380)</f>
        <v/>
      </c>
      <c r="O380" s="7">
        <f>Mecanismos!B5*(1-F380)</f>
        <v/>
      </c>
      <c r="P380" s="7">
        <f>Mecanismos!B6*(1-I380)</f>
        <v/>
      </c>
      <c r="Q380" s="7">
        <f>Mecanismos!B9*(1-G380)</f>
        <v/>
      </c>
      <c r="R380" s="7">
        <f>Mecanismos!B3*(1-D380)</f>
        <v/>
      </c>
      <c r="S380" s="7">
        <f>Mecanismos!B9*(1-J380)</f>
        <v/>
      </c>
      <c r="T380" s="7">
        <f>Mecanismos!B8*H380</f>
        <v/>
      </c>
      <c r="U380" s="7">
        <f>Mecanismos!B10*H380</f>
        <v/>
      </c>
      <c r="V380" s="7">
        <f>Mecanismos!B8*K380</f>
        <v/>
      </c>
      <c r="W380" s="7">
        <f>SUM(L380:S380)</f>
        <v/>
      </c>
      <c r="X380" s="7">
        <f>SUM(T380:V380)</f>
        <v/>
      </c>
      <c r="Y380" s="8">
        <f>MAX(0,MIN(1,Parametros!B2-W380*Parametros!B3+X380*Parametros!B4))</f>
        <v/>
      </c>
    </row>
    <row r="381">
      <c r="A381" t="inlineStr">
        <is>
          <t>y7tcd3</t>
        </is>
      </c>
      <c r="B381" t="inlineStr">
        <is>
          <t>Maysa Carvalho</t>
        </is>
      </c>
      <c r="C381" s="6" t="n">
        <v>0.7214</v>
      </c>
      <c r="D381" s="6" t="n">
        <v>0.4383</v>
      </c>
      <c r="E381" s="6" t="n">
        <v>0.7076</v>
      </c>
      <c r="F381" s="6" t="n">
        <v>0.1059</v>
      </c>
      <c r="G381" s="6" t="n">
        <v>0.2192</v>
      </c>
      <c r="H381" s="6" t="n">
        <v>0.481</v>
      </c>
      <c r="I381" s="6" t="n">
        <v>0.2392</v>
      </c>
      <c r="J381" s="6" t="n">
        <v>0.7492</v>
      </c>
      <c r="K381" s="6" t="n">
        <v>0.4814</v>
      </c>
      <c r="L381" s="7">
        <f>Mecanismos!B2*C381</f>
        <v/>
      </c>
      <c r="M381" s="7">
        <f>Mecanismos!B7*D381</f>
        <v/>
      </c>
      <c r="N381" s="7">
        <f>Mecanismos!B4*(1-E381)</f>
        <v/>
      </c>
      <c r="O381" s="7">
        <f>Mecanismos!B5*(1-F381)</f>
        <v/>
      </c>
      <c r="P381" s="7">
        <f>Mecanismos!B6*(1-I381)</f>
        <v/>
      </c>
      <c r="Q381" s="7">
        <f>Mecanismos!B9*(1-G381)</f>
        <v/>
      </c>
      <c r="R381" s="7">
        <f>Mecanismos!B3*(1-D381)</f>
        <v/>
      </c>
      <c r="S381" s="7">
        <f>Mecanismos!B9*(1-J381)</f>
        <v/>
      </c>
      <c r="T381" s="7">
        <f>Mecanismos!B8*H381</f>
        <v/>
      </c>
      <c r="U381" s="7">
        <f>Mecanismos!B10*H381</f>
        <v/>
      </c>
      <c r="V381" s="7">
        <f>Mecanismos!B8*K381</f>
        <v/>
      </c>
      <c r="W381" s="7">
        <f>SUM(L381:S381)</f>
        <v/>
      </c>
      <c r="X381" s="7">
        <f>SUM(T381:V381)</f>
        <v/>
      </c>
      <c r="Y381" s="8">
        <f>MAX(0,MIN(1,Parametros!B2-W381*Parametros!B3+X381*Parametros!B4))</f>
        <v/>
      </c>
    </row>
    <row r="382">
      <c r="A382" t="inlineStr">
        <is>
          <t>yojdwy</t>
        </is>
      </c>
      <c r="B382" t="inlineStr">
        <is>
          <t>Maysa Freitas</t>
        </is>
      </c>
      <c r="C382" s="6" t="n">
        <v>0.5875</v>
      </c>
      <c r="D382" s="6" t="n">
        <v>0.4387</v>
      </c>
      <c r="E382" s="6" t="n">
        <v>0.5663</v>
      </c>
      <c r="F382" s="6" t="n">
        <v>0.4548</v>
      </c>
      <c r="G382" s="6" t="n">
        <v>0.5752</v>
      </c>
      <c r="H382" s="6" t="n">
        <v>0.6375</v>
      </c>
      <c r="I382" s="6" t="n">
        <v>0.4302</v>
      </c>
      <c r="J382" s="6" t="n">
        <v>0.8179</v>
      </c>
      <c r="K382" s="6" t="n">
        <v>0.6299</v>
      </c>
      <c r="L382" s="7">
        <f>Mecanismos!B2*C382</f>
        <v/>
      </c>
      <c r="M382" s="7">
        <f>Mecanismos!B7*D382</f>
        <v/>
      </c>
      <c r="N382" s="7">
        <f>Mecanismos!B4*(1-E382)</f>
        <v/>
      </c>
      <c r="O382" s="7">
        <f>Mecanismos!B5*(1-F382)</f>
        <v/>
      </c>
      <c r="P382" s="7">
        <f>Mecanismos!B6*(1-I382)</f>
        <v/>
      </c>
      <c r="Q382" s="7">
        <f>Mecanismos!B9*(1-G382)</f>
        <v/>
      </c>
      <c r="R382" s="7">
        <f>Mecanismos!B3*(1-D382)</f>
        <v/>
      </c>
      <c r="S382" s="7">
        <f>Mecanismos!B9*(1-J382)</f>
        <v/>
      </c>
      <c r="T382" s="7">
        <f>Mecanismos!B8*H382</f>
        <v/>
      </c>
      <c r="U382" s="7">
        <f>Mecanismos!B10*H382</f>
        <v/>
      </c>
      <c r="V382" s="7">
        <f>Mecanismos!B8*K382</f>
        <v/>
      </c>
      <c r="W382" s="7">
        <f>SUM(L382:S382)</f>
        <v/>
      </c>
      <c r="X382" s="7">
        <f>SUM(T382:V382)</f>
        <v/>
      </c>
      <c r="Y382" s="8">
        <f>MAX(0,MIN(1,Parametros!B2-W382*Parametros!B3+X382*Parametros!B4))</f>
        <v/>
      </c>
    </row>
    <row r="383">
      <c r="A383" t="inlineStr">
        <is>
          <t>cu4ah7</t>
        </is>
      </c>
      <c r="B383" t="inlineStr">
        <is>
          <t>Maysa Lima</t>
        </is>
      </c>
      <c r="C383" s="6" t="n">
        <v>0.2513</v>
      </c>
      <c r="D383" s="6" t="n">
        <v>0.3852</v>
      </c>
      <c r="E383" s="6" t="n">
        <v>0.5576</v>
      </c>
      <c r="F383" s="6" t="n">
        <v>0.5905</v>
      </c>
      <c r="G383" s="6" t="n">
        <v>0.4252</v>
      </c>
      <c r="H383" s="6" t="n">
        <v>0.4486</v>
      </c>
      <c r="I383" s="6" t="n">
        <v>0.6985</v>
      </c>
      <c r="J383" s="6" t="n">
        <v>0.8233</v>
      </c>
      <c r="K383" s="6" t="n">
        <v>0.8605</v>
      </c>
      <c r="L383" s="7">
        <f>Mecanismos!B2*C383</f>
        <v/>
      </c>
      <c r="M383" s="7">
        <f>Mecanismos!B7*D383</f>
        <v/>
      </c>
      <c r="N383" s="7">
        <f>Mecanismos!B4*(1-E383)</f>
        <v/>
      </c>
      <c r="O383" s="7">
        <f>Mecanismos!B5*(1-F383)</f>
        <v/>
      </c>
      <c r="P383" s="7">
        <f>Mecanismos!B6*(1-I383)</f>
        <v/>
      </c>
      <c r="Q383" s="7">
        <f>Mecanismos!B9*(1-G383)</f>
        <v/>
      </c>
      <c r="R383" s="7">
        <f>Mecanismos!B3*(1-D383)</f>
        <v/>
      </c>
      <c r="S383" s="7">
        <f>Mecanismos!B9*(1-J383)</f>
        <v/>
      </c>
      <c r="T383" s="7">
        <f>Mecanismos!B8*H383</f>
        <v/>
      </c>
      <c r="U383" s="7">
        <f>Mecanismos!B10*H383</f>
        <v/>
      </c>
      <c r="V383" s="7">
        <f>Mecanismos!B8*K383</f>
        <v/>
      </c>
      <c r="W383" s="7">
        <f>SUM(L383:S383)</f>
        <v/>
      </c>
      <c r="X383" s="7">
        <f>SUM(T383:V383)</f>
        <v/>
      </c>
      <c r="Y383" s="8">
        <f>MAX(0,MIN(1,Parametros!B2-W383*Parametros!B3+X383*Parametros!B4))</f>
        <v/>
      </c>
    </row>
    <row r="384">
      <c r="A384" t="inlineStr">
        <is>
          <t>vbgw58</t>
        </is>
      </c>
      <c r="B384" t="inlineStr">
        <is>
          <t>Melissa Dias</t>
        </is>
      </c>
      <c r="C384" s="6" t="n">
        <v>0.7553</v>
      </c>
      <c r="D384" s="6" t="n">
        <v>0.3711</v>
      </c>
      <c r="E384" s="6" t="n">
        <v>0.6737</v>
      </c>
      <c r="F384" s="6" t="n">
        <v>0.2211</v>
      </c>
      <c r="G384" s="6" t="n">
        <v>0.4873</v>
      </c>
      <c r="H384" s="6" t="n">
        <v>0.6595</v>
      </c>
      <c r="I384" s="6" t="n">
        <v>0.604</v>
      </c>
      <c r="J384" s="6" t="n">
        <v>0.7139</v>
      </c>
      <c r="K384" s="6" t="n">
        <v>0.5432</v>
      </c>
      <c r="L384" s="7">
        <f>Mecanismos!B2*C384</f>
        <v/>
      </c>
      <c r="M384" s="7">
        <f>Mecanismos!B7*D384</f>
        <v/>
      </c>
      <c r="N384" s="7">
        <f>Mecanismos!B4*(1-E384)</f>
        <v/>
      </c>
      <c r="O384" s="7">
        <f>Mecanismos!B5*(1-F384)</f>
        <v/>
      </c>
      <c r="P384" s="7">
        <f>Mecanismos!B6*(1-I384)</f>
        <v/>
      </c>
      <c r="Q384" s="7">
        <f>Mecanismos!B9*(1-G384)</f>
        <v/>
      </c>
      <c r="R384" s="7">
        <f>Mecanismos!B3*(1-D384)</f>
        <v/>
      </c>
      <c r="S384" s="7">
        <f>Mecanismos!B9*(1-J384)</f>
        <v/>
      </c>
      <c r="T384" s="7">
        <f>Mecanismos!B8*H384</f>
        <v/>
      </c>
      <c r="U384" s="7">
        <f>Mecanismos!B10*H384</f>
        <v/>
      </c>
      <c r="V384" s="7">
        <f>Mecanismos!B8*K384</f>
        <v/>
      </c>
      <c r="W384" s="7">
        <f>SUM(L384:S384)</f>
        <v/>
      </c>
      <c r="X384" s="7">
        <f>SUM(T384:V384)</f>
        <v/>
      </c>
      <c r="Y384" s="8">
        <f>MAX(0,MIN(1,Parametros!B2-W384*Parametros!B3+X384*Parametros!B4))</f>
        <v/>
      </c>
    </row>
    <row r="385">
      <c r="A385" t="inlineStr">
        <is>
          <t>a2n36q</t>
        </is>
      </c>
      <c r="B385" t="inlineStr">
        <is>
          <t>Melissa Rios</t>
        </is>
      </c>
      <c r="C385" s="6" t="n">
        <v>0.5229</v>
      </c>
      <c r="D385" s="6" t="n">
        <v>0.3568</v>
      </c>
      <c r="E385" s="6" t="n">
        <v>0.5934</v>
      </c>
      <c r="F385" s="6" t="n">
        <v>0.5968</v>
      </c>
      <c r="G385" s="6" t="n">
        <v>0.2747</v>
      </c>
      <c r="H385" s="6" t="n">
        <v>0.4427</v>
      </c>
      <c r="I385" s="6" t="n">
        <v>0.1873</v>
      </c>
      <c r="J385" s="6" t="n">
        <v>0.704</v>
      </c>
      <c r="K385" s="6" t="n">
        <v>0.6336000000000001</v>
      </c>
      <c r="L385" s="7">
        <f>Mecanismos!B2*C385</f>
        <v/>
      </c>
      <c r="M385" s="7">
        <f>Mecanismos!B7*D385</f>
        <v/>
      </c>
      <c r="N385" s="7">
        <f>Mecanismos!B4*(1-E385)</f>
        <v/>
      </c>
      <c r="O385" s="7">
        <f>Mecanismos!B5*(1-F385)</f>
        <v/>
      </c>
      <c r="P385" s="7">
        <f>Mecanismos!B6*(1-I385)</f>
        <v/>
      </c>
      <c r="Q385" s="7">
        <f>Mecanismos!B9*(1-G385)</f>
        <v/>
      </c>
      <c r="R385" s="7">
        <f>Mecanismos!B3*(1-D385)</f>
        <v/>
      </c>
      <c r="S385" s="7">
        <f>Mecanismos!B9*(1-J385)</f>
        <v/>
      </c>
      <c r="T385" s="7">
        <f>Mecanismos!B8*H385</f>
        <v/>
      </c>
      <c r="U385" s="7">
        <f>Mecanismos!B10*H385</f>
        <v/>
      </c>
      <c r="V385" s="7">
        <f>Mecanismos!B8*K385</f>
        <v/>
      </c>
      <c r="W385" s="7">
        <f>SUM(L385:S385)</f>
        <v/>
      </c>
      <c r="X385" s="7">
        <f>SUM(T385:V385)</f>
        <v/>
      </c>
      <c r="Y385" s="8">
        <f>MAX(0,MIN(1,Parametros!B2-W385*Parametros!B3+X385*Parametros!B4))</f>
        <v/>
      </c>
    </row>
    <row r="386">
      <c r="A386" t="inlineStr">
        <is>
          <t>e3kwrn</t>
        </is>
      </c>
      <c r="B386" t="inlineStr">
        <is>
          <t>Melissa Vargas</t>
        </is>
      </c>
      <c r="C386" s="6" t="n">
        <v>0.7826</v>
      </c>
      <c r="D386" s="6" t="n">
        <v>0.5633</v>
      </c>
      <c r="E386" s="6" t="n">
        <v>0.6504</v>
      </c>
      <c r="F386" s="6" t="n">
        <v>0.4747</v>
      </c>
      <c r="G386" s="6" t="n">
        <v>0.5779</v>
      </c>
      <c r="H386" s="6" t="n">
        <v>0.6878</v>
      </c>
      <c r="I386" s="6" t="n">
        <v>0.4495</v>
      </c>
      <c r="J386" s="6" t="n">
        <v>0.7968</v>
      </c>
      <c r="K386" s="6" t="n">
        <v>0.768</v>
      </c>
      <c r="L386" s="7">
        <f>Mecanismos!B2*C386</f>
        <v/>
      </c>
      <c r="M386" s="7">
        <f>Mecanismos!B7*D386</f>
        <v/>
      </c>
      <c r="N386" s="7">
        <f>Mecanismos!B4*(1-E386)</f>
        <v/>
      </c>
      <c r="O386" s="7">
        <f>Mecanismos!B5*(1-F386)</f>
        <v/>
      </c>
      <c r="P386" s="7">
        <f>Mecanismos!B6*(1-I386)</f>
        <v/>
      </c>
      <c r="Q386" s="7">
        <f>Mecanismos!B9*(1-G386)</f>
        <v/>
      </c>
      <c r="R386" s="7">
        <f>Mecanismos!B3*(1-D386)</f>
        <v/>
      </c>
      <c r="S386" s="7">
        <f>Mecanismos!B9*(1-J386)</f>
        <v/>
      </c>
      <c r="T386" s="7">
        <f>Mecanismos!B8*H386</f>
        <v/>
      </c>
      <c r="U386" s="7">
        <f>Mecanismos!B10*H386</f>
        <v/>
      </c>
      <c r="V386" s="7">
        <f>Mecanismos!B8*K386</f>
        <v/>
      </c>
      <c r="W386" s="7">
        <f>SUM(L386:S386)</f>
        <v/>
      </c>
      <c r="X386" s="7">
        <f>SUM(T386:V386)</f>
        <v/>
      </c>
      <c r="Y386" s="8">
        <f>MAX(0,MIN(1,Parametros!B2-W386*Parametros!B3+X386*Parametros!B4))</f>
        <v/>
      </c>
    </row>
    <row r="387">
      <c r="A387" t="inlineStr">
        <is>
          <t>lmu3p9</t>
        </is>
      </c>
      <c r="B387" t="inlineStr">
        <is>
          <t>Melissa Vasconcelos</t>
        </is>
      </c>
      <c r="C387" s="6" t="n">
        <v>0.6284</v>
      </c>
      <c r="D387" s="6" t="n">
        <v>0.8091</v>
      </c>
      <c r="E387" s="6" t="n">
        <v>0.3531</v>
      </c>
      <c r="F387" s="6" t="n">
        <v>0.6142</v>
      </c>
      <c r="G387" s="6" t="n">
        <v>0.8213</v>
      </c>
      <c r="H387" s="6" t="n">
        <v>0.5621</v>
      </c>
      <c r="I387" s="6" t="n">
        <v>0.6931</v>
      </c>
      <c r="J387" s="6" t="n">
        <v>0.8635</v>
      </c>
      <c r="K387" s="6" t="n">
        <v>0.3818</v>
      </c>
      <c r="L387" s="7">
        <f>Mecanismos!B2*C387</f>
        <v/>
      </c>
      <c r="M387" s="7">
        <f>Mecanismos!B7*D387</f>
        <v/>
      </c>
      <c r="N387" s="7">
        <f>Mecanismos!B4*(1-E387)</f>
        <v/>
      </c>
      <c r="O387" s="7">
        <f>Mecanismos!B5*(1-F387)</f>
        <v/>
      </c>
      <c r="P387" s="7">
        <f>Mecanismos!B6*(1-I387)</f>
        <v/>
      </c>
      <c r="Q387" s="7">
        <f>Mecanismos!B9*(1-G387)</f>
        <v/>
      </c>
      <c r="R387" s="7">
        <f>Mecanismos!B3*(1-D387)</f>
        <v/>
      </c>
      <c r="S387" s="7">
        <f>Mecanismos!B9*(1-J387)</f>
        <v/>
      </c>
      <c r="T387" s="7">
        <f>Mecanismos!B8*H387</f>
        <v/>
      </c>
      <c r="U387" s="7">
        <f>Mecanismos!B10*H387</f>
        <v/>
      </c>
      <c r="V387" s="7">
        <f>Mecanismos!B8*K387</f>
        <v/>
      </c>
      <c r="W387" s="7">
        <f>SUM(L387:S387)</f>
        <v/>
      </c>
      <c r="X387" s="7">
        <f>SUM(T387:V387)</f>
        <v/>
      </c>
      <c r="Y387" s="8">
        <f>MAX(0,MIN(1,Parametros!B2-W387*Parametros!B3+X387*Parametros!B4))</f>
        <v/>
      </c>
    </row>
    <row r="388">
      <c r="A388" t="inlineStr">
        <is>
          <t>m30ngx</t>
        </is>
      </c>
      <c r="B388" t="inlineStr">
        <is>
          <t>Miguel Moreira</t>
        </is>
      </c>
      <c r="C388" s="6" t="n">
        <v>0.8004</v>
      </c>
      <c r="D388" s="6" t="n">
        <v>0.4565</v>
      </c>
      <c r="E388" s="6" t="n">
        <v>0.7272999999999999</v>
      </c>
      <c r="F388" s="6" t="n">
        <v>0.3651</v>
      </c>
      <c r="G388" s="6" t="n">
        <v>0.4936</v>
      </c>
      <c r="H388" s="6" t="n">
        <v>0.6206</v>
      </c>
      <c r="I388" s="6" t="n">
        <v>0.2717</v>
      </c>
      <c r="J388" s="6" t="n">
        <v>0.6235000000000001</v>
      </c>
      <c r="K388" s="6" t="n">
        <v>0.5276</v>
      </c>
      <c r="L388" s="7">
        <f>Mecanismos!B2*C388</f>
        <v/>
      </c>
      <c r="M388" s="7">
        <f>Mecanismos!B7*D388</f>
        <v/>
      </c>
      <c r="N388" s="7">
        <f>Mecanismos!B4*(1-E388)</f>
        <v/>
      </c>
      <c r="O388" s="7">
        <f>Mecanismos!B5*(1-F388)</f>
        <v/>
      </c>
      <c r="P388" s="7">
        <f>Mecanismos!B6*(1-I388)</f>
        <v/>
      </c>
      <c r="Q388" s="7">
        <f>Mecanismos!B9*(1-G388)</f>
        <v/>
      </c>
      <c r="R388" s="7">
        <f>Mecanismos!B3*(1-D388)</f>
        <v/>
      </c>
      <c r="S388" s="7">
        <f>Mecanismos!B9*(1-J388)</f>
        <v/>
      </c>
      <c r="T388" s="7">
        <f>Mecanismos!B8*H388</f>
        <v/>
      </c>
      <c r="U388" s="7">
        <f>Mecanismos!B10*H388</f>
        <v/>
      </c>
      <c r="V388" s="7">
        <f>Mecanismos!B8*K388</f>
        <v/>
      </c>
      <c r="W388" s="7">
        <f>SUM(L388:S388)</f>
        <v/>
      </c>
      <c r="X388" s="7">
        <f>SUM(T388:V388)</f>
        <v/>
      </c>
      <c r="Y388" s="8">
        <f>MAX(0,MIN(1,Parametros!B2-W388*Parametros!B3+X388*Parametros!B4))</f>
        <v/>
      </c>
    </row>
    <row r="389">
      <c r="A389" t="inlineStr">
        <is>
          <t>llfg1b</t>
        </is>
      </c>
      <c r="B389" t="inlineStr">
        <is>
          <t>Mirella Duarte</t>
        </is>
      </c>
      <c r="C389" s="6" t="n">
        <v>0.5536</v>
      </c>
      <c r="D389" s="6" t="n">
        <v>0.6114000000000001</v>
      </c>
      <c r="E389" s="6" t="n">
        <v>0.5854</v>
      </c>
      <c r="F389" s="6" t="n">
        <v>0.343</v>
      </c>
      <c r="G389" s="6" t="n">
        <v>0.5561</v>
      </c>
      <c r="H389" s="6" t="n">
        <v>0.6226</v>
      </c>
      <c r="I389" s="6" t="n">
        <v>0.7519</v>
      </c>
      <c r="J389" s="6" t="n">
        <v>0.8259</v>
      </c>
      <c r="K389" s="6" t="n">
        <v>0.454</v>
      </c>
      <c r="L389" s="7">
        <f>Mecanismos!B2*C389</f>
        <v/>
      </c>
      <c r="M389" s="7">
        <f>Mecanismos!B7*D389</f>
        <v/>
      </c>
      <c r="N389" s="7">
        <f>Mecanismos!B4*(1-E389)</f>
        <v/>
      </c>
      <c r="O389" s="7">
        <f>Mecanismos!B5*(1-F389)</f>
        <v/>
      </c>
      <c r="P389" s="7">
        <f>Mecanismos!B6*(1-I389)</f>
        <v/>
      </c>
      <c r="Q389" s="7">
        <f>Mecanismos!B9*(1-G389)</f>
        <v/>
      </c>
      <c r="R389" s="7">
        <f>Mecanismos!B3*(1-D389)</f>
        <v/>
      </c>
      <c r="S389" s="7">
        <f>Mecanismos!B9*(1-J389)</f>
        <v/>
      </c>
      <c r="T389" s="7">
        <f>Mecanismos!B8*H389</f>
        <v/>
      </c>
      <c r="U389" s="7">
        <f>Mecanismos!B10*H389</f>
        <v/>
      </c>
      <c r="V389" s="7">
        <f>Mecanismos!B8*K389</f>
        <v/>
      </c>
      <c r="W389" s="7">
        <f>SUM(L389:S389)</f>
        <v/>
      </c>
      <c r="X389" s="7">
        <f>SUM(T389:V389)</f>
        <v/>
      </c>
      <c r="Y389" s="8">
        <f>MAX(0,MIN(1,Parametros!B2-W389*Parametros!B3+X389*Parametros!B4))</f>
        <v/>
      </c>
    </row>
    <row r="390">
      <c r="A390" t="inlineStr">
        <is>
          <t>7wu4hm</t>
        </is>
      </c>
      <c r="B390" t="inlineStr">
        <is>
          <t>Mirella Jesus</t>
        </is>
      </c>
      <c r="C390" s="6" t="n">
        <v>0.5052</v>
      </c>
      <c r="D390" s="6" t="n">
        <v>0.3138</v>
      </c>
      <c r="E390" s="6" t="n">
        <v>0.7708</v>
      </c>
      <c r="F390" s="6" t="n">
        <v>0.4079</v>
      </c>
      <c r="G390" s="6" t="n">
        <v>0.5006</v>
      </c>
      <c r="H390" s="6" t="n">
        <v>0.7235</v>
      </c>
      <c r="I390" s="6" t="n">
        <v>0.2811</v>
      </c>
      <c r="J390" s="6" t="n">
        <v>0.7452</v>
      </c>
      <c r="K390" s="6" t="n">
        <v>0.3527</v>
      </c>
      <c r="L390" s="7">
        <f>Mecanismos!B2*C390</f>
        <v/>
      </c>
      <c r="M390" s="7">
        <f>Mecanismos!B7*D390</f>
        <v/>
      </c>
      <c r="N390" s="7">
        <f>Mecanismos!B4*(1-E390)</f>
        <v/>
      </c>
      <c r="O390" s="7">
        <f>Mecanismos!B5*(1-F390)</f>
        <v/>
      </c>
      <c r="P390" s="7">
        <f>Mecanismos!B6*(1-I390)</f>
        <v/>
      </c>
      <c r="Q390" s="7">
        <f>Mecanismos!B9*(1-G390)</f>
        <v/>
      </c>
      <c r="R390" s="7">
        <f>Mecanismos!B3*(1-D390)</f>
        <v/>
      </c>
      <c r="S390" s="7">
        <f>Mecanismos!B9*(1-J390)</f>
        <v/>
      </c>
      <c r="T390" s="7">
        <f>Mecanismos!B8*H390</f>
        <v/>
      </c>
      <c r="U390" s="7">
        <f>Mecanismos!B10*H390</f>
        <v/>
      </c>
      <c r="V390" s="7">
        <f>Mecanismos!B8*K390</f>
        <v/>
      </c>
      <c r="W390" s="7">
        <f>SUM(L390:S390)</f>
        <v/>
      </c>
      <c r="X390" s="7">
        <f>SUM(T390:V390)</f>
        <v/>
      </c>
      <c r="Y390" s="8">
        <f>MAX(0,MIN(1,Parametros!B2-W390*Parametros!B3+X390*Parametros!B4))</f>
        <v/>
      </c>
    </row>
    <row r="391">
      <c r="A391" t="inlineStr">
        <is>
          <t>jmux5i</t>
        </is>
      </c>
      <c r="B391" t="inlineStr">
        <is>
          <t>Mirella Nunes</t>
        </is>
      </c>
      <c r="C391" s="6" t="n">
        <v>0.4329</v>
      </c>
      <c r="D391" s="6" t="n">
        <v>0.6032999999999999</v>
      </c>
      <c r="E391" s="6" t="n">
        <v>0.4178</v>
      </c>
      <c r="F391" s="6" t="n">
        <v>0.2928</v>
      </c>
      <c r="G391" s="6" t="n">
        <v>0.3196</v>
      </c>
      <c r="H391" s="6" t="n">
        <v>0.6924</v>
      </c>
      <c r="I391" s="6" t="n">
        <v>0.4584</v>
      </c>
      <c r="J391" s="6" t="n">
        <v>0.8729</v>
      </c>
      <c r="K391" s="6" t="n">
        <v>0.217</v>
      </c>
      <c r="L391" s="7">
        <f>Mecanismos!B2*C391</f>
        <v/>
      </c>
      <c r="M391" s="7">
        <f>Mecanismos!B7*D391</f>
        <v/>
      </c>
      <c r="N391" s="7">
        <f>Mecanismos!B4*(1-E391)</f>
        <v/>
      </c>
      <c r="O391" s="7">
        <f>Mecanismos!B5*(1-F391)</f>
        <v/>
      </c>
      <c r="P391" s="7">
        <f>Mecanismos!B6*(1-I391)</f>
        <v/>
      </c>
      <c r="Q391" s="7">
        <f>Mecanismos!B9*(1-G391)</f>
        <v/>
      </c>
      <c r="R391" s="7">
        <f>Mecanismos!B3*(1-D391)</f>
        <v/>
      </c>
      <c r="S391" s="7">
        <f>Mecanismos!B9*(1-J391)</f>
        <v/>
      </c>
      <c r="T391" s="7">
        <f>Mecanismos!B8*H391</f>
        <v/>
      </c>
      <c r="U391" s="7">
        <f>Mecanismos!B10*H391</f>
        <v/>
      </c>
      <c r="V391" s="7">
        <f>Mecanismos!B8*K391</f>
        <v/>
      </c>
      <c r="W391" s="7">
        <f>SUM(L391:S391)</f>
        <v/>
      </c>
      <c r="X391" s="7">
        <f>SUM(T391:V391)</f>
        <v/>
      </c>
      <c r="Y391" s="8">
        <f>MAX(0,MIN(1,Parametros!B2-W391*Parametros!B3+X391*Parametros!B4))</f>
        <v/>
      </c>
    </row>
    <row r="392">
      <c r="A392" t="inlineStr">
        <is>
          <t>gakl6t</t>
        </is>
      </c>
      <c r="B392" t="inlineStr">
        <is>
          <t>Nathan Almeida</t>
        </is>
      </c>
      <c r="C392" s="6" t="n">
        <v>0.618</v>
      </c>
      <c r="D392" s="6" t="n">
        <v>0.5451</v>
      </c>
      <c r="E392" s="6" t="n">
        <v>0.8361</v>
      </c>
      <c r="F392" s="6" t="n">
        <v>0.5199</v>
      </c>
      <c r="G392" s="6" t="n">
        <v>0.7254</v>
      </c>
      <c r="H392" s="6" t="n">
        <v>0.6322</v>
      </c>
      <c r="I392" s="6" t="n">
        <v>0.4046</v>
      </c>
      <c r="J392" s="6" t="n">
        <v>0.8487</v>
      </c>
      <c r="K392" s="6" t="n">
        <v>0.4964</v>
      </c>
      <c r="L392" s="7">
        <f>Mecanismos!B2*C392</f>
        <v/>
      </c>
      <c r="M392" s="7">
        <f>Mecanismos!B7*D392</f>
        <v/>
      </c>
      <c r="N392" s="7">
        <f>Mecanismos!B4*(1-E392)</f>
        <v/>
      </c>
      <c r="O392" s="7">
        <f>Mecanismos!B5*(1-F392)</f>
        <v/>
      </c>
      <c r="P392" s="7">
        <f>Mecanismos!B6*(1-I392)</f>
        <v/>
      </c>
      <c r="Q392" s="7">
        <f>Mecanismos!B9*(1-G392)</f>
        <v/>
      </c>
      <c r="R392" s="7">
        <f>Mecanismos!B3*(1-D392)</f>
        <v/>
      </c>
      <c r="S392" s="7">
        <f>Mecanismos!B9*(1-J392)</f>
        <v/>
      </c>
      <c r="T392" s="7">
        <f>Mecanismos!B8*H392</f>
        <v/>
      </c>
      <c r="U392" s="7">
        <f>Mecanismos!B10*H392</f>
        <v/>
      </c>
      <c r="V392" s="7">
        <f>Mecanismos!B8*K392</f>
        <v/>
      </c>
      <c r="W392" s="7">
        <f>SUM(L392:S392)</f>
        <v/>
      </c>
      <c r="X392" s="7">
        <f>SUM(T392:V392)</f>
        <v/>
      </c>
      <c r="Y392" s="8">
        <f>MAX(0,MIN(1,Parametros!B2-W392*Parametros!B3+X392*Parametros!B4))</f>
        <v/>
      </c>
    </row>
    <row r="393">
      <c r="A393" t="inlineStr">
        <is>
          <t>6x4kgh</t>
        </is>
      </c>
      <c r="B393" t="inlineStr">
        <is>
          <t>Nathan Cavalcanti</t>
        </is>
      </c>
      <c r="C393" s="6" t="n">
        <v>0.8087</v>
      </c>
      <c r="D393" s="6" t="n">
        <v>0.3749</v>
      </c>
      <c r="E393" s="6" t="n">
        <v>0.4464</v>
      </c>
      <c r="F393" s="6" t="n">
        <v>0.6299</v>
      </c>
      <c r="G393" s="6" t="n">
        <v>0.5255</v>
      </c>
      <c r="H393" s="6" t="n">
        <v>0.6385</v>
      </c>
      <c r="I393" s="6" t="n">
        <v>0.4692</v>
      </c>
      <c r="J393" s="6" t="n">
        <v>0.63</v>
      </c>
      <c r="K393" s="6" t="n">
        <v>0.7573</v>
      </c>
      <c r="L393" s="7">
        <f>Mecanismos!B2*C393</f>
        <v/>
      </c>
      <c r="M393" s="7">
        <f>Mecanismos!B7*D393</f>
        <v/>
      </c>
      <c r="N393" s="7">
        <f>Mecanismos!B4*(1-E393)</f>
        <v/>
      </c>
      <c r="O393" s="7">
        <f>Mecanismos!B5*(1-F393)</f>
        <v/>
      </c>
      <c r="P393" s="7">
        <f>Mecanismos!B6*(1-I393)</f>
        <v/>
      </c>
      <c r="Q393" s="7">
        <f>Mecanismos!B9*(1-G393)</f>
        <v/>
      </c>
      <c r="R393" s="7">
        <f>Mecanismos!B3*(1-D393)</f>
        <v/>
      </c>
      <c r="S393" s="7">
        <f>Mecanismos!B9*(1-J393)</f>
        <v/>
      </c>
      <c r="T393" s="7">
        <f>Mecanismos!B8*H393</f>
        <v/>
      </c>
      <c r="U393" s="7">
        <f>Mecanismos!B10*H393</f>
        <v/>
      </c>
      <c r="V393" s="7">
        <f>Mecanismos!B8*K393</f>
        <v/>
      </c>
      <c r="W393" s="7">
        <f>SUM(L393:S393)</f>
        <v/>
      </c>
      <c r="X393" s="7">
        <f>SUM(T393:V393)</f>
        <v/>
      </c>
      <c r="Y393" s="8">
        <f>MAX(0,MIN(1,Parametros!B2-W393*Parametros!B3+X393*Parametros!B4))</f>
        <v/>
      </c>
    </row>
    <row r="394">
      <c r="A394" t="inlineStr">
        <is>
          <t>tryw9i</t>
        </is>
      </c>
      <c r="B394" t="inlineStr">
        <is>
          <t>Nathan Guerra</t>
        </is>
      </c>
      <c r="C394" s="6" t="n">
        <v>0.634</v>
      </c>
      <c r="D394" s="6" t="n">
        <v>0.4214</v>
      </c>
      <c r="E394" s="6" t="n">
        <v>0.6647999999999999</v>
      </c>
      <c r="F394" s="6" t="n">
        <v>0.4505</v>
      </c>
      <c r="G394" s="6" t="n">
        <v>0.3641</v>
      </c>
      <c r="H394" s="6" t="n">
        <v>0.7108</v>
      </c>
      <c r="I394" s="6" t="n">
        <v>0.4226</v>
      </c>
      <c r="J394" s="6" t="n">
        <v>0.783</v>
      </c>
      <c r="K394" s="6" t="n">
        <v>0.6969</v>
      </c>
      <c r="L394" s="7">
        <f>Mecanismos!B2*C394</f>
        <v/>
      </c>
      <c r="M394" s="7">
        <f>Mecanismos!B7*D394</f>
        <v/>
      </c>
      <c r="N394" s="7">
        <f>Mecanismos!B4*(1-E394)</f>
        <v/>
      </c>
      <c r="O394" s="7">
        <f>Mecanismos!B5*(1-F394)</f>
        <v/>
      </c>
      <c r="P394" s="7">
        <f>Mecanismos!B6*(1-I394)</f>
        <v/>
      </c>
      <c r="Q394" s="7">
        <f>Mecanismos!B9*(1-G394)</f>
        <v/>
      </c>
      <c r="R394" s="7">
        <f>Mecanismos!B3*(1-D394)</f>
        <v/>
      </c>
      <c r="S394" s="7">
        <f>Mecanismos!B9*(1-J394)</f>
        <v/>
      </c>
      <c r="T394" s="7">
        <f>Mecanismos!B8*H394</f>
        <v/>
      </c>
      <c r="U394" s="7">
        <f>Mecanismos!B10*H394</f>
        <v/>
      </c>
      <c r="V394" s="7">
        <f>Mecanismos!B8*K394</f>
        <v/>
      </c>
      <c r="W394" s="7">
        <f>SUM(L394:S394)</f>
        <v/>
      </c>
      <c r="X394" s="7">
        <f>SUM(T394:V394)</f>
        <v/>
      </c>
      <c r="Y394" s="8">
        <f>MAX(0,MIN(1,Parametros!B2-W394*Parametros!B3+X394*Parametros!B4))</f>
        <v/>
      </c>
    </row>
    <row r="395">
      <c r="A395" t="inlineStr">
        <is>
          <t>6pshms</t>
        </is>
      </c>
      <c r="B395" t="inlineStr">
        <is>
          <t>Natália Cassiano</t>
        </is>
      </c>
      <c r="C395" s="6" t="n">
        <v>0.6304999999999999</v>
      </c>
      <c r="D395" s="6" t="n">
        <v>0.3427</v>
      </c>
      <c r="E395" s="6" t="n">
        <v>0.3778</v>
      </c>
      <c r="F395" s="6" t="n">
        <v>0.6656</v>
      </c>
      <c r="G395" s="6" t="n">
        <v>0.6904</v>
      </c>
      <c r="H395" s="6" t="n">
        <v>0.6492</v>
      </c>
      <c r="I395" s="6" t="n">
        <v>0.5635</v>
      </c>
      <c r="J395" s="6" t="n">
        <v>0.8516</v>
      </c>
      <c r="K395" s="6" t="n">
        <v>0.3039</v>
      </c>
      <c r="L395" s="7">
        <f>Mecanismos!B2*C395</f>
        <v/>
      </c>
      <c r="M395" s="7">
        <f>Mecanismos!B7*D395</f>
        <v/>
      </c>
      <c r="N395" s="7">
        <f>Mecanismos!B4*(1-E395)</f>
        <v/>
      </c>
      <c r="O395" s="7">
        <f>Mecanismos!B5*(1-F395)</f>
        <v/>
      </c>
      <c r="P395" s="7">
        <f>Mecanismos!B6*(1-I395)</f>
        <v/>
      </c>
      <c r="Q395" s="7">
        <f>Mecanismos!B9*(1-G395)</f>
        <v/>
      </c>
      <c r="R395" s="7">
        <f>Mecanismos!B3*(1-D395)</f>
        <v/>
      </c>
      <c r="S395" s="7">
        <f>Mecanismos!B9*(1-J395)</f>
        <v/>
      </c>
      <c r="T395" s="7">
        <f>Mecanismos!B8*H395</f>
        <v/>
      </c>
      <c r="U395" s="7">
        <f>Mecanismos!B10*H395</f>
        <v/>
      </c>
      <c r="V395" s="7">
        <f>Mecanismos!B8*K395</f>
        <v/>
      </c>
      <c r="W395" s="7">
        <f>SUM(L395:S395)</f>
        <v/>
      </c>
      <c r="X395" s="7">
        <f>SUM(T395:V395)</f>
        <v/>
      </c>
      <c r="Y395" s="8">
        <f>MAX(0,MIN(1,Parametros!B2-W395*Parametros!B3+X395*Parametros!B4))</f>
        <v/>
      </c>
    </row>
    <row r="396">
      <c r="A396" t="inlineStr">
        <is>
          <t>k0i6yz</t>
        </is>
      </c>
      <c r="B396" t="inlineStr">
        <is>
          <t>Natália da Cruz</t>
        </is>
      </c>
      <c r="C396" s="6" t="n">
        <v>0.7229</v>
      </c>
      <c r="D396" s="6" t="n">
        <v>0.6276</v>
      </c>
      <c r="E396" s="6" t="n">
        <v>0.5474</v>
      </c>
      <c r="F396" s="6" t="n">
        <v>0.4699</v>
      </c>
      <c r="G396" s="6" t="n">
        <v>0.3399</v>
      </c>
      <c r="H396" s="6" t="n">
        <v>0.6206</v>
      </c>
      <c r="I396" s="6" t="n">
        <v>0.5193</v>
      </c>
      <c r="J396" s="6" t="n">
        <v>0.6979</v>
      </c>
      <c r="K396" s="6" t="n">
        <v>0.6784</v>
      </c>
      <c r="L396" s="7">
        <f>Mecanismos!B2*C396</f>
        <v/>
      </c>
      <c r="M396" s="7">
        <f>Mecanismos!B7*D396</f>
        <v/>
      </c>
      <c r="N396" s="7">
        <f>Mecanismos!B4*(1-E396)</f>
        <v/>
      </c>
      <c r="O396" s="7">
        <f>Mecanismos!B5*(1-F396)</f>
        <v/>
      </c>
      <c r="P396" s="7">
        <f>Mecanismos!B6*(1-I396)</f>
        <v/>
      </c>
      <c r="Q396" s="7">
        <f>Mecanismos!B9*(1-G396)</f>
        <v/>
      </c>
      <c r="R396" s="7">
        <f>Mecanismos!B3*(1-D396)</f>
        <v/>
      </c>
      <c r="S396" s="7">
        <f>Mecanismos!B9*(1-J396)</f>
        <v/>
      </c>
      <c r="T396" s="7">
        <f>Mecanismos!B8*H396</f>
        <v/>
      </c>
      <c r="U396" s="7">
        <f>Mecanismos!B10*H396</f>
        <v/>
      </c>
      <c r="V396" s="7">
        <f>Mecanismos!B8*K396</f>
        <v/>
      </c>
      <c r="W396" s="7">
        <f>SUM(L396:S396)</f>
        <v/>
      </c>
      <c r="X396" s="7">
        <f>SUM(T396:V396)</f>
        <v/>
      </c>
      <c r="Y396" s="8">
        <f>MAX(0,MIN(1,Parametros!B2-W396*Parametros!B3+X396*Parametros!B4))</f>
        <v/>
      </c>
    </row>
    <row r="397">
      <c r="A397" t="inlineStr">
        <is>
          <t>sejtwi</t>
        </is>
      </c>
      <c r="B397" t="inlineStr">
        <is>
          <t>Nicolas Campos</t>
        </is>
      </c>
      <c r="C397" s="6" t="n">
        <v>0.6401</v>
      </c>
      <c r="D397" s="6" t="n">
        <v>0.4029</v>
      </c>
      <c r="E397" s="6" t="n">
        <v>0.4345</v>
      </c>
      <c r="F397" s="6" t="n">
        <v>0.5981</v>
      </c>
      <c r="G397" s="6" t="n">
        <v>0.7556</v>
      </c>
      <c r="H397" s="6" t="n">
        <v>0.5619</v>
      </c>
      <c r="I397" s="6" t="n">
        <v>0.4555</v>
      </c>
      <c r="J397" s="6" t="n">
        <v>0.8326</v>
      </c>
      <c r="K397" s="6" t="n">
        <v>0.8202</v>
      </c>
      <c r="L397" s="7">
        <f>Mecanismos!B2*C397</f>
        <v/>
      </c>
      <c r="M397" s="7">
        <f>Mecanismos!B7*D397</f>
        <v/>
      </c>
      <c r="N397" s="7">
        <f>Mecanismos!B4*(1-E397)</f>
        <v/>
      </c>
      <c r="O397" s="7">
        <f>Mecanismos!B5*(1-F397)</f>
        <v/>
      </c>
      <c r="P397" s="7">
        <f>Mecanismos!B6*(1-I397)</f>
        <v/>
      </c>
      <c r="Q397" s="7">
        <f>Mecanismos!B9*(1-G397)</f>
        <v/>
      </c>
      <c r="R397" s="7">
        <f>Mecanismos!B3*(1-D397)</f>
        <v/>
      </c>
      <c r="S397" s="7">
        <f>Mecanismos!B9*(1-J397)</f>
        <v/>
      </c>
      <c r="T397" s="7">
        <f>Mecanismos!B8*H397</f>
        <v/>
      </c>
      <c r="U397" s="7">
        <f>Mecanismos!B10*H397</f>
        <v/>
      </c>
      <c r="V397" s="7">
        <f>Mecanismos!B8*K397</f>
        <v/>
      </c>
      <c r="W397" s="7">
        <f>SUM(L397:S397)</f>
        <v/>
      </c>
      <c r="X397" s="7">
        <f>SUM(T397:V397)</f>
        <v/>
      </c>
      <c r="Y397" s="8">
        <f>MAX(0,MIN(1,Parametros!B2-W397*Parametros!B3+X397*Parametros!B4))</f>
        <v/>
      </c>
    </row>
    <row r="398">
      <c r="A398" t="inlineStr">
        <is>
          <t>uq4qio</t>
        </is>
      </c>
      <c r="B398" t="inlineStr">
        <is>
          <t>Nicolas Costela</t>
        </is>
      </c>
      <c r="C398" s="6" t="n">
        <v>0.5966</v>
      </c>
      <c r="D398" s="6" t="n">
        <v>0.55</v>
      </c>
      <c r="E398" s="6" t="n">
        <v>0.4347</v>
      </c>
      <c r="F398" s="6" t="n">
        <v>0.7448</v>
      </c>
      <c r="G398" s="6" t="n">
        <v>0.5031</v>
      </c>
      <c r="H398" s="6" t="n">
        <v>0.4646</v>
      </c>
      <c r="I398" s="6" t="n">
        <v>0.8221000000000001</v>
      </c>
      <c r="J398" s="6" t="n">
        <v>0.76</v>
      </c>
      <c r="K398" s="6" t="n">
        <v>0.8195</v>
      </c>
      <c r="L398" s="7">
        <f>Mecanismos!B2*C398</f>
        <v/>
      </c>
      <c r="M398" s="7">
        <f>Mecanismos!B7*D398</f>
        <v/>
      </c>
      <c r="N398" s="7">
        <f>Mecanismos!B4*(1-E398)</f>
        <v/>
      </c>
      <c r="O398" s="7">
        <f>Mecanismos!B5*(1-F398)</f>
        <v/>
      </c>
      <c r="P398" s="7">
        <f>Mecanismos!B6*(1-I398)</f>
        <v/>
      </c>
      <c r="Q398" s="7">
        <f>Mecanismos!B9*(1-G398)</f>
        <v/>
      </c>
      <c r="R398" s="7">
        <f>Mecanismos!B3*(1-D398)</f>
        <v/>
      </c>
      <c r="S398" s="7">
        <f>Mecanismos!B9*(1-J398)</f>
        <v/>
      </c>
      <c r="T398" s="7">
        <f>Mecanismos!B8*H398</f>
        <v/>
      </c>
      <c r="U398" s="7">
        <f>Mecanismos!B10*H398</f>
        <v/>
      </c>
      <c r="V398" s="7">
        <f>Mecanismos!B8*K398</f>
        <v/>
      </c>
      <c r="W398" s="7">
        <f>SUM(L398:S398)</f>
        <v/>
      </c>
      <c r="X398" s="7">
        <f>SUM(T398:V398)</f>
        <v/>
      </c>
      <c r="Y398" s="8">
        <f>MAX(0,MIN(1,Parametros!B2-W398*Parametros!B3+X398*Parametros!B4))</f>
        <v/>
      </c>
    </row>
    <row r="399">
      <c r="A399" t="inlineStr">
        <is>
          <t>xwilp7</t>
        </is>
      </c>
      <c r="B399" t="inlineStr">
        <is>
          <t>Nicolas Pires</t>
        </is>
      </c>
      <c r="C399" s="6" t="n">
        <v>0.4727</v>
      </c>
      <c r="D399" s="6" t="n">
        <v>0.7297</v>
      </c>
      <c r="E399" s="6" t="n">
        <v>0.4347</v>
      </c>
      <c r="F399" s="6" t="n">
        <v>0.3364</v>
      </c>
      <c r="G399" s="6" t="n">
        <v>0.5394</v>
      </c>
      <c r="H399" s="6" t="n">
        <v>0.6918</v>
      </c>
      <c r="I399" s="6" t="n">
        <v>0.7154</v>
      </c>
      <c r="J399" s="6" t="n">
        <v>0.5974</v>
      </c>
      <c r="K399" s="6" t="n">
        <v>0.3864</v>
      </c>
      <c r="L399" s="7">
        <f>Mecanismos!B2*C399</f>
        <v/>
      </c>
      <c r="M399" s="7">
        <f>Mecanismos!B7*D399</f>
        <v/>
      </c>
      <c r="N399" s="7">
        <f>Mecanismos!B4*(1-E399)</f>
        <v/>
      </c>
      <c r="O399" s="7">
        <f>Mecanismos!B5*(1-F399)</f>
        <v/>
      </c>
      <c r="P399" s="7">
        <f>Mecanismos!B6*(1-I399)</f>
        <v/>
      </c>
      <c r="Q399" s="7">
        <f>Mecanismos!B9*(1-G399)</f>
        <v/>
      </c>
      <c r="R399" s="7">
        <f>Mecanismos!B3*(1-D399)</f>
        <v/>
      </c>
      <c r="S399" s="7">
        <f>Mecanismos!B9*(1-J399)</f>
        <v/>
      </c>
      <c r="T399" s="7">
        <f>Mecanismos!B8*H399</f>
        <v/>
      </c>
      <c r="U399" s="7">
        <f>Mecanismos!B10*H399</f>
        <v/>
      </c>
      <c r="V399" s="7">
        <f>Mecanismos!B8*K399</f>
        <v/>
      </c>
      <c r="W399" s="7">
        <f>SUM(L399:S399)</f>
        <v/>
      </c>
      <c r="X399" s="7">
        <f>SUM(T399:V399)</f>
        <v/>
      </c>
      <c r="Y399" s="8">
        <f>MAX(0,MIN(1,Parametros!B2-W399*Parametros!B3+X399*Parametros!B4))</f>
        <v/>
      </c>
    </row>
    <row r="400">
      <c r="A400" t="inlineStr">
        <is>
          <t>89cv6d</t>
        </is>
      </c>
      <c r="B400" t="inlineStr">
        <is>
          <t>Nicole Mendes</t>
        </is>
      </c>
      <c r="C400" s="6" t="n">
        <v>0.6332</v>
      </c>
      <c r="D400" s="6" t="n">
        <v>0.6753</v>
      </c>
      <c r="E400" s="6" t="n">
        <v>0.3537</v>
      </c>
      <c r="F400" s="6" t="n">
        <v>0.39</v>
      </c>
      <c r="G400" s="6" t="n">
        <v>0.5358000000000001</v>
      </c>
      <c r="H400" s="6" t="n">
        <v>0.6072</v>
      </c>
      <c r="I400" s="6" t="n">
        <v>0.4348</v>
      </c>
      <c r="J400" s="6" t="n">
        <v>0.8433</v>
      </c>
      <c r="K400" s="6" t="n">
        <v>0.4975</v>
      </c>
      <c r="L400" s="7">
        <f>Mecanismos!B2*C400</f>
        <v/>
      </c>
      <c r="M400" s="7">
        <f>Mecanismos!B7*D400</f>
        <v/>
      </c>
      <c r="N400" s="7">
        <f>Mecanismos!B4*(1-E400)</f>
        <v/>
      </c>
      <c r="O400" s="7">
        <f>Mecanismos!B5*(1-F400)</f>
        <v/>
      </c>
      <c r="P400" s="7">
        <f>Mecanismos!B6*(1-I400)</f>
        <v/>
      </c>
      <c r="Q400" s="7">
        <f>Mecanismos!B9*(1-G400)</f>
        <v/>
      </c>
      <c r="R400" s="7">
        <f>Mecanismos!B3*(1-D400)</f>
        <v/>
      </c>
      <c r="S400" s="7">
        <f>Mecanismos!B9*(1-J400)</f>
        <v/>
      </c>
      <c r="T400" s="7">
        <f>Mecanismos!B8*H400</f>
        <v/>
      </c>
      <c r="U400" s="7">
        <f>Mecanismos!B10*H400</f>
        <v/>
      </c>
      <c r="V400" s="7">
        <f>Mecanismos!B8*K400</f>
        <v/>
      </c>
      <c r="W400" s="7">
        <f>SUM(L400:S400)</f>
        <v/>
      </c>
      <c r="X400" s="7">
        <f>SUM(T400:V400)</f>
        <v/>
      </c>
      <c r="Y400" s="8">
        <f>MAX(0,MIN(1,Parametros!B2-W400*Parametros!B3+X400*Parametros!B4))</f>
        <v/>
      </c>
    </row>
    <row r="401">
      <c r="A401" t="inlineStr">
        <is>
          <t>geg62w</t>
        </is>
      </c>
      <c r="B401" t="inlineStr">
        <is>
          <t>Oliver Rezende</t>
        </is>
      </c>
      <c r="C401" s="6" t="n">
        <v>0.617</v>
      </c>
      <c r="D401" s="6" t="n">
        <v>0.5274</v>
      </c>
      <c r="E401" s="6" t="n">
        <v>0.7564</v>
      </c>
      <c r="F401" s="6" t="n">
        <v>0.6277</v>
      </c>
      <c r="G401" s="6" t="n">
        <v>0.5441</v>
      </c>
      <c r="H401" s="6" t="n">
        <v>0.7371</v>
      </c>
      <c r="I401" s="6" t="n">
        <v>0.5281</v>
      </c>
      <c r="J401" s="6" t="n">
        <v>0.8238</v>
      </c>
      <c r="K401" s="6" t="n">
        <v>0.2677</v>
      </c>
      <c r="L401" s="7">
        <f>Mecanismos!B2*C401</f>
        <v/>
      </c>
      <c r="M401" s="7">
        <f>Mecanismos!B7*D401</f>
        <v/>
      </c>
      <c r="N401" s="7">
        <f>Mecanismos!B4*(1-E401)</f>
        <v/>
      </c>
      <c r="O401" s="7">
        <f>Mecanismos!B5*(1-F401)</f>
        <v/>
      </c>
      <c r="P401" s="7">
        <f>Mecanismos!B6*(1-I401)</f>
        <v/>
      </c>
      <c r="Q401" s="7">
        <f>Mecanismos!B9*(1-G401)</f>
        <v/>
      </c>
      <c r="R401" s="7">
        <f>Mecanismos!B3*(1-D401)</f>
        <v/>
      </c>
      <c r="S401" s="7">
        <f>Mecanismos!B9*(1-J401)</f>
        <v/>
      </c>
      <c r="T401" s="7">
        <f>Mecanismos!B8*H401</f>
        <v/>
      </c>
      <c r="U401" s="7">
        <f>Mecanismos!B10*H401</f>
        <v/>
      </c>
      <c r="V401" s="7">
        <f>Mecanismos!B8*K401</f>
        <v/>
      </c>
      <c r="W401" s="7">
        <f>SUM(L401:S401)</f>
        <v/>
      </c>
      <c r="X401" s="7">
        <f>SUM(T401:V401)</f>
        <v/>
      </c>
      <c r="Y401" s="8">
        <f>MAX(0,MIN(1,Parametros!B2-W401*Parametros!B3+X401*Parametros!B4))</f>
        <v/>
      </c>
    </row>
    <row r="402">
      <c r="A402" t="inlineStr">
        <is>
          <t>lcdzn4</t>
        </is>
      </c>
      <c r="B402" t="inlineStr">
        <is>
          <t>Olivia Monteiro</t>
        </is>
      </c>
      <c r="C402" s="6" t="n">
        <v>0.5615</v>
      </c>
      <c r="D402" s="6" t="n">
        <v>0.3412</v>
      </c>
      <c r="E402" s="6" t="n">
        <v>0.6546</v>
      </c>
      <c r="F402" s="6" t="n">
        <v>0.4907</v>
      </c>
      <c r="G402" s="6" t="n">
        <v>0.3028</v>
      </c>
      <c r="H402" s="6" t="n">
        <v>0.4563</v>
      </c>
      <c r="I402" s="6" t="n">
        <v>0.4712</v>
      </c>
      <c r="J402" s="6" t="n">
        <v>0.5456</v>
      </c>
      <c r="K402" s="6" t="n">
        <v>0.8915</v>
      </c>
      <c r="L402" s="7">
        <f>Mecanismos!B2*C402</f>
        <v/>
      </c>
      <c r="M402" s="7">
        <f>Mecanismos!B7*D402</f>
        <v/>
      </c>
      <c r="N402" s="7">
        <f>Mecanismos!B4*(1-E402)</f>
        <v/>
      </c>
      <c r="O402" s="7">
        <f>Mecanismos!B5*(1-F402)</f>
        <v/>
      </c>
      <c r="P402" s="7">
        <f>Mecanismos!B6*(1-I402)</f>
        <v/>
      </c>
      <c r="Q402" s="7">
        <f>Mecanismos!B9*(1-G402)</f>
        <v/>
      </c>
      <c r="R402" s="7">
        <f>Mecanismos!B3*(1-D402)</f>
        <v/>
      </c>
      <c r="S402" s="7">
        <f>Mecanismos!B9*(1-J402)</f>
        <v/>
      </c>
      <c r="T402" s="7">
        <f>Mecanismos!B8*H402</f>
        <v/>
      </c>
      <c r="U402" s="7">
        <f>Mecanismos!B10*H402</f>
        <v/>
      </c>
      <c r="V402" s="7">
        <f>Mecanismos!B8*K402</f>
        <v/>
      </c>
      <c r="W402" s="7">
        <f>SUM(L402:S402)</f>
        <v/>
      </c>
      <c r="X402" s="7">
        <f>SUM(T402:V402)</f>
        <v/>
      </c>
      <c r="Y402" s="8">
        <f>MAX(0,MIN(1,Parametros!B2-W402*Parametros!B3+X402*Parametros!B4))</f>
        <v/>
      </c>
    </row>
    <row r="403">
      <c r="A403" t="inlineStr">
        <is>
          <t>ewvapj</t>
        </is>
      </c>
      <c r="B403" t="inlineStr">
        <is>
          <t>Olívia Costa</t>
        </is>
      </c>
      <c r="C403" s="6" t="n">
        <v>0.6104000000000001</v>
      </c>
      <c r="D403" s="6" t="n">
        <v>0.4438</v>
      </c>
      <c r="E403" s="6" t="n">
        <v>0.5837</v>
      </c>
      <c r="F403" s="6" t="n">
        <v>0.7151999999999999</v>
      </c>
      <c r="G403" s="6" t="n">
        <v>0.5282</v>
      </c>
      <c r="H403" s="6" t="n">
        <v>0.3766</v>
      </c>
      <c r="I403" s="6" t="n">
        <v>0.3786</v>
      </c>
      <c r="J403" s="6" t="n">
        <v>0.9377</v>
      </c>
      <c r="K403" s="6" t="n">
        <v>0.5243</v>
      </c>
      <c r="L403" s="7">
        <f>Mecanismos!B2*C403</f>
        <v/>
      </c>
      <c r="M403" s="7">
        <f>Mecanismos!B7*D403</f>
        <v/>
      </c>
      <c r="N403" s="7">
        <f>Mecanismos!B4*(1-E403)</f>
        <v/>
      </c>
      <c r="O403" s="7">
        <f>Mecanismos!B5*(1-F403)</f>
        <v/>
      </c>
      <c r="P403" s="7">
        <f>Mecanismos!B6*(1-I403)</f>
        <v/>
      </c>
      <c r="Q403" s="7">
        <f>Mecanismos!B9*(1-G403)</f>
        <v/>
      </c>
      <c r="R403" s="7">
        <f>Mecanismos!B3*(1-D403)</f>
        <v/>
      </c>
      <c r="S403" s="7">
        <f>Mecanismos!B9*(1-J403)</f>
        <v/>
      </c>
      <c r="T403" s="7">
        <f>Mecanismos!B8*H403</f>
        <v/>
      </c>
      <c r="U403" s="7">
        <f>Mecanismos!B10*H403</f>
        <v/>
      </c>
      <c r="V403" s="7">
        <f>Mecanismos!B8*K403</f>
        <v/>
      </c>
      <c r="W403" s="7">
        <f>SUM(L403:S403)</f>
        <v/>
      </c>
      <c r="X403" s="7">
        <f>SUM(T403:V403)</f>
        <v/>
      </c>
      <c r="Y403" s="8">
        <f>MAX(0,MIN(1,Parametros!B2-W403*Parametros!B3+X403*Parametros!B4))</f>
        <v/>
      </c>
    </row>
    <row r="404">
      <c r="A404" t="inlineStr">
        <is>
          <t>1tymby</t>
        </is>
      </c>
      <c r="B404" t="inlineStr">
        <is>
          <t>Olívia Montenegro</t>
        </is>
      </c>
      <c r="C404" s="6" t="n">
        <v>0.6188</v>
      </c>
      <c r="D404" s="6" t="n">
        <v>0.5883</v>
      </c>
      <c r="E404" s="6" t="n">
        <v>0.7443</v>
      </c>
      <c r="F404" s="6" t="n">
        <v>0.486</v>
      </c>
      <c r="G404" s="6" t="n">
        <v>0.4474</v>
      </c>
      <c r="H404" s="6" t="n">
        <v>0.4904</v>
      </c>
      <c r="I404" s="6" t="n">
        <v>0.5862000000000001</v>
      </c>
      <c r="J404" s="6" t="n">
        <v>0.6153999999999999</v>
      </c>
      <c r="K404" s="6" t="n">
        <v>0.2308</v>
      </c>
      <c r="L404" s="7">
        <f>Mecanismos!B2*C404</f>
        <v/>
      </c>
      <c r="M404" s="7">
        <f>Mecanismos!B7*D404</f>
        <v/>
      </c>
      <c r="N404" s="7">
        <f>Mecanismos!B4*(1-E404)</f>
        <v/>
      </c>
      <c r="O404" s="7">
        <f>Mecanismos!B5*(1-F404)</f>
        <v/>
      </c>
      <c r="P404" s="7">
        <f>Mecanismos!B6*(1-I404)</f>
        <v/>
      </c>
      <c r="Q404" s="7">
        <f>Mecanismos!B9*(1-G404)</f>
        <v/>
      </c>
      <c r="R404" s="7">
        <f>Mecanismos!B3*(1-D404)</f>
        <v/>
      </c>
      <c r="S404" s="7">
        <f>Mecanismos!B9*(1-J404)</f>
        <v/>
      </c>
      <c r="T404" s="7">
        <f>Mecanismos!B8*H404</f>
        <v/>
      </c>
      <c r="U404" s="7">
        <f>Mecanismos!B10*H404</f>
        <v/>
      </c>
      <c r="V404" s="7">
        <f>Mecanismos!B8*K404</f>
        <v/>
      </c>
      <c r="W404" s="7">
        <f>SUM(L404:S404)</f>
        <v/>
      </c>
      <c r="X404" s="7">
        <f>SUM(T404:V404)</f>
        <v/>
      </c>
      <c r="Y404" s="8">
        <f>MAX(0,MIN(1,Parametros!B2-W404*Parametros!B3+X404*Parametros!B4))</f>
        <v/>
      </c>
    </row>
    <row r="405">
      <c r="A405" t="inlineStr">
        <is>
          <t>ow5vzh</t>
        </is>
      </c>
      <c r="B405" t="inlineStr">
        <is>
          <t>Olívia Vargas</t>
        </is>
      </c>
      <c r="C405" s="6" t="n">
        <v>0.8354</v>
      </c>
      <c r="D405" s="6" t="n">
        <v>0.3456</v>
      </c>
      <c r="E405" s="6" t="n">
        <v>0.7858000000000001</v>
      </c>
      <c r="F405" s="6" t="n">
        <v>0.4936</v>
      </c>
      <c r="G405" s="6" t="n">
        <v>0.3452</v>
      </c>
      <c r="H405" s="6" t="n">
        <v>0.5938</v>
      </c>
      <c r="I405" s="6" t="n">
        <v>0.3847</v>
      </c>
      <c r="J405" s="6" t="n">
        <v>0.4695</v>
      </c>
      <c r="K405" s="6" t="n">
        <v>0.7971</v>
      </c>
      <c r="L405" s="7">
        <f>Mecanismos!B2*C405</f>
        <v/>
      </c>
      <c r="M405" s="7">
        <f>Mecanismos!B7*D405</f>
        <v/>
      </c>
      <c r="N405" s="7">
        <f>Mecanismos!B4*(1-E405)</f>
        <v/>
      </c>
      <c r="O405" s="7">
        <f>Mecanismos!B5*(1-F405)</f>
        <v/>
      </c>
      <c r="P405" s="7">
        <f>Mecanismos!B6*(1-I405)</f>
        <v/>
      </c>
      <c r="Q405" s="7">
        <f>Mecanismos!B9*(1-G405)</f>
        <v/>
      </c>
      <c r="R405" s="7">
        <f>Mecanismos!B3*(1-D405)</f>
        <v/>
      </c>
      <c r="S405" s="7">
        <f>Mecanismos!B9*(1-J405)</f>
        <v/>
      </c>
      <c r="T405" s="7">
        <f>Mecanismos!B8*H405</f>
        <v/>
      </c>
      <c r="U405" s="7">
        <f>Mecanismos!B10*H405</f>
        <v/>
      </c>
      <c r="V405" s="7">
        <f>Mecanismos!B8*K405</f>
        <v/>
      </c>
      <c r="W405" s="7">
        <f>SUM(L405:S405)</f>
        <v/>
      </c>
      <c r="X405" s="7">
        <f>SUM(T405:V405)</f>
        <v/>
      </c>
      <c r="Y405" s="8">
        <f>MAX(0,MIN(1,Parametros!B2-W405*Parametros!B3+X405*Parametros!B4))</f>
        <v/>
      </c>
    </row>
    <row r="406">
      <c r="A406" t="inlineStr">
        <is>
          <t>qfu3bw</t>
        </is>
      </c>
      <c r="B406" t="inlineStr">
        <is>
          <t>Otávio Alves</t>
        </is>
      </c>
      <c r="C406" s="6" t="n">
        <v>0.7456</v>
      </c>
      <c r="D406" s="6" t="n">
        <v>0.4612</v>
      </c>
      <c r="E406" s="6" t="n">
        <v>0.5585</v>
      </c>
      <c r="F406" s="6" t="n">
        <v>0.6544</v>
      </c>
      <c r="G406" s="6" t="n">
        <v>0.5386</v>
      </c>
      <c r="H406" s="6" t="n">
        <v>0.5056</v>
      </c>
      <c r="I406" s="6" t="n">
        <v>0.7559</v>
      </c>
      <c r="J406" s="6" t="n">
        <v>0.8529</v>
      </c>
      <c r="K406" s="6" t="n">
        <v>0.2994</v>
      </c>
      <c r="L406" s="7">
        <f>Mecanismos!B2*C406</f>
        <v/>
      </c>
      <c r="M406" s="7">
        <f>Mecanismos!B7*D406</f>
        <v/>
      </c>
      <c r="N406" s="7">
        <f>Mecanismos!B4*(1-E406)</f>
        <v/>
      </c>
      <c r="O406" s="7">
        <f>Mecanismos!B5*(1-F406)</f>
        <v/>
      </c>
      <c r="P406" s="7">
        <f>Mecanismos!B6*(1-I406)</f>
        <v/>
      </c>
      <c r="Q406" s="7">
        <f>Mecanismos!B9*(1-G406)</f>
        <v/>
      </c>
      <c r="R406" s="7">
        <f>Mecanismos!B3*(1-D406)</f>
        <v/>
      </c>
      <c r="S406" s="7">
        <f>Mecanismos!B9*(1-J406)</f>
        <v/>
      </c>
      <c r="T406" s="7">
        <f>Mecanismos!B8*H406</f>
        <v/>
      </c>
      <c r="U406" s="7">
        <f>Mecanismos!B10*H406</f>
        <v/>
      </c>
      <c r="V406" s="7">
        <f>Mecanismos!B8*K406</f>
        <v/>
      </c>
      <c r="W406" s="7">
        <f>SUM(L406:S406)</f>
        <v/>
      </c>
      <c r="X406" s="7">
        <f>SUM(T406:V406)</f>
        <v/>
      </c>
      <c r="Y406" s="8">
        <f>MAX(0,MIN(1,Parametros!B2-W406*Parametros!B3+X406*Parametros!B4))</f>
        <v/>
      </c>
    </row>
    <row r="407">
      <c r="A407" t="inlineStr">
        <is>
          <t>7l6ocv</t>
        </is>
      </c>
      <c r="B407" t="inlineStr">
        <is>
          <t>Otávio Azevedo</t>
        </is>
      </c>
      <c r="C407" s="6" t="n">
        <v>0.6663</v>
      </c>
      <c r="D407" s="6" t="n">
        <v>0.2827</v>
      </c>
      <c r="E407" s="6" t="n">
        <v>0.5452</v>
      </c>
      <c r="F407" s="6" t="n">
        <v>0.2836</v>
      </c>
      <c r="G407" s="6" t="n">
        <v>0.6344</v>
      </c>
      <c r="H407" s="6" t="n">
        <v>0.7399</v>
      </c>
      <c r="I407" s="6" t="n">
        <v>0.503</v>
      </c>
      <c r="J407" s="6" t="n">
        <v>0.7226</v>
      </c>
      <c r="K407" s="6" t="n">
        <v>0.465</v>
      </c>
      <c r="L407" s="7">
        <f>Mecanismos!B2*C407</f>
        <v/>
      </c>
      <c r="M407" s="7">
        <f>Mecanismos!B7*D407</f>
        <v/>
      </c>
      <c r="N407" s="7">
        <f>Mecanismos!B4*(1-E407)</f>
        <v/>
      </c>
      <c r="O407" s="7">
        <f>Mecanismos!B5*(1-F407)</f>
        <v/>
      </c>
      <c r="P407" s="7">
        <f>Mecanismos!B6*(1-I407)</f>
        <v/>
      </c>
      <c r="Q407" s="7">
        <f>Mecanismos!B9*(1-G407)</f>
        <v/>
      </c>
      <c r="R407" s="7">
        <f>Mecanismos!B3*(1-D407)</f>
        <v/>
      </c>
      <c r="S407" s="7">
        <f>Mecanismos!B9*(1-J407)</f>
        <v/>
      </c>
      <c r="T407" s="7">
        <f>Mecanismos!B8*H407</f>
        <v/>
      </c>
      <c r="U407" s="7">
        <f>Mecanismos!B10*H407</f>
        <v/>
      </c>
      <c r="V407" s="7">
        <f>Mecanismos!B8*K407</f>
        <v/>
      </c>
      <c r="W407" s="7">
        <f>SUM(L407:S407)</f>
        <v/>
      </c>
      <c r="X407" s="7">
        <f>SUM(T407:V407)</f>
        <v/>
      </c>
      <c r="Y407" s="8">
        <f>MAX(0,MIN(1,Parametros!B2-W407*Parametros!B3+X407*Parametros!B4))</f>
        <v/>
      </c>
    </row>
    <row r="408">
      <c r="A408" t="inlineStr">
        <is>
          <t>5pgrns</t>
        </is>
      </c>
      <c r="B408" t="inlineStr">
        <is>
          <t>Otávio Freitas</t>
        </is>
      </c>
      <c r="C408" s="6" t="n">
        <v>0.4881</v>
      </c>
      <c r="D408" s="6" t="n">
        <v>0.9185</v>
      </c>
      <c r="E408" s="6" t="n">
        <v>0.5338000000000001</v>
      </c>
      <c r="F408" s="6" t="n">
        <v>0.8187</v>
      </c>
      <c r="G408" s="6" t="n">
        <v>0.534</v>
      </c>
      <c r="H408" s="6" t="n">
        <v>0.5717</v>
      </c>
      <c r="I408" s="6" t="n">
        <v>0.6558</v>
      </c>
      <c r="J408" s="6" t="n">
        <v>0.9611</v>
      </c>
      <c r="K408" s="6" t="n">
        <v>0.3732</v>
      </c>
      <c r="L408" s="7">
        <f>Mecanismos!B2*C408</f>
        <v/>
      </c>
      <c r="M408" s="7">
        <f>Mecanismos!B7*D408</f>
        <v/>
      </c>
      <c r="N408" s="7">
        <f>Mecanismos!B4*(1-E408)</f>
        <v/>
      </c>
      <c r="O408" s="7">
        <f>Mecanismos!B5*(1-F408)</f>
        <v/>
      </c>
      <c r="P408" s="7">
        <f>Mecanismos!B6*(1-I408)</f>
        <v/>
      </c>
      <c r="Q408" s="7">
        <f>Mecanismos!B9*(1-G408)</f>
        <v/>
      </c>
      <c r="R408" s="7">
        <f>Mecanismos!B3*(1-D408)</f>
        <v/>
      </c>
      <c r="S408" s="7">
        <f>Mecanismos!B9*(1-J408)</f>
        <v/>
      </c>
      <c r="T408" s="7">
        <f>Mecanismos!B8*H408</f>
        <v/>
      </c>
      <c r="U408" s="7">
        <f>Mecanismos!B10*H408</f>
        <v/>
      </c>
      <c r="V408" s="7">
        <f>Mecanismos!B8*K408</f>
        <v/>
      </c>
      <c r="W408" s="7">
        <f>SUM(L408:S408)</f>
        <v/>
      </c>
      <c r="X408" s="7">
        <f>SUM(T408:V408)</f>
        <v/>
      </c>
      <c r="Y408" s="8">
        <f>MAX(0,MIN(1,Parametros!B2-W408*Parametros!B3+X408*Parametros!B4))</f>
        <v/>
      </c>
    </row>
    <row r="409">
      <c r="A409" t="inlineStr">
        <is>
          <t>t4lfgb</t>
        </is>
      </c>
      <c r="B409" t="inlineStr">
        <is>
          <t>Paulo Andrade</t>
        </is>
      </c>
      <c r="C409" s="6" t="n">
        <v>0.4166</v>
      </c>
      <c r="D409" s="6" t="n">
        <v>0.5988</v>
      </c>
      <c r="E409" s="6" t="n">
        <v>0.5256</v>
      </c>
      <c r="F409" s="6" t="n">
        <v>0.6896</v>
      </c>
      <c r="G409" s="6" t="n">
        <v>0.6405</v>
      </c>
      <c r="H409" s="6" t="n">
        <v>0.5770999999999999</v>
      </c>
      <c r="I409" s="6" t="n">
        <v>0.6472</v>
      </c>
      <c r="J409" s="6" t="n">
        <v>0.74</v>
      </c>
      <c r="K409" s="6" t="n">
        <v>0.3851</v>
      </c>
      <c r="L409" s="7">
        <f>Mecanismos!B2*C409</f>
        <v/>
      </c>
      <c r="M409" s="7">
        <f>Mecanismos!B7*D409</f>
        <v/>
      </c>
      <c r="N409" s="7">
        <f>Mecanismos!B4*(1-E409)</f>
        <v/>
      </c>
      <c r="O409" s="7">
        <f>Mecanismos!B5*(1-F409)</f>
        <v/>
      </c>
      <c r="P409" s="7">
        <f>Mecanismos!B6*(1-I409)</f>
        <v/>
      </c>
      <c r="Q409" s="7">
        <f>Mecanismos!B9*(1-G409)</f>
        <v/>
      </c>
      <c r="R409" s="7">
        <f>Mecanismos!B3*(1-D409)</f>
        <v/>
      </c>
      <c r="S409" s="7">
        <f>Mecanismos!B9*(1-J409)</f>
        <v/>
      </c>
      <c r="T409" s="7">
        <f>Mecanismos!B8*H409</f>
        <v/>
      </c>
      <c r="U409" s="7">
        <f>Mecanismos!B10*H409</f>
        <v/>
      </c>
      <c r="V409" s="7">
        <f>Mecanismos!B8*K409</f>
        <v/>
      </c>
      <c r="W409" s="7">
        <f>SUM(L409:S409)</f>
        <v/>
      </c>
      <c r="X409" s="7">
        <f>SUM(T409:V409)</f>
        <v/>
      </c>
      <c r="Y409" s="8">
        <f>MAX(0,MIN(1,Parametros!B2-W409*Parametros!B3+X409*Parametros!B4))</f>
        <v/>
      </c>
    </row>
    <row r="410">
      <c r="A410" t="inlineStr">
        <is>
          <t>bsd70a</t>
        </is>
      </c>
      <c r="B410" t="inlineStr">
        <is>
          <t>Paulo Castro</t>
        </is>
      </c>
      <c r="C410" s="6" t="n">
        <v>0.5495</v>
      </c>
      <c r="D410" s="6" t="n">
        <v>0.6314</v>
      </c>
      <c r="E410" s="6" t="n">
        <v>0.4299</v>
      </c>
      <c r="F410" s="6" t="n">
        <v>0.2594</v>
      </c>
      <c r="G410" s="6" t="n">
        <v>0.409</v>
      </c>
      <c r="H410" s="6" t="n">
        <v>0.7398</v>
      </c>
      <c r="I410" s="6" t="n">
        <v>0.325</v>
      </c>
      <c r="J410" s="6" t="n">
        <v>0.7183</v>
      </c>
      <c r="K410" s="6" t="n">
        <v>0.4931</v>
      </c>
      <c r="L410" s="7">
        <f>Mecanismos!B2*C410</f>
        <v/>
      </c>
      <c r="M410" s="7">
        <f>Mecanismos!B7*D410</f>
        <v/>
      </c>
      <c r="N410" s="7">
        <f>Mecanismos!B4*(1-E410)</f>
        <v/>
      </c>
      <c r="O410" s="7">
        <f>Mecanismos!B5*(1-F410)</f>
        <v/>
      </c>
      <c r="P410" s="7">
        <f>Mecanismos!B6*(1-I410)</f>
        <v/>
      </c>
      <c r="Q410" s="7">
        <f>Mecanismos!B9*(1-G410)</f>
        <v/>
      </c>
      <c r="R410" s="7">
        <f>Mecanismos!B3*(1-D410)</f>
        <v/>
      </c>
      <c r="S410" s="7">
        <f>Mecanismos!B9*(1-J410)</f>
        <v/>
      </c>
      <c r="T410" s="7">
        <f>Mecanismos!B8*H410</f>
        <v/>
      </c>
      <c r="U410" s="7">
        <f>Mecanismos!B10*H410</f>
        <v/>
      </c>
      <c r="V410" s="7">
        <f>Mecanismos!B8*K410</f>
        <v/>
      </c>
      <c r="W410" s="7">
        <f>SUM(L410:S410)</f>
        <v/>
      </c>
      <c r="X410" s="7">
        <f>SUM(T410:V410)</f>
        <v/>
      </c>
      <c r="Y410" s="8">
        <f>MAX(0,MIN(1,Parametros!B2-W410*Parametros!B3+X410*Parametros!B4))</f>
        <v/>
      </c>
    </row>
    <row r="411">
      <c r="A411" t="inlineStr">
        <is>
          <t>b04zm1</t>
        </is>
      </c>
      <c r="B411" t="inlineStr">
        <is>
          <t>Pedro Henrique Fonseca</t>
        </is>
      </c>
      <c r="C411" s="6" t="n">
        <v>0.3278</v>
      </c>
      <c r="D411" s="6" t="n">
        <v>0.5667</v>
      </c>
      <c r="E411" s="6" t="n">
        <v>0.7068</v>
      </c>
      <c r="F411" s="6" t="n">
        <v>0.6031</v>
      </c>
      <c r="G411" s="6" t="n">
        <v>0.5366</v>
      </c>
      <c r="H411" s="6" t="n">
        <v>0.8131</v>
      </c>
      <c r="I411" s="6" t="n">
        <v>0.6059</v>
      </c>
      <c r="J411" s="6" t="n">
        <v>0.6004</v>
      </c>
      <c r="K411" s="6" t="n">
        <v>0.4549</v>
      </c>
      <c r="L411" s="7">
        <f>Mecanismos!B2*C411</f>
        <v/>
      </c>
      <c r="M411" s="7">
        <f>Mecanismos!B7*D411</f>
        <v/>
      </c>
      <c r="N411" s="7">
        <f>Mecanismos!B4*(1-E411)</f>
        <v/>
      </c>
      <c r="O411" s="7">
        <f>Mecanismos!B5*(1-F411)</f>
        <v/>
      </c>
      <c r="P411" s="7">
        <f>Mecanismos!B6*(1-I411)</f>
        <v/>
      </c>
      <c r="Q411" s="7">
        <f>Mecanismos!B9*(1-G411)</f>
        <v/>
      </c>
      <c r="R411" s="7">
        <f>Mecanismos!B3*(1-D411)</f>
        <v/>
      </c>
      <c r="S411" s="7">
        <f>Mecanismos!B9*(1-J411)</f>
        <v/>
      </c>
      <c r="T411" s="7">
        <f>Mecanismos!B8*H411</f>
        <v/>
      </c>
      <c r="U411" s="7">
        <f>Mecanismos!B10*H411</f>
        <v/>
      </c>
      <c r="V411" s="7">
        <f>Mecanismos!B8*K411</f>
        <v/>
      </c>
      <c r="W411" s="7">
        <f>SUM(L411:S411)</f>
        <v/>
      </c>
      <c r="X411" s="7">
        <f>SUM(T411:V411)</f>
        <v/>
      </c>
      <c r="Y411" s="8">
        <f>MAX(0,MIN(1,Parametros!B2-W411*Parametros!B3+X411*Parametros!B4))</f>
        <v/>
      </c>
    </row>
    <row r="412">
      <c r="A412" t="inlineStr">
        <is>
          <t>oejkm0</t>
        </is>
      </c>
      <c r="B412" t="inlineStr">
        <is>
          <t>Pedro Lucas Gomes</t>
        </is>
      </c>
      <c r="C412" s="6" t="n">
        <v>0.5228</v>
      </c>
      <c r="D412" s="6" t="n">
        <v>0.5014999999999999</v>
      </c>
      <c r="E412" s="6" t="n">
        <v>0.5821</v>
      </c>
      <c r="F412" s="6" t="n">
        <v>0.6072</v>
      </c>
      <c r="G412" s="6" t="n">
        <v>0.6496</v>
      </c>
      <c r="H412" s="6" t="n">
        <v>0.5123</v>
      </c>
      <c r="I412" s="6" t="n">
        <v>0.8333</v>
      </c>
      <c r="J412" s="6" t="n">
        <v>0.745</v>
      </c>
      <c r="K412" s="6" t="n">
        <v>0.5623</v>
      </c>
      <c r="L412" s="7">
        <f>Mecanismos!B2*C412</f>
        <v/>
      </c>
      <c r="M412" s="7">
        <f>Mecanismos!B7*D412</f>
        <v/>
      </c>
      <c r="N412" s="7">
        <f>Mecanismos!B4*(1-E412)</f>
        <v/>
      </c>
      <c r="O412" s="7">
        <f>Mecanismos!B5*(1-F412)</f>
        <v/>
      </c>
      <c r="P412" s="7">
        <f>Mecanismos!B6*(1-I412)</f>
        <v/>
      </c>
      <c r="Q412" s="7">
        <f>Mecanismos!B9*(1-G412)</f>
        <v/>
      </c>
      <c r="R412" s="7">
        <f>Mecanismos!B3*(1-D412)</f>
        <v/>
      </c>
      <c r="S412" s="7">
        <f>Mecanismos!B9*(1-J412)</f>
        <v/>
      </c>
      <c r="T412" s="7">
        <f>Mecanismos!B8*H412</f>
        <v/>
      </c>
      <c r="U412" s="7">
        <f>Mecanismos!B10*H412</f>
        <v/>
      </c>
      <c r="V412" s="7">
        <f>Mecanismos!B8*K412</f>
        <v/>
      </c>
      <c r="W412" s="7">
        <f>SUM(L412:S412)</f>
        <v/>
      </c>
      <c r="X412" s="7">
        <f>SUM(T412:V412)</f>
        <v/>
      </c>
      <c r="Y412" s="8">
        <f>MAX(0,MIN(1,Parametros!B2-W412*Parametros!B3+X412*Parametros!B4))</f>
        <v/>
      </c>
    </row>
    <row r="413">
      <c r="A413" t="inlineStr">
        <is>
          <t>x3dkea</t>
        </is>
      </c>
      <c r="B413" t="inlineStr">
        <is>
          <t>Pedro Lucas Nascimento</t>
        </is>
      </c>
      <c r="C413" s="6" t="n">
        <v>0.7688</v>
      </c>
      <c r="D413" s="6" t="n">
        <v>0.408</v>
      </c>
      <c r="E413" s="6" t="n">
        <v>0.4578</v>
      </c>
      <c r="F413" s="6" t="n">
        <v>0.4269</v>
      </c>
      <c r="G413" s="6" t="n">
        <v>0.6041</v>
      </c>
      <c r="H413" s="6" t="n">
        <v>0.5241</v>
      </c>
      <c r="I413" s="6" t="n">
        <v>0.2825</v>
      </c>
      <c r="J413" s="6" t="n">
        <v>0.4985</v>
      </c>
      <c r="K413" s="6" t="n">
        <v>0.061</v>
      </c>
      <c r="L413" s="7">
        <f>Mecanismos!B2*C413</f>
        <v/>
      </c>
      <c r="M413" s="7">
        <f>Mecanismos!B7*D413</f>
        <v/>
      </c>
      <c r="N413" s="7">
        <f>Mecanismos!B4*(1-E413)</f>
        <v/>
      </c>
      <c r="O413" s="7">
        <f>Mecanismos!B5*(1-F413)</f>
        <v/>
      </c>
      <c r="P413" s="7">
        <f>Mecanismos!B6*(1-I413)</f>
        <v/>
      </c>
      <c r="Q413" s="7">
        <f>Mecanismos!B9*(1-G413)</f>
        <v/>
      </c>
      <c r="R413" s="7">
        <f>Mecanismos!B3*(1-D413)</f>
        <v/>
      </c>
      <c r="S413" s="7">
        <f>Mecanismos!B9*(1-J413)</f>
        <v/>
      </c>
      <c r="T413" s="7">
        <f>Mecanismos!B8*H413</f>
        <v/>
      </c>
      <c r="U413" s="7">
        <f>Mecanismos!B10*H413</f>
        <v/>
      </c>
      <c r="V413" s="7">
        <f>Mecanismos!B8*K413</f>
        <v/>
      </c>
      <c r="W413" s="7">
        <f>SUM(L413:S413)</f>
        <v/>
      </c>
      <c r="X413" s="7">
        <f>SUM(T413:V413)</f>
        <v/>
      </c>
      <c r="Y413" s="8">
        <f>MAX(0,MIN(1,Parametros!B2-W413*Parametros!B3+X413*Parametros!B4))</f>
        <v/>
      </c>
    </row>
    <row r="414">
      <c r="A414" t="inlineStr">
        <is>
          <t>txf9ne</t>
        </is>
      </c>
      <c r="B414" t="inlineStr">
        <is>
          <t>Pedro Miguel Cardoso</t>
        </is>
      </c>
      <c r="C414" s="6" t="n">
        <v>0.5488</v>
      </c>
      <c r="D414" s="6" t="n">
        <v>0.7239</v>
      </c>
      <c r="E414" s="6" t="n">
        <v>0.2223</v>
      </c>
      <c r="F414" s="6" t="n">
        <v>0.5859</v>
      </c>
      <c r="G414" s="6" t="n">
        <v>0.4117</v>
      </c>
      <c r="H414" s="6" t="n">
        <v>0.6264</v>
      </c>
      <c r="I414" s="6" t="n">
        <v>0.769</v>
      </c>
      <c r="J414" s="6" t="n">
        <v>0.2482</v>
      </c>
      <c r="K414" s="6" t="n">
        <v>0.7558</v>
      </c>
      <c r="L414" s="7">
        <f>Mecanismos!B2*C414</f>
        <v/>
      </c>
      <c r="M414" s="7">
        <f>Mecanismos!B7*D414</f>
        <v/>
      </c>
      <c r="N414" s="7">
        <f>Mecanismos!B4*(1-E414)</f>
        <v/>
      </c>
      <c r="O414" s="7">
        <f>Mecanismos!B5*(1-F414)</f>
        <v/>
      </c>
      <c r="P414" s="7">
        <f>Mecanismos!B6*(1-I414)</f>
        <v/>
      </c>
      <c r="Q414" s="7">
        <f>Mecanismos!B9*(1-G414)</f>
        <v/>
      </c>
      <c r="R414" s="7">
        <f>Mecanismos!B3*(1-D414)</f>
        <v/>
      </c>
      <c r="S414" s="7">
        <f>Mecanismos!B9*(1-J414)</f>
        <v/>
      </c>
      <c r="T414" s="7">
        <f>Mecanismos!B8*H414</f>
        <v/>
      </c>
      <c r="U414" s="7">
        <f>Mecanismos!B10*H414</f>
        <v/>
      </c>
      <c r="V414" s="7">
        <f>Mecanismos!B8*K414</f>
        <v/>
      </c>
      <c r="W414" s="7">
        <f>SUM(L414:S414)</f>
        <v/>
      </c>
      <c r="X414" s="7">
        <f>SUM(T414:V414)</f>
        <v/>
      </c>
      <c r="Y414" s="8">
        <f>MAX(0,MIN(1,Parametros!B2-W414*Parametros!B3+X414*Parametros!B4))</f>
        <v/>
      </c>
    </row>
    <row r="415">
      <c r="A415" t="inlineStr">
        <is>
          <t>vcxf11</t>
        </is>
      </c>
      <c r="B415" t="inlineStr">
        <is>
          <t>Pedro Miguel Montenegro</t>
        </is>
      </c>
      <c r="C415" s="6" t="n">
        <v>0.7917999999999999</v>
      </c>
      <c r="D415" s="6" t="n">
        <v>0.5345</v>
      </c>
      <c r="E415" s="6" t="n">
        <v>0.3085</v>
      </c>
      <c r="F415" s="6" t="n">
        <v>0.3714</v>
      </c>
      <c r="G415" s="6" t="n">
        <v>0.4816</v>
      </c>
      <c r="H415" s="6" t="n">
        <v>0.7312</v>
      </c>
      <c r="I415" s="6" t="n">
        <v>0.5787</v>
      </c>
      <c r="J415" s="6" t="n">
        <v>0.756</v>
      </c>
      <c r="K415" s="6" t="n">
        <v>0.4235</v>
      </c>
      <c r="L415" s="7">
        <f>Mecanismos!B2*C415</f>
        <v/>
      </c>
      <c r="M415" s="7">
        <f>Mecanismos!B7*D415</f>
        <v/>
      </c>
      <c r="N415" s="7">
        <f>Mecanismos!B4*(1-E415)</f>
        <v/>
      </c>
      <c r="O415" s="7">
        <f>Mecanismos!B5*(1-F415)</f>
        <v/>
      </c>
      <c r="P415" s="7">
        <f>Mecanismos!B6*(1-I415)</f>
        <v/>
      </c>
      <c r="Q415" s="7">
        <f>Mecanismos!B9*(1-G415)</f>
        <v/>
      </c>
      <c r="R415" s="7">
        <f>Mecanismos!B3*(1-D415)</f>
        <v/>
      </c>
      <c r="S415" s="7">
        <f>Mecanismos!B9*(1-J415)</f>
        <v/>
      </c>
      <c r="T415" s="7">
        <f>Mecanismos!B8*H415</f>
        <v/>
      </c>
      <c r="U415" s="7">
        <f>Mecanismos!B10*H415</f>
        <v/>
      </c>
      <c r="V415" s="7">
        <f>Mecanismos!B8*K415</f>
        <v/>
      </c>
      <c r="W415" s="7">
        <f>SUM(L415:S415)</f>
        <v/>
      </c>
      <c r="X415" s="7">
        <f>SUM(T415:V415)</f>
        <v/>
      </c>
      <c r="Y415" s="8">
        <f>MAX(0,MIN(1,Parametros!B2-W415*Parametros!B3+X415*Parametros!B4))</f>
        <v/>
      </c>
    </row>
    <row r="416">
      <c r="A416" t="inlineStr">
        <is>
          <t>5zfio3</t>
        </is>
      </c>
      <c r="B416" t="inlineStr">
        <is>
          <t>Pedro Sales</t>
        </is>
      </c>
      <c r="C416" s="6" t="n">
        <v>0.6624</v>
      </c>
      <c r="D416" s="6" t="n">
        <v>0.5288</v>
      </c>
      <c r="E416" s="6" t="n">
        <v>0.6581</v>
      </c>
      <c r="F416" s="6" t="n">
        <v>0.4441</v>
      </c>
      <c r="G416" s="6" t="n">
        <v>0.1802</v>
      </c>
      <c r="H416" s="6" t="n">
        <v>0.4348</v>
      </c>
      <c r="I416" s="6" t="n">
        <v>0.3976</v>
      </c>
      <c r="J416" s="6" t="n">
        <v>0.5224</v>
      </c>
      <c r="K416" s="6" t="n">
        <v>0.3413</v>
      </c>
      <c r="L416" s="7">
        <f>Mecanismos!B2*C416</f>
        <v/>
      </c>
      <c r="M416" s="7">
        <f>Mecanismos!B7*D416</f>
        <v/>
      </c>
      <c r="N416" s="7">
        <f>Mecanismos!B4*(1-E416)</f>
        <v/>
      </c>
      <c r="O416" s="7">
        <f>Mecanismos!B5*(1-F416)</f>
        <v/>
      </c>
      <c r="P416" s="7">
        <f>Mecanismos!B6*(1-I416)</f>
        <v/>
      </c>
      <c r="Q416" s="7">
        <f>Mecanismos!B9*(1-G416)</f>
        <v/>
      </c>
      <c r="R416" s="7">
        <f>Mecanismos!B3*(1-D416)</f>
        <v/>
      </c>
      <c r="S416" s="7">
        <f>Mecanismos!B9*(1-J416)</f>
        <v/>
      </c>
      <c r="T416" s="7">
        <f>Mecanismos!B8*H416</f>
        <v/>
      </c>
      <c r="U416" s="7">
        <f>Mecanismos!B10*H416</f>
        <v/>
      </c>
      <c r="V416" s="7">
        <f>Mecanismos!B8*K416</f>
        <v/>
      </c>
      <c r="W416" s="7">
        <f>SUM(L416:S416)</f>
        <v/>
      </c>
      <c r="X416" s="7">
        <f>SUM(T416:V416)</f>
        <v/>
      </c>
      <c r="Y416" s="8">
        <f>MAX(0,MIN(1,Parametros!B2-W416*Parametros!B3+X416*Parametros!B4))</f>
        <v/>
      </c>
    </row>
    <row r="417">
      <c r="A417" t="inlineStr">
        <is>
          <t>b47ibk</t>
        </is>
      </c>
      <c r="B417" t="inlineStr">
        <is>
          <t>Pietra Oliveira</t>
        </is>
      </c>
      <c r="C417" s="6" t="n">
        <v>0.4342</v>
      </c>
      <c r="D417" s="6" t="n">
        <v>0.7249</v>
      </c>
      <c r="E417" s="6" t="n">
        <v>0.659</v>
      </c>
      <c r="F417" s="6" t="n">
        <v>0.5479000000000001</v>
      </c>
      <c r="G417" s="6" t="n">
        <v>0.4248</v>
      </c>
      <c r="H417" s="6" t="n">
        <v>0.7518</v>
      </c>
      <c r="I417" s="6" t="n">
        <v>0.6461</v>
      </c>
      <c r="J417" s="6" t="n">
        <v>0.7556</v>
      </c>
      <c r="K417" s="6" t="n">
        <v>0.5535</v>
      </c>
      <c r="L417" s="7">
        <f>Mecanismos!B2*C417</f>
        <v/>
      </c>
      <c r="M417" s="7">
        <f>Mecanismos!B7*D417</f>
        <v/>
      </c>
      <c r="N417" s="7">
        <f>Mecanismos!B4*(1-E417)</f>
        <v/>
      </c>
      <c r="O417" s="7">
        <f>Mecanismos!B5*(1-F417)</f>
        <v/>
      </c>
      <c r="P417" s="7">
        <f>Mecanismos!B6*(1-I417)</f>
        <v/>
      </c>
      <c r="Q417" s="7">
        <f>Mecanismos!B9*(1-G417)</f>
        <v/>
      </c>
      <c r="R417" s="7">
        <f>Mecanismos!B3*(1-D417)</f>
        <v/>
      </c>
      <c r="S417" s="7">
        <f>Mecanismos!B9*(1-J417)</f>
        <v/>
      </c>
      <c r="T417" s="7">
        <f>Mecanismos!B8*H417</f>
        <v/>
      </c>
      <c r="U417" s="7">
        <f>Mecanismos!B10*H417</f>
        <v/>
      </c>
      <c r="V417" s="7">
        <f>Mecanismos!B8*K417</f>
        <v/>
      </c>
      <c r="W417" s="7">
        <f>SUM(L417:S417)</f>
        <v/>
      </c>
      <c r="X417" s="7">
        <f>SUM(T417:V417)</f>
        <v/>
      </c>
      <c r="Y417" s="8">
        <f>MAX(0,MIN(1,Parametros!B2-W417*Parametros!B3+X417*Parametros!B4))</f>
        <v/>
      </c>
    </row>
    <row r="418">
      <c r="A418" t="inlineStr">
        <is>
          <t>5bsrbl</t>
        </is>
      </c>
      <c r="B418" t="inlineStr">
        <is>
          <t>Rael Cirino</t>
        </is>
      </c>
      <c r="C418" s="6" t="n">
        <v>0.5785</v>
      </c>
      <c r="D418" s="6" t="n">
        <v>0.5841</v>
      </c>
      <c r="E418" s="6" t="n">
        <v>0.3553</v>
      </c>
      <c r="F418" s="6" t="n">
        <v>0.6601</v>
      </c>
      <c r="G418" s="6" t="n">
        <v>0.5813</v>
      </c>
      <c r="H418" s="6" t="n">
        <v>0.4013</v>
      </c>
      <c r="I418" s="6" t="n">
        <v>0.4195</v>
      </c>
      <c r="J418" s="6" t="n">
        <v>0.6594</v>
      </c>
      <c r="K418" s="6" t="n">
        <v>0.3695</v>
      </c>
      <c r="L418" s="7">
        <f>Mecanismos!B2*C418</f>
        <v/>
      </c>
      <c r="M418" s="7">
        <f>Mecanismos!B7*D418</f>
        <v/>
      </c>
      <c r="N418" s="7">
        <f>Mecanismos!B4*(1-E418)</f>
        <v/>
      </c>
      <c r="O418" s="7">
        <f>Mecanismos!B5*(1-F418)</f>
        <v/>
      </c>
      <c r="P418" s="7">
        <f>Mecanismos!B6*(1-I418)</f>
        <v/>
      </c>
      <c r="Q418" s="7">
        <f>Mecanismos!B9*(1-G418)</f>
        <v/>
      </c>
      <c r="R418" s="7">
        <f>Mecanismos!B3*(1-D418)</f>
        <v/>
      </c>
      <c r="S418" s="7">
        <f>Mecanismos!B9*(1-J418)</f>
        <v/>
      </c>
      <c r="T418" s="7">
        <f>Mecanismos!B8*H418</f>
        <v/>
      </c>
      <c r="U418" s="7">
        <f>Mecanismos!B10*H418</f>
        <v/>
      </c>
      <c r="V418" s="7">
        <f>Mecanismos!B8*K418</f>
        <v/>
      </c>
      <c r="W418" s="7">
        <f>SUM(L418:S418)</f>
        <v/>
      </c>
      <c r="X418" s="7">
        <f>SUM(T418:V418)</f>
        <v/>
      </c>
      <c r="Y418" s="8">
        <f>MAX(0,MIN(1,Parametros!B2-W418*Parametros!B3+X418*Parametros!B4))</f>
        <v/>
      </c>
    </row>
    <row r="419">
      <c r="A419" t="inlineStr">
        <is>
          <t>t93ekr</t>
        </is>
      </c>
      <c r="B419" t="inlineStr">
        <is>
          <t>Rael Gonçalves</t>
        </is>
      </c>
      <c r="C419" s="6" t="n">
        <v>0.6684</v>
      </c>
      <c r="D419" s="6" t="n">
        <v>0.376</v>
      </c>
      <c r="E419" s="6" t="n">
        <v>0.7099</v>
      </c>
      <c r="F419" s="6" t="n">
        <v>0.3564</v>
      </c>
      <c r="G419" s="6" t="n">
        <v>0.4557</v>
      </c>
      <c r="H419" s="6" t="n">
        <v>0.574</v>
      </c>
      <c r="I419" s="6" t="n">
        <v>0.5641</v>
      </c>
      <c r="J419" s="6" t="n">
        <v>0.2628</v>
      </c>
      <c r="K419" s="6" t="n">
        <v>0.7204</v>
      </c>
      <c r="L419" s="7">
        <f>Mecanismos!B2*C419</f>
        <v/>
      </c>
      <c r="M419" s="7">
        <f>Mecanismos!B7*D419</f>
        <v/>
      </c>
      <c r="N419" s="7">
        <f>Mecanismos!B4*(1-E419)</f>
        <v/>
      </c>
      <c r="O419" s="7">
        <f>Mecanismos!B5*(1-F419)</f>
        <v/>
      </c>
      <c r="P419" s="7">
        <f>Mecanismos!B6*(1-I419)</f>
        <v/>
      </c>
      <c r="Q419" s="7">
        <f>Mecanismos!B9*(1-G419)</f>
        <v/>
      </c>
      <c r="R419" s="7">
        <f>Mecanismos!B3*(1-D419)</f>
        <v/>
      </c>
      <c r="S419" s="7">
        <f>Mecanismos!B9*(1-J419)</f>
        <v/>
      </c>
      <c r="T419" s="7">
        <f>Mecanismos!B8*H419</f>
        <v/>
      </c>
      <c r="U419" s="7">
        <f>Mecanismos!B10*H419</f>
        <v/>
      </c>
      <c r="V419" s="7">
        <f>Mecanismos!B8*K419</f>
        <v/>
      </c>
      <c r="W419" s="7">
        <f>SUM(L419:S419)</f>
        <v/>
      </c>
      <c r="X419" s="7">
        <f>SUM(T419:V419)</f>
        <v/>
      </c>
      <c r="Y419" s="8">
        <f>MAX(0,MIN(1,Parametros!B2-W419*Parametros!B3+X419*Parametros!B4))</f>
        <v/>
      </c>
    </row>
    <row r="420">
      <c r="A420" t="inlineStr">
        <is>
          <t>6t4bm5</t>
        </is>
      </c>
      <c r="B420" t="inlineStr">
        <is>
          <t>Rael Leão</t>
        </is>
      </c>
      <c r="C420" s="6" t="n">
        <v>0.572</v>
      </c>
      <c r="D420" s="6" t="n">
        <v>0.6711</v>
      </c>
      <c r="E420" s="6" t="n">
        <v>0.4481</v>
      </c>
      <c r="F420" s="6" t="n">
        <v>0.8359</v>
      </c>
      <c r="G420" s="6" t="n">
        <v>0.5377999999999999</v>
      </c>
      <c r="H420" s="6" t="n">
        <v>0.728</v>
      </c>
      <c r="I420" s="6" t="n">
        <v>0.5441</v>
      </c>
      <c r="J420" s="6" t="n">
        <v>0.8295</v>
      </c>
      <c r="K420" s="6" t="n">
        <v>0.7479</v>
      </c>
      <c r="L420" s="7">
        <f>Mecanismos!B2*C420</f>
        <v/>
      </c>
      <c r="M420" s="7">
        <f>Mecanismos!B7*D420</f>
        <v/>
      </c>
      <c r="N420" s="7">
        <f>Mecanismos!B4*(1-E420)</f>
        <v/>
      </c>
      <c r="O420" s="7">
        <f>Mecanismos!B5*(1-F420)</f>
        <v/>
      </c>
      <c r="P420" s="7">
        <f>Mecanismos!B6*(1-I420)</f>
        <v/>
      </c>
      <c r="Q420" s="7">
        <f>Mecanismos!B9*(1-G420)</f>
        <v/>
      </c>
      <c r="R420" s="7">
        <f>Mecanismos!B3*(1-D420)</f>
        <v/>
      </c>
      <c r="S420" s="7">
        <f>Mecanismos!B9*(1-J420)</f>
        <v/>
      </c>
      <c r="T420" s="7">
        <f>Mecanismos!B8*H420</f>
        <v/>
      </c>
      <c r="U420" s="7">
        <f>Mecanismos!B10*H420</f>
        <v/>
      </c>
      <c r="V420" s="7">
        <f>Mecanismos!B8*K420</f>
        <v/>
      </c>
      <c r="W420" s="7">
        <f>SUM(L420:S420)</f>
        <v/>
      </c>
      <c r="X420" s="7">
        <f>SUM(T420:V420)</f>
        <v/>
      </c>
      <c r="Y420" s="8">
        <f>MAX(0,MIN(1,Parametros!B2-W420*Parametros!B3+X420*Parametros!B4))</f>
        <v/>
      </c>
    </row>
    <row r="421">
      <c r="A421" t="inlineStr">
        <is>
          <t>0h6m9l</t>
        </is>
      </c>
      <c r="B421" t="inlineStr">
        <is>
          <t>Rael Mendonça</t>
        </is>
      </c>
      <c r="C421" s="6" t="n">
        <v>0.6605</v>
      </c>
      <c r="D421" s="6" t="n">
        <v>0.4333</v>
      </c>
      <c r="E421" s="6" t="n">
        <v>0.3097</v>
      </c>
      <c r="F421" s="6" t="n">
        <v>0.5093</v>
      </c>
      <c r="G421" s="6" t="n">
        <v>0.6446</v>
      </c>
      <c r="H421" s="6" t="n">
        <v>0.6926</v>
      </c>
      <c r="I421" s="6" t="n">
        <v>0.3421</v>
      </c>
      <c r="J421" s="6" t="n">
        <v>0.8309</v>
      </c>
      <c r="K421" s="6" t="n">
        <v>0.5179</v>
      </c>
      <c r="L421" s="7">
        <f>Mecanismos!B2*C421</f>
        <v/>
      </c>
      <c r="M421" s="7">
        <f>Mecanismos!B7*D421</f>
        <v/>
      </c>
      <c r="N421" s="7">
        <f>Mecanismos!B4*(1-E421)</f>
        <v/>
      </c>
      <c r="O421" s="7">
        <f>Mecanismos!B5*(1-F421)</f>
        <v/>
      </c>
      <c r="P421" s="7">
        <f>Mecanismos!B6*(1-I421)</f>
        <v/>
      </c>
      <c r="Q421" s="7">
        <f>Mecanismos!B9*(1-G421)</f>
        <v/>
      </c>
      <c r="R421" s="7">
        <f>Mecanismos!B3*(1-D421)</f>
        <v/>
      </c>
      <c r="S421" s="7">
        <f>Mecanismos!B9*(1-J421)</f>
        <v/>
      </c>
      <c r="T421" s="7">
        <f>Mecanismos!B8*H421</f>
        <v/>
      </c>
      <c r="U421" s="7">
        <f>Mecanismos!B10*H421</f>
        <v/>
      </c>
      <c r="V421" s="7">
        <f>Mecanismos!B8*K421</f>
        <v/>
      </c>
      <c r="W421" s="7">
        <f>SUM(L421:S421)</f>
        <v/>
      </c>
      <c r="X421" s="7">
        <f>SUM(T421:V421)</f>
        <v/>
      </c>
      <c r="Y421" s="8">
        <f>MAX(0,MIN(1,Parametros!B2-W421*Parametros!B3+X421*Parametros!B4))</f>
        <v/>
      </c>
    </row>
    <row r="422">
      <c r="A422" t="inlineStr">
        <is>
          <t>0rpel5</t>
        </is>
      </c>
      <c r="B422" t="inlineStr">
        <is>
          <t>Rafael Nascimento</t>
        </is>
      </c>
      <c r="C422" s="6" t="n">
        <v>0.5688</v>
      </c>
      <c r="D422" s="6" t="n">
        <v>0.6391</v>
      </c>
      <c r="E422" s="6" t="n">
        <v>0.5609</v>
      </c>
      <c r="F422" s="6" t="n">
        <v>0.7789</v>
      </c>
      <c r="G422" s="6" t="n">
        <v>0.5061</v>
      </c>
      <c r="H422" s="6" t="n">
        <v>0.4967</v>
      </c>
      <c r="I422" s="6" t="n">
        <v>0.5991</v>
      </c>
      <c r="J422" s="6" t="n">
        <v>0.9506</v>
      </c>
      <c r="K422" s="6" t="n">
        <v>0.4468</v>
      </c>
      <c r="L422" s="7">
        <f>Mecanismos!B2*C422</f>
        <v/>
      </c>
      <c r="M422" s="7">
        <f>Mecanismos!B7*D422</f>
        <v/>
      </c>
      <c r="N422" s="7">
        <f>Mecanismos!B4*(1-E422)</f>
        <v/>
      </c>
      <c r="O422" s="7">
        <f>Mecanismos!B5*(1-F422)</f>
        <v/>
      </c>
      <c r="P422" s="7">
        <f>Mecanismos!B6*(1-I422)</f>
        <v/>
      </c>
      <c r="Q422" s="7">
        <f>Mecanismos!B9*(1-G422)</f>
        <v/>
      </c>
      <c r="R422" s="7">
        <f>Mecanismos!B3*(1-D422)</f>
        <v/>
      </c>
      <c r="S422" s="7">
        <f>Mecanismos!B9*(1-J422)</f>
        <v/>
      </c>
      <c r="T422" s="7">
        <f>Mecanismos!B8*H422</f>
        <v/>
      </c>
      <c r="U422" s="7">
        <f>Mecanismos!B10*H422</f>
        <v/>
      </c>
      <c r="V422" s="7">
        <f>Mecanismos!B8*K422</f>
        <v/>
      </c>
      <c r="W422" s="7">
        <f>SUM(L422:S422)</f>
        <v/>
      </c>
      <c r="X422" s="7">
        <f>SUM(T422:V422)</f>
        <v/>
      </c>
      <c r="Y422" s="8">
        <f>MAX(0,MIN(1,Parametros!B2-W422*Parametros!B3+X422*Parametros!B4))</f>
        <v/>
      </c>
    </row>
    <row r="423">
      <c r="A423" t="inlineStr">
        <is>
          <t>q4iroo</t>
        </is>
      </c>
      <c r="B423" t="inlineStr">
        <is>
          <t>Rafael Sousa</t>
        </is>
      </c>
      <c r="C423" s="6" t="n">
        <v>0.4966</v>
      </c>
      <c r="D423" s="6" t="n">
        <v>0.6446</v>
      </c>
      <c r="E423" s="6" t="n">
        <v>0.5323</v>
      </c>
      <c r="F423" s="6" t="n">
        <v>0.3505</v>
      </c>
      <c r="G423" s="6" t="n">
        <v>0.3414</v>
      </c>
      <c r="H423" s="6" t="n">
        <v>0.8537</v>
      </c>
      <c r="I423" s="6" t="n">
        <v>0.5635</v>
      </c>
      <c r="J423" s="6" t="n">
        <v>0.8069</v>
      </c>
      <c r="K423" s="6" t="n">
        <v>0.5165999999999999</v>
      </c>
      <c r="L423" s="7">
        <f>Mecanismos!B2*C423</f>
        <v/>
      </c>
      <c r="M423" s="7">
        <f>Mecanismos!B7*D423</f>
        <v/>
      </c>
      <c r="N423" s="7">
        <f>Mecanismos!B4*(1-E423)</f>
        <v/>
      </c>
      <c r="O423" s="7">
        <f>Mecanismos!B5*(1-F423)</f>
        <v/>
      </c>
      <c r="P423" s="7">
        <f>Mecanismos!B6*(1-I423)</f>
        <v/>
      </c>
      <c r="Q423" s="7">
        <f>Mecanismos!B9*(1-G423)</f>
        <v/>
      </c>
      <c r="R423" s="7">
        <f>Mecanismos!B3*(1-D423)</f>
        <v/>
      </c>
      <c r="S423" s="7">
        <f>Mecanismos!B9*(1-J423)</f>
        <v/>
      </c>
      <c r="T423" s="7">
        <f>Mecanismos!B8*H423</f>
        <v/>
      </c>
      <c r="U423" s="7">
        <f>Mecanismos!B10*H423</f>
        <v/>
      </c>
      <c r="V423" s="7">
        <f>Mecanismos!B8*K423</f>
        <v/>
      </c>
      <c r="W423" s="7">
        <f>SUM(L423:S423)</f>
        <v/>
      </c>
      <c r="X423" s="7">
        <f>SUM(T423:V423)</f>
        <v/>
      </c>
      <c r="Y423" s="8">
        <f>MAX(0,MIN(1,Parametros!B2-W423*Parametros!B3+X423*Parametros!B4))</f>
        <v/>
      </c>
    </row>
    <row r="424">
      <c r="A424" t="inlineStr">
        <is>
          <t>z9o7l5</t>
        </is>
      </c>
      <c r="B424" t="inlineStr">
        <is>
          <t>Rafael da Rosa</t>
        </is>
      </c>
      <c r="C424" s="6" t="n">
        <v>0.7048</v>
      </c>
      <c r="D424" s="6" t="n">
        <v>0.5587</v>
      </c>
      <c r="E424" s="6" t="n">
        <v>0.5132</v>
      </c>
      <c r="F424" s="6" t="n">
        <v>0.1575</v>
      </c>
      <c r="G424" s="6" t="n">
        <v>0.6828</v>
      </c>
      <c r="H424" s="6" t="n">
        <v>0.6086</v>
      </c>
      <c r="I424" s="6" t="n">
        <v>0.2959</v>
      </c>
      <c r="J424" s="6" t="n">
        <v>0.4156</v>
      </c>
      <c r="K424" s="6" t="n">
        <v>0.6729000000000001</v>
      </c>
      <c r="L424" s="7">
        <f>Mecanismos!B2*C424</f>
        <v/>
      </c>
      <c r="M424" s="7">
        <f>Mecanismos!B7*D424</f>
        <v/>
      </c>
      <c r="N424" s="7">
        <f>Mecanismos!B4*(1-E424)</f>
        <v/>
      </c>
      <c r="O424" s="7">
        <f>Mecanismos!B5*(1-F424)</f>
        <v/>
      </c>
      <c r="P424" s="7">
        <f>Mecanismos!B6*(1-I424)</f>
        <v/>
      </c>
      <c r="Q424" s="7">
        <f>Mecanismos!B9*(1-G424)</f>
        <v/>
      </c>
      <c r="R424" s="7">
        <f>Mecanismos!B3*(1-D424)</f>
        <v/>
      </c>
      <c r="S424" s="7">
        <f>Mecanismos!B9*(1-J424)</f>
        <v/>
      </c>
      <c r="T424" s="7">
        <f>Mecanismos!B8*H424</f>
        <v/>
      </c>
      <c r="U424" s="7">
        <f>Mecanismos!B10*H424</f>
        <v/>
      </c>
      <c r="V424" s="7">
        <f>Mecanismos!B8*K424</f>
        <v/>
      </c>
      <c r="W424" s="7">
        <f>SUM(L424:S424)</f>
        <v/>
      </c>
      <c r="X424" s="7">
        <f>SUM(T424:V424)</f>
        <v/>
      </c>
      <c r="Y424" s="8">
        <f>MAX(0,MIN(1,Parametros!B2-W424*Parametros!B3+X424*Parametros!B4))</f>
        <v/>
      </c>
    </row>
    <row r="425">
      <c r="A425" t="inlineStr">
        <is>
          <t>c7t699</t>
        </is>
      </c>
      <c r="B425" t="inlineStr">
        <is>
          <t>Rafaela Gomes</t>
        </is>
      </c>
      <c r="C425" s="6" t="n">
        <v>0.6297</v>
      </c>
      <c r="D425" s="6" t="n">
        <v>0.5236</v>
      </c>
      <c r="E425" s="6" t="n">
        <v>0.3898</v>
      </c>
      <c r="F425" s="6" t="n">
        <v>0.6015</v>
      </c>
      <c r="G425" s="6" t="n">
        <v>0.4031</v>
      </c>
      <c r="H425" s="6" t="n">
        <v>0.5033</v>
      </c>
      <c r="I425" s="6" t="n">
        <v>0.3978</v>
      </c>
      <c r="J425" s="6" t="n">
        <v>0.8532</v>
      </c>
      <c r="K425" s="6" t="n">
        <v>0.2756</v>
      </c>
      <c r="L425" s="7">
        <f>Mecanismos!B2*C425</f>
        <v/>
      </c>
      <c r="M425" s="7">
        <f>Mecanismos!B7*D425</f>
        <v/>
      </c>
      <c r="N425" s="7">
        <f>Mecanismos!B4*(1-E425)</f>
        <v/>
      </c>
      <c r="O425" s="7">
        <f>Mecanismos!B5*(1-F425)</f>
        <v/>
      </c>
      <c r="P425" s="7">
        <f>Mecanismos!B6*(1-I425)</f>
        <v/>
      </c>
      <c r="Q425" s="7">
        <f>Mecanismos!B9*(1-G425)</f>
        <v/>
      </c>
      <c r="R425" s="7">
        <f>Mecanismos!B3*(1-D425)</f>
        <v/>
      </c>
      <c r="S425" s="7">
        <f>Mecanismos!B9*(1-J425)</f>
        <v/>
      </c>
      <c r="T425" s="7">
        <f>Mecanismos!B8*H425</f>
        <v/>
      </c>
      <c r="U425" s="7">
        <f>Mecanismos!B10*H425</f>
        <v/>
      </c>
      <c r="V425" s="7">
        <f>Mecanismos!B8*K425</f>
        <v/>
      </c>
      <c r="W425" s="7">
        <f>SUM(L425:S425)</f>
        <v/>
      </c>
      <c r="X425" s="7">
        <f>SUM(T425:V425)</f>
        <v/>
      </c>
      <c r="Y425" s="8">
        <f>MAX(0,MIN(1,Parametros!B2-W425*Parametros!B3+X425*Parametros!B4))</f>
        <v/>
      </c>
    </row>
    <row r="426">
      <c r="A426" t="inlineStr">
        <is>
          <t>z636bs</t>
        </is>
      </c>
      <c r="B426" t="inlineStr">
        <is>
          <t>Rafaela Viana</t>
        </is>
      </c>
      <c r="C426" s="6" t="n">
        <v>0.5554</v>
      </c>
      <c r="D426" s="6" t="n">
        <v>0.3798</v>
      </c>
      <c r="E426" s="6" t="n">
        <v>0.6732</v>
      </c>
      <c r="F426" s="6" t="n">
        <v>0.3897</v>
      </c>
      <c r="G426" s="6" t="n">
        <v>0.5151</v>
      </c>
      <c r="H426" s="6" t="n">
        <v>0.6303</v>
      </c>
      <c r="I426" s="6" t="n">
        <v>0.5427999999999999</v>
      </c>
      <c r="J426" s="6" t="n">
        <v>0.7625999999999999</v>
      </c>
      <c r="K426" s="6" t="n">
        <v>0.6352</v>
      </c>
      <c r="L426" s="7">
        <f>Mecanismos!B2*C426</f>
        <v/>
      </c>
      <c r="M426" s="7">
        <f>Mecanismos!B7*D426</f>
        <v/>
      </c>
      <c r="N426" s="7">
        <f>Mecanismos!B4*(1-E426)</f>
        <v/>
      </c>
      <c r="O426" s="7">
        <f>Mecanismos!B5*(1-F426)</f>
        <v/>
      </c>
      <c r="P426" s="7">
        <f>Mecanismos!B6*(1-I426)</f>
        <v/>
      </c>
      <c r="Q426" s="7">
        <f>Mecanismos!B9*(1-G426)</f>
        <v/>
      </c>
      <c r="R426" s="7">
        <f>Mecanismos!B3*(1-D426)</f>
        <v/>
      </c>
      <c r="S426" s="7">
        <f>Mecanismos!B9*(1-J426)</f>
        <v/>
      </c>
      <c r="T426" s="7">
        <f>Mecanismos!B8*H426</f>
        <v/>
      </c>
      <c r="U426" s="7">
        <f>Mecanismos!B10*H426</f>
        <v/>
      </c>
      <c r="V426" s="7">
        <f>Mecanismos!B8*K426</f>
        <v/>
      </c>
      <c r="W426" s="7">
        <f>SUM(L426:S426)</f>
        <v/>
      </c>
      <c r="X426" s="7">
        <f>SUM(T426:V426)</f>
        <v/>
      </c>
      <c r="Y426" s="8">
        <f>MAX(0,MIN(1,Parametros!B2-W426*Parametros!B3+X426*Parametros!B4))</f>
        <v/>
      </c>
    </row>
    <row r="427">
      <c r="A427" t="inlineStr">
        <is>
          <t>h87cwb</t>
        </is>
      </c>
      <c r="B427" t="inlineStr">
        <is>
          <t>Raul Duarte</t>
        </is>
      </c>
      <c r="C427" s="6" t="n">
        <v>0.7584</v>
      </c>
      <c r="D427" s="6" t="n">
        <v>0.4278</v>
      </c>
      <c r="E427" s="6" t="n">
        <v>0.5717</v>
      </c>
      <c r="F427" s="6" t="n">
        <v>0.6953</v>
      </c>
      <c r="G427" s="6" t="n">
        <v>0.605</v>
      </c>
      <c r="H427" s="6" t="n">
        <v>0.7094</v>
      </c>
      <c r="I427" s="6" t="n">
        <v>0.7387</v>
      </c>
      <c r="J427" s="6" t="n">
        <v>0.6964</v>
      </c>
      <c r="K427" s="6" t="n">
        <v>0.7929</v>
      </c>
      <c r="L427" s="7">
        <f>Mecanismos!B2*C427</f>
        <v/>
      </c>
      <c r="M427" s="7">
        <f>Mecanismos!B7*D427</f>
        <v/>
      </c>
      <c r="N427" s="7">
        <f>Mecanismos!B4*(1-E427)</f>
        <v/>
      </c>
      <c r="O427" s="7">
        <f>Mecanismos!B5*(1-F427)</f>
        <v/>
      </c>
      <c r="P427" s="7">
        <f>Mecanismos!B6*(1-I427)</f>
        <v/>
      </c>
      <c r="Q427" s="7">
        <f>Mecanismos!B9*(1-G427)</f>
        <v/>
      </c>
      <c r="R427" s="7">
        <f>Mecanismos!B3*(1-D427)</f>
        <v/>
      </c>
      <c r="S427" s="7">
        <f>Mecanismos!B9*(1-J427)</f>
        <v/>
      </c>
      <c r="T427" s="7">
        <f>Mecanismos!B8*H427</f>
        <v/>
      </c>
      <c r="U427" s="7">
        <f>Mecanismos!B10*H427</f>
        <v/>
      </c>
      <c r="V427" s="7">
        <f>Mecanismos!B8*K427</f>
        <v/>
      </c>
      <c r="W427" s="7">
        <f>SUM(L427:S427)</f>
        <v/>
      </c>
      <c r="X427" s="7">
        <f>SUM(T427:V427)</f>
        <v/>
      </c>
      <c r="Y427" s="8">
        <f>MAX(0,MIN(1,Parametros!B2-W427*Parametros!B3+X427*Parametros!B4))</f>
        <v/>
      </c>
    </row>
    <row r="428">
      <c r="A428" t="inlineStr">
        <is>
          <t>enu4n0</t>
        </is>
      </c>
      <c r="B428" t="inlineStr">
        <is>
          <t>Raul Ferreira</t>
        </is>
      </c>
      <c r="C428" s="6" t="n">
        <v>0.3379</v>
      </c>
      <c r="D428" s="6" t="n">
        <v>0.3988</v>
      </c>
      <c r="E428" s="6" t="n">
        <v>0.5581</v>
      </c>
      <c r="F428" s="6" t="n">
        <v>0.4785</v>
      </c>
      <c r="G428" s="6" t="n">
        <v>0.3379</v>
      </c>
      <c r="H428" s="6" t="n">
        <v>0.4941</v>
      </c>
      <c r="I428" s="6" t="n">
        <v>0.5695</v>
      </c>
      <c r="J428" s="6" t="n">
        <v>0.7972</v>
      </c>
      <c r="K428" s="6" t="n">
        <v>0.2825</v>
      </c>
      <c r="L428" s="7">
        <f>Mecanismos!B2*C428</f>
        <v/>
      </c>
      <c r="M428" s="7">
        <f>Mecanismos!B7*D428</f>
        <v/>
      </c>
      <c r="N428" s="7">
        <f>Mecanismos!B4*(1-E428)</f>
        <v/>
      </c>
      <c r="O428" s="7">
        <f>Mecanismos!B5*(1-F428)</f>
        <v/>
      </c>
      <c r="P428" s="7">
        <f>Mecanismos!B6*(1-I428)</f>
        <v/>
      </c>
      <c r="Q428" s="7">
        <f>Mecanismos!B9*(1-G428)</f>
        <v/>
      </c>
      <c r="R428" s="7">
        <f>Mecanismos!B3*(1-D428)</f>
        <v/>
      </c>
      <c r="S428" s="7">
        <f>Mecanismos!B9*(1-J428)</f>
        <v/>
      </c>
      <c r="T428" s="7">
        <f>Mecanismos!B8*H428</f>
        <v/>
      </c>
      <c r="U428" s="7">
        <f>Mecanismos!B10*H428</f>
        <v/>
      </c>
      <c r="V428" s="7">
        <f>Mecanismos!B8*K428</f>
        <v/>
      </c>
      <c r="W428" s="7">
        <f>SUM(L428:S428)</f>
        <v/>
      </c>
      <c r="X428" s="7">
        <f>SUM(T428:V428)</f>
        <v/>
      </c>
      <c r="Y428" s="8">
        <f>MAX(0,MIN(1,Parametros!B2-W428*Parametros!B3+X428*Parametros!B4))</f>
        <v/>
      </c>
    </row>
    <row r="429">
      <c r="A429" t="inlineStr">
        <is>
          <t>3f1087</t>
        </is>
      </c>
      <c r="B429" t="inlineStr">
        <is>
          <t>Raul da Paz</t>
        </is>
      </c>
      <c r="C429" s="6" t="n">
        <v>0.6814</v>
      </c>
      <c r="D429" s="6" t="n">
        <v>0.7089</v>
      </c>
      <c r="E429" s="6" t="n">
        <v>0.5562</v>
      </c>
      <c r="F429" s="6" t="n">
        <v>0.7996</v>
      </c>
      <c r="G429" s="6" t="n">
        <v>0.6496</v>
      </c>
      <c r="H429" s="6" t="n">
        <v>0.4189</v>
      </c>
      <c r="I429" s="6" t="n">
        <v>0.6387</v>
      </c>
      <c r="J429" s="6" t="n">
        <v>0.8807</v>
      </c>
      <c r="K429" s="6" t="n">
        <v>0.4204</v>
      </c>
      <c r="L429" s="7">
        <f>Mecanismos!B2*C429</f>
        <v/>
      </c>
      <c r="M429" s="7">
        <f>Mecanismos!B7*D429</f>
        <v/>
      </c>
      <c r="N429" s="7">
        <f>Mecanismos!B4*(1-E429)</f>
        <v/>
      </c>
      <c r="O429" s="7">
        <f>Mecanismos!B5*(1-F429)</f>
        <v/>
      </c>
      <c r="P429" s="7">
        <f>Mecanismos!B6*(1-I429)</f>
        <v/>
      </c>
      <c r="Q429" s="7">
        <f>Mecanismos!B9*(1-G429)</f>
        <v/>
      </c>
      <c r="R429" s="7">
        <f>Mecanismos!B3*(1-D429)</f>
        <v/>
      </c>
      <c r="S429" s="7">
        <f>Mecanismos!B9*(1-J429)</f>
        <v/>
      </c>
      <c r="T429" s="7">
        <f>Mecanismos!B8*H429</f>
        <v/>
      </c>
      <c r="U429" s="7">
        <f>Mecanismos!B10*H429</f>
        <v/>
      </c>
      <c r="V429" s="7">
        <f>Mecanismos!B8*K429</f>
        <v/>
      </c>
      <c r="W429" s="7">
        <f>SUM(L429:S429)</f>
        <v/>
      </c>
      <c r="X429" s="7">
        <f>SUM(T429:V429)</f>
        <v/>
      </c>
      <c r="Y429" s="8">
        <f>MAX(0,MIN(1,Parametros!B2-W429*Parametros!B3+X429*Parametros!B4))</f>
        <v/>
      </c>
    </row>
    <row r="430">
      <c r="A430" t="inlineStr">
        <is>
          <t>eiqs7q</t>
        </is>
      </c>
      <c r="B430" t="inlineStr">
        <is>
          <t>Ravi Camargo</t>
        </is>
      </c>
      <c r="C430" s="6" t="n">
        <v>0.3771</v>
      </c>
      <c r="D430" s="6" t="n">
        <v>0.6207</v>
      </c>
      <c r="E430" s="6" t="n">
        <v>0.5165999999999999</v>
      </c>
      <c r="F430" s="6" t="n">
        <v>0.489</v>
      </c>
      <c r="G430" s="6" t="n">
        <v>0.5591</v>
      </c>
      <c r="H430" s="6" t="n">
        <v>0.5756</v>
      </c>
      <c r="I430" s="6" t="n">
        <v>0.8976</v>
      </c>
      <c r="J430" s="6" t="n">
        <v>0.5233</v>
      </c>
      <c r="K430" s="6" t="n">
        <v>0.4675</v>
      </c>
      <c r="L430" s="7">
        <f>Mecanismos!B2*C430</f>
        <v/>
      </c>
      <c r="M430" s="7">
        <f>Mecanismos!B7*D430</f>
        <v/>
      </c>
      <c r="N430" s="7">
        <f>Mecanismos!B4*(1-E430)</f>
        <v/>
      </c>
      <c r="O430" s="7">
        <f>Mecanismos!B5*(1-F430)</f>
        <v/>
      </c>
      <c r="P430" s="7">
        <f>Mecanismos!B6*(1-I430)</f>
        <v/>
      </c>
      <c r="Q430" s="7">
        <f>Mecanismos!B9*(1-G430)</f>
        <v/>
      </c>
      <c r="R430" s="7">
        <f>Mecanismos!B3*(1-D430)</f>
        <v/>
      </c>
      <c r="S430" s="7">
        <f>Mecanismos!B9*(1-J430)</f>
        <v/>
      </c>
      <c r="T430" s="7">
        <f>Mecanismos!B8*H430</f>
        <v/>
      </c>
      <c r="U430" s="7">
        <f>Mecanismos!B10*H430</f>
        <v/>
      </c>
      <c r="V430" s="7">
        <f>Mecanismos!B8*K430</f>
        <v/>
      </c>
      <c r="W430" s="7">
        <f>SUM(L430:S430)</f>
        <v/>
      </c>
      <c r="X430" s="7">
        <f>SUM(T430:V430)</f>
        <v/>
      </c>
      <c r="Y430" s="8">
        <f>MAX(0,MIN(1,Parametros!B2-W430*Parametros!B3+X430*Parametros!B4))</f>
        <v/>
      </c>
    </row>
    <row r="431">
      <c r="A431" t="inlineStr">
        <is>
          <t>fxr1t3</t>
        </is>
      </c>
      <c r="B431" t="inlineStr">
        <is>
          <t>Ravi Correia</t>
        </is>
      </c>
      <c r="C431" s="6" t="n">
        <v>0.6531</v>
      </c>
      <c r="D431" s="6" t="n">
        <v>0.4178</v>
      </c>
      <c r="E431" s="6" t="n">
        <v>0.4101</v>
      </c>
      <c r="F431" s="6" t="n">
        <v>0.6669</v>
      </c>
      <c r="G431" s="6" t="n">
        <v>0.6398</v>
      </c>
      <c r="H431" s="6" t="n">
        <v>0.7935</v>
      </c>
      <c r="I431" s="6" t="n">
        <v>0.5003</v>
      </c>
      <c r="J431" s="6" t="n">
        <v>0.6798999999999999</v>
      </c>
      <c r="K431" s="6" t="n">
        <v>0.4802</v>
      </c>
      <c r="L431" s="7">
        <f>Mecanismos!B2*C431</f>
        <v/>
      </c>
      <c r="M431" s="7">
        <f>Mecanismos!B7*D431</f>
        <v/>
      </c>
      <c r="N431" s="7">
        <f>Mecanismos!B4*(1-E431)</f>
        <v/>
      </c>
      <c r="O431" s="7">
        <f>Mecanismos!B5*(1-F431)</f>
        <v/>
      </c>
      <c r="P431" s="7">
        <f>Mecanismos!B6*(1-I431)</f>
        <v/>
      </c>
      <c r="Q431" s="7">
        <f>Mecanismos!B9*(1-G431)</f>
        <v/>
      </c>
      <c r="R431" s="7">
        <f>Mecanismos!B3*(1-D431)</f>
        <v/>
      </c>
      <c r="S431" s="7">
        <f>Mecanismos!B9*(1-J431)</f>
        <v/>
      </c>
      <c r="T431" s="7">
        <f>Mecanismos!B8*H431</f>
        <v/>
      </c>
      <c r="U431" s="7">
        <f>Mecanismos!B10*H431</f>
        <v/>
      </c>
      <c r="V431" s="7">
        <f>Mecanismos!B8*K431</f>
        <v/>
      </c>
      <c r="W431" s="7">
        <f>SUM(L431:S431)</f>
        <v/>
      </c>
      <c r="X431" s="7">
        <f>SUM(T431:V431)</f>
        <v/>
      </c>
      <c r="Y431" s="8">
        <f>MAX(0,MIN(1,Parametros!B2-W431*Parametros!B3+X431*Parametros!B4))</f>
        <v/>
      </c>
    </row>
    <row r="432">
      <c r="A432" t="inlineStr">
        <is>
          <t>6gz2lr</t>
        </is>
      </c>
      <c r="B432" t="inlineStr">
        <is>
          <t>Ravi Lucca Correia</t>
        </is>
      </c>
      <c r="C432" s="6" t="n">
        <v>0.5593</v>
      </c>
      <c r="D432" s="6" t="n">
        <v>0.7125</v>
      </c>
      <c r="E432" s="6" t="n">
        <v>0.5585</v>
      </c>
      <c r="F432" s="6" t="n">
        <v>0.5548</v>
      </c>
      <c r="G432" s="6" t="n">
        <v>0.3141</v>
      </c>
      <c r="H432" s="6" t="n">
        <v>0.6506</v>
      </c>
      <c r="I432" s="6" t="n">
        <v>0.6526</v>
      </c>
      <c r="J432" s="6" t="n">
        <v>0.7965</v>
      </c>
      <c r="K432" s="6" t="n">
        <v>0.5557</v>
      </c>
      <c r="L432" s="7">
        <f>Mecanismos!B2*C432</f>
        <v/>
      </c>
      <c r="M432" s="7">
        <f>Mecanismos!B7*D432</f>
        <v/>
      </c>
      <c r="N432" s="7">
        <f>Mecanismos!B4*(1-E432)</f>
        <v/>
      </c>
      <c r="O432" s="7">
        <f>Mecanismos!B5*(1-F432)</f>
        <v/>
      </c>
      <c r="P432" s="7">
        <f>Mecanismos!B6*(1-I432)</f>
        <v/>
      </c>
      <c r="Q432" s="7">
        <f>Mecanismos!B9*(1-G432)</f>
        <v/>
      </c>
      <c r="R432" s="7">
        <f>Mecanismos!B3*(1-D432)</f>
        <v/>
      </c>
      <c r="S432" s="7">
        <f>Mecanismos!B9*(1-J432)</f>
        <v/>
      </c>
      <c r="T432" s="7">
        <f>Mecanismos!B8*H432</f>
        <v/>
      </c>
      <c r="U432" s="7">
        <f>Mecanismos!B10*H432</f>
        <v/>
      </c>
      <c r="V432" s="7">
        <f>Mecanismos!B8*K432</f>
        <v/>
      </c>
      <c r="W432" s="7">
        <f>SUM(L432:S432)</f>
        <v/>
      </c>
      <c r="X432" s="7">
        <f>SUM(T432:V432)</f>
        <v/>
      </c>
      <c r="Y432" s="8">
        <f>MAX(0,MIN(1,Parametros!B2-W432*Parametros!B3+X432*Parametros!B4))</f>
        <v/>
      </c>
    </row>
    <row r="433">
      <c r="A433" t="inlineStr">
        <is>
          <t>jw0oer</t>
        </is>
      </c>
      <c r="B433" t="inlineStr">
        <is>
          <t>Ravi da Paz</t>
        </is>
      </c>
      <c r="C433" s="6" t="n">
        <v>0.7617</v>
      </c>
      <c r="D433" s="6" t="n">
        <v>0.6192</v>
      </c>
      <c r="E433" s="6" t="n">
        <v>0.5086000000000001</v>
      </c>
      <c r="F433" s="6" t="n">
        <v>0.3861</v>
      </c>
      <c r="G433" s="6" t="n">
        <v>0.7835</v>
      </c>
      <c r="H433" s="6" t="n">
        <v>0.5652</v>
      </c>
      <c r="I433" s="6" t="n">
        <v>0.7124</v>
      </c>
      <c r="J433" s="6" t="n">
        <v>0.6701</v>
      </c>
      <c r="K433" s="6" t="n">
        <v>0.2538</v>
      </c>
      <c r="L433" s="7">
        <f>Mecanismos!B2*C433</f>
        <v/>
      </c>
      <c r="M433" s="7">
        <f>Mecanismos!B7*D433</f>
        <v/>
      </c>
      <c r="N433" s="7">
        <f>Mecanismos!B4*(1-E433)</f>
        <v/>
      </c>
      <c r="O433" s="7">
        <f>Mecanismos!B5*(1-F433)</f>
        <v/>
      </c>
      <c r="P433" s="7">
        <f>Mecanismos!B6*(1-I433)</f>
        <v/>
      </c>
      <c r="Q433" s="7">
        <f>Mecanismos!B9*(1-G433)</f>
        <v/>
      </c>
      <c r="R433" s="7">
        <f>Mecanismos!B3*(1-D433)</f>
        <v/>
      </c>
      <c r="S433" s="7">
        <f>Mecanismos!B9*(1-J433)</f>
        <v/>
      </c>
      <c r="T433" s="7">
        <f>Mecanismos!B8*H433</f>
        <v/>
      </c>
      <c r="U433" s="7">
        <f>Mecanismos!B10*H433</f>
        <v/>
      </c>
      <c r="V433" s="7">
        <f>Mecanismos!B8*K433</f>
        <v/>
      </c>
      <c r="W433" s="7">
        <f>SUM(L433:S433)</f>
        <v/>
      </c>
      <c r="X433" s="7">
        <f>SUM(T433:V433)</f>
        <v/>
      </c>
      <c r="Y433" s="8">
        <f>MAX(0,MIN(1,Parametros!B2-W433*Parametros!B3+X433*Parametros!B4))</f>
        <v/>
      </c>
    </row>
    <row r="434">
      <c r="A434" t="inlineStr">
        <is>
          <t>ug1dgl</t>
        </is>
      </c>
      <c r="B434" t="inlineStr">
        <is>
          <t>Ravy Fernandes</t>
        </is>
      </c>
      <c r="C434" s="6" t="n">
        <v>0.5921999999999999</v>
      </c>
      <c r="D434" s="6" t="n">
        <v>0.2125</v>
      </c>
      <c r="E434" s="6" t="n">
        <v>0.4016</v>
      </c>
      <c r="F434" s="6" t="n">
        <v>0.2578</v>
      </c>
      <c r="G434" s="6" t="n">
        <v>0.4787</v>
      </c>
      <c r="H434" s="6" t="n">
        <v>0.5317</v>
      </c>
      <c r="I434" s="6" t="n">
        <v>0.2963</v>
      </c>
      <c r="J434" s="6" t="n">
        <v>0.6823</v>
      </c>
      <c r="K434" s="6" t="n">
        <v>0.2792</v>
      </c>
      <c r="L434" s="7">
        <f>Mecanismos!B2*C434</f>
        <v/>
      </c>
      <c r="M434" s="7">
        <f>Mecanismos!B7*D434</f>
        <v/>
      </c>
      <c r="N434" s="7">
        <f>Mecanismos!B4*(1-E434)</f>
        <v/>
      </c>
      <c r="O434" s="7">
        <f>Mecanismos!B5*(1-F434)</f>
        <v/>
      </c>
      <c r="P434" s="7">
        <f>Mecanismos!B6*(1-I434)</f>
        <v/>
      </c>
      <c r="Q434" s="7">
        <f>Mecanismos!B9*(1-G434)</f>
        <v/>
      </c>
      <c r="R434" s="7">
        <f>Mecanismos!B3*(1-D434)</f>
        <v/>
      </c>
      <c r="S434" s="7">
        <f>Mecanismos!B9*(1-J434)</f>
        <v/>
      </c>
      <c r="T434" s="7">
        <f>Mecanismos!B8*H434</f>
        <v/>
      </c>
      <c r="U434" s="7">
        <f>Mecanismos!B10*H434</f>
        <v/>
      </c>
      <c r="V434" s="7">
        <f>Mecanismos!B8*K434</f>
        <v/>
      </c>
      <c r="W434" s="7">
        <f>SUM(L434:S434)</f>
        <v/>
      </c>
      <c r="X434" s="7">
        <f>SUM(T434:V434)</f>
        <v/>
      </c>
      <c r="Y434" s="8">
        <f>MAX(0,MIN(1,Parametros!B2-W434*Parametros!B3+X434*Parametros!B4))</f>
        <v/>
      </c>
    </row>
    <row r="435">
      <c r="A435" t="inlineStr">
        <is>
          <t>7xx5sa</t>
        </is>
      </c>
      <c r="B435" t="inlineStr">
        <is>
          <t>Rebeca Correia</t>
        </is>
      </c>
      <c r="C435" s="6" t="n">
        <v>0.8117</v>
      </c>
      <c r="D435" s="6" t="n">
        <v>0.3918</v>
      </c>
      <c r="E435" s="6" t="n">
        <v>0.5619</v>
      </c>
      <c r="F435" s="6" t="n">
        <v>0.6074000000000001</v>
      </c>
      <c r="G435" s="6" t="n">
        <v>0.3085</v>
      </c>
      <c r="H435" s="6" t="n">
        <v>0.8184</v>
      </c>
      <c r="I435" s="6" t="n">
        <v>0.2876</v>
      </c>
      <c r="J435" s="6" t="n">
        <v>0.4922</v>
      </c>
      <c r="K435" s="6" t="n">
        <v>0.3536</v>
      </c>
      <c r="L435" s="7">
        <f>Mecanismos!B2*C435</f>
        <v/>
      </c>
      <c r="M435" s="7">
        <f>Mecanismos!B7*D435</f>
        <v/>
      </c>
      <c r="N435" s="7">
        <f>Mecanismos!B4*(1-E435)</f>
        <v/>
      </c>
      <c r="O435" s="7">
        <f>Mecanismos!B5*(1-F435)</f>
        <v/>
      </c>
      <c r="P435" s="7">
        <f>Mecanismos!B6*(1-I435)</f>
        <v/>
      </c>
      <c r="Q435" s="7">
        <f>Mecanismos!B9*(1-G435)</f>
        <v/>
      </c>
      <c r="R435" s="7">
        <f>Mecanismos!B3*(1-D435)</f>
        <v/>
      </c>
      <c r="S435" s="7">
        <f>Mecanismos!B9*(1-J435)</f>
        <v/>
      </c>
      <c r="T435" s="7">
        <f>Mecanismos!B8*H435</f>
        <v/>
      </c>
      <c r="U435" s="7">
        <f>Mecanismos!B10*H435</f>
        <v/>
      </c>
      <c r="V435" s="7">
        <f>Mecanismos!B8*K435</f>
        <v/>
      </c>
      <c r="W435" s="7">
        <f>SUM(L435:S435)</f>
        <v/>
      </c>
      <c r="X435" s="7">
        <f>SUM(T435:V435)</f>
        <v/>
      </c>
      <c r="Y435" s="8">
        <f>MAX(0,MIN(1,Parametros!B2-W435*Parametros!B3+X435*Parametros!B4))</f>
        <v/>
      </c>
    </row>
    <row r="436">
      <c r="A436" t="inlineStr">
        <is>
          <t>263agp</t>
        </is>
      </c>
      <c r="B436" t="inlineStr">
        <is>
          <t>Rebeca Garcia</t>
        </is>
      </c>
      <c r="C436" s="6" t="n">
        <v>0.5677</v>
      </c>
      <c r="D436" s="6" t="n">
        <v>0.6415999999999999</v>
      </c>
      <c r="E436" s="6" t="n">
        <v>0.7901</v>
      </c>
      <c r="F436" s="6" t="n">
        <v>0.5548999999999999</v>
      </c>
      <c r="G436" s="6" t="n">
        <v>0.345</v>
      </c>
      <c r="H436" s="6" t="n">
        <v>0.4003</v>
      </c>
      <c r="I436" s="6" t="n">
        <v>0.5979</v>
      </c>
      <c r="J436" s="6" t="n">
        <v>0.622</v>
      </c>
      <c r="K436" s="6" t="n">
        <v>0.4911</v>
      </c>
      <c r="L436" s="7">
        <f>Mecanismos!B2*C436</f>
        <v/>
      </c>
      <c r="M436" s="7">
        <f>Mecanismos!B7*D436</f>
        <v/>
      </c>
      <c r="N436" s="7">
        <f>Mecanismos!B4*(1-E436)</f>
        <v/>
      </c>
      <c r="O436" s="7">
        <f>Mecanismos!B5*(1-F436)</f>
        <v/>
      </c>
      <c r="P436" s="7">
        <f>Mecanismos!B6*(1-I436)</f>
        <v/>
      </c>
      <c r="Q436" s="7">
        <f>Mecanismos!B9*(1-G436)</f>
        <v/>
      </c>
      <c r="R436" s="7">
        <f>Mecanismos!B3*(1-D436)</f>
        <v/>
      </c>
      <c r="S436" s="7">
        <f>Mecanismos!B9*(1-J436)</f>
        <v/>
      </c>
      <c r="T436" s="7">
        <f>Mecanismos!B8*H436</f>
        <v/>
      </c>
      <c r="U436" s="7">
        <f>Mecanismos!B10*H436</f>
        <v/>
      </c>
      <c r="V436" s="7">
        <f>Mecanismos!B8*K436</f>
        <v/>
      </c>
      <c r="W436" s="7">
        <f>SUM(L436:S436)</f>
        <v/>
      </c>
      <c r="X436" s="7">
        <f>SUM(T436:V436)</f>
        <v/>
      </c>
      <c r="Y436" s="8">
        <f>MAX(0,MIN(1,Parametros!B2-W436*Parametros!B3+X436*Parametros!B4))</f>
        <v/>
      </c>
    </row>
    <row r="437">
      <c r="A437" t="inlineStr">
        <is>
          <t>mwi58v</t>
        </is>
      </c>
      <c r="B437" t="inlineStr">
        <is>
          <t>Rebeca Moreira</t>
        </is>
      </c>
      <c r="C437" s="6" t="n">
        <v>0.5944</v>
      </c>
      <c r="D437" s="6" t="n">
        <v>0.6482</v>
      </c>
      <c r="E437" s="6" t="n">
        <v>0.4384</v>
      </c>
      <c r="F437" s="6" t="n">
        <v>0.6778</v>
      </c>
      <c r="G437" s="6" t="n">
        <v>0.714</v>
      </c>
      <c r="H437" s="6" t="n">
        <v>0.8007</v>
      </c>
      <c r="I437" s="6" t="n">
        <v>0.2394</v>
      </c>
      <c r="J437" s="6" t="n">
        <v>0.8843</v>
      </c>
      <c r="K437" s="6" t="n">
        <v>0.2135</v>
      </c>
      <c r="L437" s="7">
        <f>Mecanismos!B2*C437</f>
        <v/>
      </c>
      <c r="M437" s="7">
        <f>Mecanismos!B7*D437</f>
        <v/>
      </c>
      <c r="N437" s="7">
        <f>Mecanismos!B4*(1-E437)</f>
        <v/>
      </c>
      <c r="O437" s="7">
        <f>Mecanismos!B5*(1-F437)</f>
        <v/>
      </c>
      <c r="P437" s="7">
        <f>Mecanismos!B6*(1-I437)</f>
        <v/>
      </c>
      <c r="Q437" s="7">
        <f>Mecanismos!B9*(1-G437)</f>
        <v/>
      </c>
      <c r="R437" s="7">
        <f>Mecanismos!B3*(1-D437)</f>
        <v/>
      </c>
      <c r="S437" s="7">
        <f>Mecanismos!B9*(1-J437)</f>
        <v/>
      </c>
      <c r="T437" s="7">
        <f>Mecanismos!B8*H437</f>
        <v/>
      </c>
      <c r="U437" s="7">
        <f>Mecanismos!B10*H437</f>
        <v/>
      </c>
      <c r="V437" s="7">
        <f>Mecanismos!B8*K437</f>
        <v/>
      </c>
      <c r="W437" s="7">
        <f>SUM(L437:S437)</f>
        <v/>
      </c>
      <c r="X437" s="7">
        <f>SUM(T437:V437)</f>
        <v/>
      </c>
      <c r="Y437" s="8">
        <f>MAX(0,MIN(1,Parametros!B2-W437*Parametros!B3+X437*Parametros!B4))</f>
        <v/>
      </c>
    </row>
    <row r="438">
      <c r="A438" t="inlineStr">
        <is>
          <t>mmoqsp</t>
        </is>
      </c>
      <c r="B438" t="inlineStr">
        <is>
          <t>Renan Casa Grande</t>
        </is>
      </c>
      <c r="C438" s="6" t="n">
        <v>0.5531</v>
      </c>
      <c r="D438" s="6" t="n">
        <v>0.5132</v>
      </c>
      <c r="E438" s="6" t="n">
        <v>0.5588</v>
      </c>
      <c r="F438" s="6" t="n">
        <v>0.6608000000000001</v>
      </c>
      <c r="G438" s="6" t="n">
        <v>0.7426</v>
      </c>
      <c r="H438" s="6" t="n">
        <v>0.2846</v>
      </c>
      <c r="I438" s="6" t="n">
        <v>0.7408</v>
      </c>
      <c r="J438" s="6" t="n">
        <v>0.8995</v>
      </c>
      <c r="K438" s="6" t="n">
        <v>0.6337</v>
      </c>
      <c r="L438" s="7">
        <f>Mecanismos!B2*C438</f>
        <v/>
      </c>
      <c r="M438" s="7">
        <f>Mecanismos!B7*D438</f>
        <v/>
      </c>
      <c r="N438" s="7">
        <f>Mecanismos!B4*(1-E438)</f>
        <v/>
      </c>
      <c r="O438" s="7">
        <f>Mecanismos!B5*(1-F438)</f>
        <v/>
      </c>
      <c r="P438" s="7">
        <f>Mecanismos!B6*(1-I438)</f>
        <v/>
      </c>
      <c r="Q438" s="7">
        <f>Mecanismos!B9*(1-G438)</f>
        <v/>
      </c>
      <c r="R438" s="7">
        <f>Mecanismos!B3*(1-D438)</f>
        <v/>
      </c>
      <c r="S438" s="7">
        <f>Mecanismos!B9*(1-J438)</f>
        <v/>
      </c>
      <c r="T438" s="7">
        <f>Mecanismos!B8*H438</f>
        <v/>
      </c>
      <c r="U438" s="7">
        <f>Mecanismos!B10*H438</f>
        <v/>
      </c>
      <c r="V438" s="7">
        <f>Mecanismos!B8*K438</f>
        <v/>
      </c>
      <c r="W438" s="7">
        <f>SUM(L438:S438)</f>
        <v/>
      </c>
      <c r="X438" s="7">
        <f>SUM(T438:V438)</f>
        <v/>
      </c>
      <c r="Y438" s="8">
        <f>MAX(0,MIN(1,Parametros!B2-W438*Parametros!B3+X438*Parametros!B4))</f>
        <v/>
      </c>
    </row>
    <row r="439">
      <c r="A439" t="inlineStr">
        <is>
          <t>lhyjnp</t>
        </is>
      </c>
      <c r="B439" t="inlineStr">
        <is>
          <t>Renan Leão</t>
        </is>
      </c>
      <c r="C439" s="6" t="n">
        <v>0.8245</v>
      </c>
      <c r="D439" s="6" t="n">
        <v>0.4277</v>
      </c>
      <c r="E439" s="6" t="n">
        <v>0.7047</v>
      </c>
      <c r="F439" s="6" t="n">
        <v>0.4074</v>
      </c>
      <c r="G439" s="6" t="n">
        <v>0.345</v>
      </c>
      <c r="H439" s="6" t="n">
        <v>0.5750999999999999</v>
      </c>
      <c r="I439" s="6" t="n">
        <v>0.1784</v>
      </c>
      <c r="J439" s="6" t="n">
        <v>0.8517</v>
      </c>
      <c r="K439" s="6" t="n">
        <v>0.2685</v>
      </c>
      <c r="L439" s="7">
        <f>Mecanismos!B2*C439</f>
        <v/>
      </c>
      <c r="M439" s="7">
        <f>Mecanismos!B7*D439</f>
        <v/>
      </c>
      <c r="N439" s="7">
        <f>Mecanismos!B4*(1-E439)</f>
        <v/>
      </c>
      <c r="O439" s="7">
        <f>Mecanismos!B5*(1-F439)</f>
        <v/>
      </c>
      <c r="P439" s="7">
        <f>Mecanismos!B6*(1-I439)</f>
        <v/>
      </c>
      <c r="Q439" s="7">
        <f>Mecanismos!B9*(1-G439)</f>
        <v/>
      </c>
      <c r="R439" s="7">
        <f>Mecanismos!B3*(1-D439)</f>
        <v/>
      </c>
      <c r="S439" s="7">
        <f>Mecanismos!B9*(1-J439)</f>
        <v/>
      </c>
      <c r="T439" s="7">
        <f>Mecanismos!B8*H439</f>
        <v/>
      </c>
      <c r="U439" s="7">
        <f>Mecanismos!B10*H439</f>
        <v/>
      </c>
      <c r="V439" s="7">
        <f>Mecanismos!B8*K439</f>
        <v/>
      </c>
      <c r="W439" s="7">
        <f>SUM(L439:S439)</f>
        <v/>
      </c>
      <c r="X439" s="7">
        <f>SUM(T439:V439)</f>
        <v/>
      </c>
      <c r="Y439" s="8">
        <f>MAX(0,MIN(1,Parametros!B2-W439*Parametros!B3+X439*Parametros!B4))</f>
        <v/>
      </c>
    </row>
    <row r="440">
      <c r="A440" t="inlineStr">
        <is>
          <t>r6e4rz</t>
        </is>
      </c>
      <c r="B440" t="inlineStr">
        <is>
          <t>Renan Leão</t>
        </is>
      </c>
      <c r="C440" s="6" t="n">
        <v>0.4639</v>
      </c>
      <c r="D440" s="6" t="n">
        <v>0.4154</v>
      </c>
      <c r="E440" s="6" t="n">
        <v>0.4005</v>
      </c>
      <c r="F440" s="6" t="n">
        <v>0.6515</v>
      </c>
      <c r="G440" s="6" t="n">
        <v>0.7532</v>
      </c>
      <c r="H440" s="6" t="n">
        <v>0.5779</v>
      </c>
      <c r="I440" s="6" t="n">
        <v>0.8423</v>
      </c>
      <c r="J440" s="6" t="n">
        <v>0.7915</v>
      </c>
      <c r="K440" s="6" t="n">
        <v>0.5338000000000001</v>
      </c>
      <c r="L440" s="7">
        <f>Mecanismos!B2*C440</f>
        <v/>
      </c>
      <c r="M440" s="7">
        <f>Mecanismos!B7*D440</f>
        <v/>
      </c>
      <c r="N440" s="7">
        <f>Mecanismos!B4*(1-E440)</f>
        <v/>
      </c>
      <c r="O440" s="7">
        <f>Mecanismos!B5*(1-F440)</f>
        <v/>
      </c>
      <c r="P440" s="7">
        <f>Mecanismos!B6*(1-I440)</f>
        <v/>
      </c>
      <c r="Q440" s="7">
        <f>Mecanismos!B9*(1-G440)</f>
        <v/>
      </c>
      <c r="R440" s="7">
        <f>Mecanismos!B3*(1-D440)</f>
        <v/>
      </c>
      <c r="S440" s="7">
        <f>Mecanismos!B9*(1-J440)</f>
        <v/>
      </c>
      <c r="T440" s="7">
        <f>Mecanismos!B8*H440</f>
        <v/>
      </c>
      <c r="U440" s="7">
        <f>Mecanismos!B10*H440</f>
        <v/>
      </c>
      <c r="V440" s="7">
        <f>Mecanismos!B8*K440</f>
        <v/>
      </c>
      <c r="W440" s="7">
        <f>SUM(L440:S440)</f>
        <v/>
      </c>
      <c r="X440" s="7">
        <f>SUM(T440:V440)</f>
        <v/>
      </c>
      <c r="Y440" s="8">
        <f>MAX(0,MIN(1,Parametros!B2-W440*Parametros!B3+X440*Parametros!B4))</f>
        <v/>
      </c>
    </row>
    <row r="441">
      <c r="A441" t="inlineStr">
        <is>
          <t>wvm2fr</t>
        </is>
      </c>
      <c r="B441" t="inlineStr">
        <is>
          <t>Rhavi Aparecida</t>
        </is>
      </c>
      <c r="C441" s="6" t="n">
        <v>0.6302</v>
      </c>
      <c r="D441" s="6" t="n">
        <v>0.5528</v>
      </c>
      <c r="E441" s="6" t="n">
        <v>0.6606</v>
      </c>
      <c r="F441" s="6" t="n">
        <v>0.6617</v>
      </c>
      <c r="G441" s="6" t="n">
        <v>0.6124000000000001</v>
      </c>
      <c r="H441" s="6" t="n">
        <v>0.6111</v>
      </c>
      <c r="I441" s="6" t="n">
        <v>0.5427999999999999</v>
      </c>
      <c r="J441" s="6" t="n">
        <v>0.6447000000000001</v>
      </c>
      <c r="K441" s="6" t="n">
        <v>0.4298</v>
      </c>
      <c r="L441" s="7">
        <f>Mecanismos!B2*C441</f>
        <v/>
      </c>
      <c r="M441" s="7">
        <f>Mecanismos!B7*D441</f>
        <v/>
      </c>
      <c r="N441" s="7">
        <f>Mecanismos!B4*(1-E441)</f>
        <v/>
      </c>
      <c r="O441" s="7">
        <f>Mecanismos!B5*(1-F441)</f>
        <v/>
      </c>
      <c r="P441" s="7">
        <f>Mecanismos!B6*(1-I441)</f>
        <v/>
      </c>
      <c r="Q441" s="7">
        <f>Mecanismos!B9*(1-G441)</f>
        <v/>
      </c>
      <c r="R441" s="7">
        <f>Mecanismos!B3*(1-D441)</f>
        <v/>
      </c>
      <c r="S441" s="7">
        <f>Mecanismos!B9*(1-J441)</f>
        <v/>
      </c>
      <c r="T441" s="7">
        <f>Mecanismos!B8*H441</f>
        <v/>
      </c>
      <c r="U441" s="7">
        <f>Mecanismos!B10*H441</f>
        <v/>
      </c>
      <c r="V441" s="7">
        <f>Mecanismos!B8*K441</f>
        <v/>
      </c>
      <c r="W441" s="7">
        <f>SUM(L441:S441)</f>
        <v/>
      </c>
      <c r="X441" s="7">
        <f>SUM(T441:V441)</f>
        <v/>
      </c>
      <c r="Y441" s="8">
        <f>MAX(0,MIN(1,Parametros!B2-W441*Parametros!B3+X441*Parametros!B4))</f>
        <v/>
      </c>
    </row>
    <row r="442">
      <c r="A442" t="inlineStr">
        <is>
          <t>blgwtd</t>
        </is>
      </c>
      <c r="B442" t="inlineStr">
        <is>
          <t>Rhavi Macedo</t>
        </is>
      </c>
      <c r="C442" s="6" t="n">
        <v>0.6355</v>
      </c>
      <c r="D442" s="6" t="n">
        <v>0.6119</v>
      </c>
      <c r="E442" s="6" t="n">
        <v>0.4546</v>
      </c>
      <c r="F442" s="6" t="n">
        <v>0.6173999999999999</v>
      </c>
      <c r="G442" s="6" t="n">
        <v>0.5294</v>
      </c>
      <c r="H442" s="6" t="n">
        <v>0.4236</v>
      </c>
      <c r="I442" s="6" t="n">
        <v>0.4285</v>
      </c>
      <c r="J442" s="6" t="n">
        <v>0.648</v>
      </c>
      <c r="K442" s="6" t="n">
        <v>0.5286999999999999</v>
      </c>
      <c r="L442" s="7">
        <f>Mecanismos!B2*C442</f>
        <v/>
      </c>
      <c r="M442" s="7">
        <f>Mecanismos!B7*D442</f>
        <v/>
      </c>
      <c r="N442" s="7">
        <f>Mecanismos!B4*(1-E442)</f>
        <v/>
      </c>
      <c r="O442" s="7">
        <f>Mecanismos!B5*(1-F442)</f>
        <v/>
      </c>
      <c r="P442" s="7">
        <f>Mecanismos!B6*(1-I442)</f>
        <v/>
      </c>
      <c r="Q442" s="7">
        <f>Mecanismos!B9*(1-G442)</f>
        <v/>
      </c>
      <c r="R442" s="7">
        <f>Mecanismos!B3*(1-D442)</f>
        <v/>
      </c>
      <c r="S442" s="7">
        <f>Mecanismos!B9*(1-J442)</f>
        <v/>
      </c>
      <c r="T442" s="7">
        <f>Mecanismos!B8*H442</f>
        <v/>
      </c>
      <c r="U442" s="7">
        <f>Mecanismos!B10*H442</f>
        <v/>
      </c>
      <c r="V442" s="7">
        <f>Mecanismos!B8*K442</f>
        <v/>
      </c>
      <c r="W442" s="7">
        <f>SUM(L442:S442)</f>
        <v/>
      </c>
      <c r="X442" s="7">
        <f>SUM(T442:V442)</f>
        <v/>
      </c>
      <c r="Y442" s="8">
        <f>MAX(0,MIN(1,Parametros!B2-W442*Parametros!B3+X442*Parametros!B4))</f>
        <v/>
      </c>
    </row>
    <row r="443">
      <c r="A443" t="inlineStr">
        <is>
          <t>rvi1ei</t>
        </is>
      </c>
      <c r="B443" t="inlineStr">
        <is>
          <t>Rhavi Novaes</t>
        </is>
      </c>
      <c r="C443" s="6" t="n">
        <v>0.6452</v>
      </c>
      <c r="D443" s="6" t="n">
        <v>0.6883</v>
      </c>
      <c r="E443" s="6" t="n">
        <v>0.7422</v>
      </c>
      <c r="F443" s="6" t="n">
        <v>0.5969</v>
      </c>
      <c r="G443" s="6" t="n">
        <v>0.6797</v>
      </c>
      <c r="H443" s="6" t="n">
        <v>0.6864</v>
      </c>
      <c r="I443" s="6" t="n">
        <v>0.6086</v>
      </c>
      <c r="J443" s="6" t="n">
        <v>0.9132</v>
      </c>
      <c r="K443" s="6" t="n">
        <v>0.2881</v>
      </c>
      <c r="L443" s="7">
        <f>Mecanismos!B2*C443</f>
        <v/>
      </c>
      <c r="M443" s="7">
        <f>Mecanismos!B7*D443</f>
        <v/>
      </c>
      <c r="N443" s="7">
        <f>Mecanismos!B4*(1-E443)</f>
        <v/>
      </c>
      <c r="O443" s="7">
        <f>Mecanismos!B5*(1-F443)</f>
        <v/>
      </c>
      <c r="P443" s="7">
        <f>Mecanismos!B6*(1-I443)</f>
        <v/>
      </c>
      <c r="Q443" s="7">
        <f>Mecanismos!B9*(1-G443)</f>
        <v/>
      </c>
      <c r="R443" s="7">
        <f>Mecanismos!B3*(1-D443)</f>
        <v/>
      </c>
      <c r="S443" s="7">
        <f>Mecanismos!B9*(1-J443)</f>
        <v/>
      </c>
      <c r="T443" s="7">
        <f>Mecanismos!B8*H443</f>
        <v/>
      </c>
      <c r="U443" s="7">
        <f>Mecanismos!B10*H443</f>
        <v/>
      </c>
      <c r="V443" s="7">
        <f>Mecanismos!B8*K443</f>
        <v/>
      </c>
      <c r="W443" s="7">
        <f>SUM(L443:S443)</f>
        <v/>
      </c>
      <c r="X443" s="7">
        <f>SUM(T443:V443)</f>
        <v/>
      </c>
      <c r="Y443" s="8">
        <f>MAX(0,MIN(1,Parametros!B2-W443*Parametros!B3+X443*Parametros!B4))</f>
        <v/>
      </c>
    </row>
    <row r="444">
      <c r="A444" t="inlineStr">
        <is>
          <t>frn338</t>
        </is>
      </c>
      <c r="B444" t="inlineStr">
        <is>
          <t>Rhavi Rios</t>
        </is>
      </c>
      <c r="C444" s="6" t="n">
        <v>0.5589</v>
      </c>
      <c r="D444" s="6" t="n">
        <v>0.5336</v>
      </c>
      <c r="E444" s="6" t="n">
        <v>0.5782</v>
      </c>
      <c r="F444" s="6" t="n">
        <v>0.5963000000000001</v>
      </c>
      <c r="G444" s="6" t="n">
        <v>0.6042999999999999</v>
      </c>
      <c r="H444" s="6" t="n">
        <v>0.6523</v>
      </c>
      <c r="I444" s="6" t="n">
        <v>0.5548</v>
      </c>
      <c r="J444" s="6" t="n">
        <v>0.7708</v>
      </c>
      <c r="K444" s="6" t="n">
        <v>0.436</v>
      </c>
      <c r="L444" s="7">
        <f>Mecanismos!B2*C444</f>
        <v/>
      </c>
      <c r="M444" s="7">
        <f>Mecanismos!B7*D444</f>
        <v/>
      </c>
      <c r="N444" s="7">
        <f>Mecanismos!B4*(1-E444)</f>
        <v/>
      </c>
      <c r="O444" s="7">
        <f>Mecanismos!B5*(1-F444)</f>
        <v/>
      </c>
      <c r="P444" s="7">
        <f>Mecanismos!B6*(1-I444)</f>
        <v/>
      </c>
      <c r="Q444" s="7">
        <f>Mecanismos!B9*(1-G444)</f>
        <v/>
      </c>
      <c r="R444" s="7">
        <f>Mecanismos!B3*(1-D444)</f>
        <v/>
      </c>
      <c r="S444" s="7">
        <f>Mecanismos!B9*(1-J444)</f>
        <v/>
      </c>
      <c r="T444" s="7">
        <f>Mecanismos!B8*H444</f>
        <v/>
      </c>
      <c r="U444" s="7">
        <f>Mecanismos!B10*H444</f>
        <v/>
      </c>
      <c r="V444" s="7">
        <f>Mecanismos!B8*K444</f>
        <v/>
      </c>
      <c r="W444" s="7">
        <f>SUM(L444:S444)</f>
        <v/>
      </c>
      <c r="X444" s="7">
        <f>SUM(T444:V444)</f>
        <v/>
      </c>
      <c r="Y444" s="8">
        <f>MAX(0,MIN(1,Parametros!B2-W444*Parametros!B3+X444*Parametros!B4))</f>
        <v/>
      </c>
    </row>
    <row r="445">
      <c r="A445" t="inlineStr">
        <is>
          <t>4eg3ly</t>
        </is>
      </c>
      <c r="B445" t="inlineStr">
        <is>
          <t>Rodrigo Cavalcante</t>
        </is>
      </c>
      <c r="C445" s="6" t="n">
        <v>0.3902</v>
      </c>
      <c r="D445" s="6" t="n">
        <v>0.5485</v>
      </c>
      <c r="E445" s="6" t="n">
        <v>0.6534</v>
      </c>
      <c r="F445" s="6" t="n">
        <v>0.8032</v>
      </c>
      <c r="G445" s="6" t="n">
        <v>0.4653</v>
      </c>
      <c r="H445" s="6" t="n">
        <v>0.6751</v>
      </c>
      <c r="I445" s="6" t="n">
        <v>0.4396</v>
      </c>
      <c r="J445" s="6" t="n">
        <v>0.8923</v>
      </c>
      <c r="K445" s="6" t="n">
        <v>0.5082</v>
      </c>
      <c r="L445" s="7">
        <f>Mecanismos!B2*C445</f>
        <v/>
      </c>
      <c r="M445" s="7">
        <f>Mecanismos!B7*D445</f>
        <v/>
      </c>
      <c r="N445" s="7">
        <f>Mecanismos!B4*(1-E445)</f>
        <v/>
      </c>
      <c r="O445" s="7">
        <f>Mecanismos!B5*(1-F445)</f>
        <v/>
      </c>
      <c r="P445" s="7">
        <f>Mecanismos!B6*(1-I445)</f>
        <v/>
      </c>
      <c r="Q445" s="7">
        <f>Mecanismos!B9*(1-G445)</f>
        <v/>
      </c>
      <c r="R445" s="7">
        <f>Mecanismos!B3*(1-D445)</f>
        <v/>
      </c>
      <c r="S445" s="7">
        <f>Mecanismos!B9*(1-J445)</f>
        <v/>
      </c>
      <c r="T445" s="7">
        <f>Mecanismos!B8*H445</f>
        <v/>
      </c>
      <c r="U445" s="7">
        <f>Mecanismos!B10*H445</f>
        <v/>
      </c>
      <c r="V445" s="7">
        <f>Mecanismos!B8*K445</f>
        <v/>
      </c>
      <c r="W445" s="7">
        <f>SUM(L445:S445)</f>
        <v/>
      </c>
      <c r="X445" s="7">
        <f>SUM(T445:V445)</f>
        <v/>
      </c>
      <c r="Y445" s="8">
        <f>MAX(0,MIN(1,Parametros!B2-W445*Parametros!B3+X445*Parametros!B4))</f>
        <v/>
      </c>
    </row>
    <row r="446">
      <c r="A446" t="inlineStr">
        <is>
          <t>0dcyss</t>
        </is>
      </c>
      <c r="B446" t="inlineStr">
        <is>
          <t>Rodrigo Silva</t>
        </is>
      </c>
      <c r="C446" s="6" t="n">
        <v>0.6886</v>
      </c>
      <c r="D446" s="6" t="n">
        <v>0.6617</v>
      </c>
      <c r="E446" s="6" t="n">
        <v>0.6411</v>
      </c>
      <c r="F446" s="6" t="n">
        <v>0.5965</v>
      </c>
      <c r="G446" s="6" t="n">
        <v>0.5376</v>
      </c>
      <c r="H446" s="6" t="n">
        <v>0.587</v>
      </c>
      <c r="I446" s="6" t="n">
        <v>0.7279</v>
      </c>
      <c r="J446" s="6" t="n">
        <v>0.8344</v>
      </c>
      <c r="K446" s="6" t="n">
        <v>0.8008999999999999</v>
      </c>
      <c r="L446" s="7">
        <f>Mecanismos!B2*C446</f>
        <v/>
      </c>
      <c r="M446" s="7">
        <f>Mecanismos!B7*D446</f>
        <v/>
      </c>
      <c r="N446" s="7">
        <f>Mecanismos!B4*(1-E446)</f>
        <v/>
      </c>
      <c r="O446" s="7">
        <f>Mecanismos!B5*(1-F446)</f>
        <v/>
      </c>
      <c r="P446" s="7">
        <f>Mecanismos!B6*(1-I446)</f>
        <v/>
      </c>
      <c r="Q446" s="7">
        <f>Mecanismos!B9*(1-G446)</f>
        <v/>
      </c>
      <c r="R446" s="7">
        <f>Mecanismos!B3*(1-D446)</f>
        <v/>
      </c>
      <c r="S446" s="7">
        <f>Mecanismos!B9*(1-J446)</f>
        <v/>
      </c>
      <c r="T446" s="7">
        <f>Mecanismos!B8*H446</f>
        <v/>
      </c>
      <c r="U446" s="7">
        <f>Mecanismos!B10*H446</f>
        <v/>
      </c>
      <c r="V446" s="7">
        <f>Mecanismos!B8*K446</f>
        <v/>
      </c>
      <c r="W446" s="7">
        <f>SUM(L446:S446)</f>
        <v/>
      </c>
      <c r="X446" s="7">
        <f>SUM(T446:V446)</f>
        <v/>
      </c>
      <c r="Y446" s="8">
        <f>MAX(0,MIN(1,Parametros!B2-W446*Parametros!B3+X446*Parametros!B4))</f>
        <v/>
      </c>
    </row>
    <row r="447">
      <c r="A447" t="inlineStr">
        <is>
          <t>0j9cjh</t>
        </is>
      </c>
      <c r="B447" t="inlineStr">
        <is>
          <t>Rodrigo Siqueira</t>
        </is>
      </c>
      <c r="C447" s="6" t="n">
        <v>0.7214</v>
      </c>
      <c r="D447" s="6" t="n">
        <v>0.6108</v>
      </c>
      <c r="E447" s="6" t="n">
        <v>0.5164</v>
      </c>
      <c r="F447" s="6" t="n">
        <v>0.6797</v>
      </c>
      <c r="G447" s="6" t="n">
        <v>0.3666</v>
      </c>
      <c r="H447" s="6" t="n">
        <v>0.7663</v>
      </c>
      <c r="I447" s="6" t="n">
        <v>0.5325</v>
      </c>
      <c r="J447" s="6" t="n">
        <v>0.7381</v>
      </c>
      <c r="K447" s="6" t="n">
        <v>0.2124</v>
      </c>
      <c r="L447" s="7">
        <f>Mecanismos!B2*C447</f>
        <v/>
      </c>
      <c r="M447" s="7">
        <f>Mecanismos!B7*D447</f>
        <v/>
      </c>
      <c r="N447" s="7">
        <f>Mecanismos!B4*(1-E447)</f>
        <v/>
      </c>
      <c r="O447" s="7">
        <f>Mecanismos!B5*(1-F447)</f>
        <v/>
      </c>
      <c r="P447" s="7">
        <f>Mecanismos!B6*(1-I447)</f>
        <v/>
      </c>
      <c r="Q447" s="7">
        <f>Mecanismos!B9*(1-G447)</f>
        <v/>
      </c>
      <c r="R447" s="7">
        <f>Mecanismos!B3*(1-D447)</f>
        <v/>
      </c>
      <c r="S447" s="7">
        <f>Mecanismos!B9*(1-J447)</f>
        <v/>
      </c>
      <c r="T447" s="7">
        <f>Mecanismos!B8*H447</f>
        <v/>
      </c>
      <c r="U447" s="7">
        <f>Mecanismos!B10*H447</f>
        <v/>
      </c>
      <c r="V447" s="7">
        <f>Mecanismos!B8*K447</f>
        <v/>
      </c>
      <c r="W447" s="7">
        <f>SUM(L447:S447)</f>
        <v/>
      </c>
      <c r="X447" s="7">
        <f>SUM(T447:V447)</f>
        <v/>
      </c>
      <c r="Y447" s="8">
        <f>MAX(0,MIN(1,Parametros!B2-W447*Parametros!B3+X447*Parametros!B4))</f>
        <v/>
      </c>
    </row>
    <row r="448">
      <c r="A448" t="inlineStr">
        <is>
          <t>1ovrq8</t>
        </is>
      </c>
      <c r="B448" t="inlineStr">
        <is>
          <t>Ryan Albuquerque</t>
        </is>
      </c>
      <c r="C448" s="6" t="n">
        <v>0.7661</v>
      </c>
      <c r="D448" s="6" t="n">
        <v>0.2326</v>
      </c>
      <c r="E448" s="6" t="n">
        <v>0.5033</v>
      </c>
      <c r="F448" s="6" t="n">
        <v>0.445</v>
      </c>
      <c r="G448" s="6" t="n">
        <v>0.3804</v>
      </c>
      <c r="H448" s="6" t="n">
        <v>0.6758</v>
      </c>
      <c r="I448" s="6" t="n">
        <v>0.1531</v>
      </c>
      <c r="J448" s="6" t="n">
        <v>0.8411</v>
      </c>
      <c r="K448" s="6" t="n">
        <v>0.6345</v>
      </c>
      <c r="L448" s="7">
        <f>Mecanismos!B2*C448</f>
        <v/>
      </c>
      <c r="M448" s="7">
        <f>Mecanismos!B7*D448</f>
        <v/>
      </c>
      <c r="N448" s="7">
        <f>Mecanismos!B4*(1-E448)</f>
        <v/>
      </c>
      <c r="O448" s="7">
        <f>Mecanismos!B5*(1-F448)</f>
        <v/>
      </c>
      <c r="P448" s="7">
        <f>Mecanismos!B6*(1-I448)</f>
        <v/>
      </c>
      <c r="Q448" s="7">
        <f>Mecanismos!B9*(1-G448)</f>
        <v/>
      </c>
      <c r="R448" s="7">
        <f>Mecanismos!B3*(1-D448)</f>
        <v/>
      </c>
      <c r="S448" s="7">
        <f>Mecanismos!B9*(1-J448)</f>
        <v/>
      </c>
      <c r="T448" s="7">
        <f>Mecanismos!B8*H448</f>
        <v/>
      </c>
      <c r="U448" s="7">
        <f>Mecanismos!B10*H448</f>
        <v/>
      </c>
      <c r="V448" s="7">
        <f>Mecanismos!B8*K448</f>
        <v/>
      </c>
      <c r="W448" s="7">
        <f>SUM(L448:S448)</f>
        <v/>
      </c>
      <c r="X448" s="7">
        <f>SUM(T448:V448)</f>
        <v/>
      </c>
      <c r="Y448" s="8">
        <f>MAX(0,MIN(1,Parametros!B2-W448*Parametros!B3+X448*Parametros!B4))</f>
        <v/>
      </c>
    </row>
    <row r="449">
      <c r="A449" t="inlineStr">
        <is>
          <t>ncfhlc</t>
        </is>
      </c>
      <c r="B449" t="inlineStr">
        <is>
          <t>Ryan Cunha</t>
        </is>
      </c>
      <c r="C449" s="6" t="n">
        <v>0.7177</v>
      </c>
      <c r="D449" s="6" t="n">
        <v>0.5770999999999999</v>
      </c>
      <c r="E449" s="6" t="n">
        <v>0.3977</v>
      </c>
      <c r="F449" s="6" t="n">
        <v>0.5204</v>
      </c>
      <c r="G449" s="6" t="n">
        <v>0.712</v>
      </c>
      <c r="H449" s="6" t="n">
        <v>0.5345</v>
      </c>
      <c r="I449" s="6" t="n">
        <v>0.6762</v>
      </c>
      <c r="J449" s="6" t="n">
        <v>0.9082</v>
      </c>
      <c r="K449" s="6" t="n">
        <v>0.314</v>
      </c>
      <c r="L449" s="7">
        <f>Mecanismos!B2*C449</f>
        <v/>
      </c>
      <c r="M449" s="7">
        <f>Mecanismos!B7*D449</f>
        <v/>
      </c>
      <c r="N449" s="7">
        <f>Mecanismos!B4*(1-E449)</f>
        <v/>
      </c>
      <c r="O449" s="7">
        <f>Mecanismos!B5*(1-F449)</f>
        <v/>
      </c>
      <c r="P449" s="7">
        <f>Mecanismos!B6*(1-I449)</f>
        <v/>
      </c>
      <c r="Q449" s="7">
        <f>Mecanismos!B9*(1-G449)</f>
        <v/>
      </c>
      <c r="R449" s="7">
        <f>Mecanismos!B3*(1-D449)</f>
        <v/>
      </c>
      <c r="S449" s="7">
        <f>Mecanismos!B9*(1-J449)</f>
        <v/>
      </c>
      <c r="T449" s="7">
        <f>Mecanismos!B8*H449</f>
        <v/>
      </c>
      <c r="U449" s="7">
        <f>Mecanismos!B10*H449</f>
        <v/>
      </c>
      <c r="V449" s="7">
        <f>Mecanismos!B8*K449</f>
        <v/>
      </c>
      <c r="W449" s="7">
        <f>SUM(L449:S449)</f>
        <v/>
      </c>
      <c r="X449" s="7">
        <f>SUM(T449:V449)</f>
        <v/>
      </c>
      <c r="Y449" s="8">
        <f>MAX(0,MIN(1,Parametros!B2-W449*Parametros!B3+X449*Parametros!B4))</f>
        <v/>
      </c>
    </row>
    <row r="450">
      <c r="A450" t="inlineStr">
        <is>
          <t>gke6ez</t>
        </is>
      </c>
      <c r="B450" t="inlineStr">
        <is>
          <t>Ryan Jesus</t>
        </is>
      </c>
      <c r="C450" s="6" t="n">
        <v>0.7833</v>
      </c>
      <c r="D450" s="6" t="n">
        <v>0.4895</v>
      </c>
      <c r="E450" s="6" t="n">
        <v>0.5783</v>
      </c>
      <c r="F450" s="6" t="n">
        <v>0.5238</v>
      </c>
      <c r="G450" s="6" t="n">
        <v>0.411</v>
      </c>
      <c r="H450" s="6" t="n">
        <v>0.5258</v>
      </c>
      <c r="I450" s="6" t="n">
        <v>0.5612</v>
      </c>
      <c r="J450" s="6" t="n">
        <v>0.8562</v>
      </c>
      <c r="K450" s="6" t="n">
        <v>0.5338000000000001</v>
      </c>
      <c r="L450" s="7">
        <f>Mecanismos!B2*C450</f>
        <v/>
      </c>
      <c r="M450" s="7">
        <f>Mecanismos!B7*D450</f>
        <v/>
      </c>
      <c r="N450" s="7">
        <f>Mecanismos!B4*(1-E450)</f>
        <v/>
      </c>
      <c r="O450" s="7">
        <f>Mecanismos!B5*(1-F450)</f>
        <v/>
      </c>
      <c r="P450" s="7">
        <f>Mecanismos!B6*(1-I450)</f>
        <v/>
      </c>
      <c r="Q450" s="7">
        <f>Mecanismos!B9*(1-G450)</f>
        <v/>
      </c>
      <c r="R450" s="7">
        <f>Mecanismos!B3*(1-D450)</f>
        <v/>
      </c>
      <c r="S450" s="7">
        <f>Mecanismos!B9*(1-J450)</f>
        <v/>
      </c>
      <c r="T450" s="7">
        <f>Mecanismos!B8*H450</f>
        <v/>
      </c>
      <c r="U450" s="7">
        <f>Mecanismos!B10*H450</f>
        <v/>
      </c>
      <c r="V450" s="7">
        <f>Mecanismos!B8*K450</f>
        <v/>
      </c>
      <c r="W450" s="7">
        <f>SUM(L450:S450)</f>
        <v/>
      </c>
      <c r="X450" s="7">
        <f>SUM(T450:V450)</f>
        <v/>
      </c>
      <c r="Y450" s="8">
        <f>MAX(0,MIN(1,Parametros!B2-W450*Parametros!B3+X450*Parametros!B4))</f>
        <v/>
      </c>
    </row>
    <row r="451">
      <c r="A451" t="inlineStr">
        <is>
          <t>6f6sy5</t>
        </is>
      </c>
      <c r="B451" t="inlineStr">
        <is>
          <t>Sabrina Campos</t>
        </is>
      </c>
      <c r="C451" s="6" t="n">
        <v>0.5627</v>
      </c>
      <c r="D451" s="6" t="n">
        <v>0.5818</v>
      </c>
      <c r="E451" s="6" t="n">
        <v>0.4561</v>
      </c>
      <c r="F451" s="6" t="n">
        <v>0.7062</v>
      </c>
      <c r="G451" s="6" t="n">
        <v>0.5675</v>
      </c>
      <c r="H451" s="6" t="n">
        <v>0.4907</v>
      </c>
      <c r="I451" s="6" t="n">
        <v>0.8156</v>
      </c>
      <c r="J451" s="6" t="n">
        <v>0.7452</v>
      </c>
      <c r="K451" s="6" t="n">
        <v>0.6237</v>
      </c>
      <c r="L451" s="7">
        <f>Mecanismos!B2*C451</f>
        <v/>
      </c>
      <c r="M451" s="7">
        <f>Mecanismos!B7*D451</f>
        <v/>
      </c>
      <c r="N451" s="7">
        <f>Mecanismos!B4*(1-E451)</f>
        <v/>
      </c>
      <c r="O451" s="7">
        <f>Mecanismos!B5*(1-F451)</f>
        <v/>
      </c>
      <c r="P451" s="7">
        <f>Mecanismos!B6*(1-I451)</f>
        <v/>
      </c>
      <c r="Q451" s="7">
        <f>Mecanismos!B9*(1-G451)</f>
        <v/>
      </c>
      <c r="R451" s="7">
        <f>Mecanismos!B3*(1-D451)</f>
        <v/>
      </c>
      <c r="S451" s="7">
        <f>Mecanismos!B9*(1-J451)</f>
        <v/>
      </c>
      <c r="T451" s="7">
        <f>Mecanismos!B8*H451</f>
        <v/>
      </c>
      <c r="U451" s="7">
        <f>Mecanismos!B10*H451</f>
        <v/>
      </c>
      <c r="V451" s="7">
        <f>Mecanismos!B8*K451</f>
        <v/>
      </c>
      <c r="W451" s="7">
        <f>SUM(L451:S451)</f>
        <v/>
      </c>
      <c r="X451" s="7">
        <f>SUM(T451:V451)</f>
        <v/>
      </c>
      <c r="Y451" s="8">
        <f>MAX(0,MIN(1,Parametros!B2-W451*Parametros!B3+X451*Parametros!B4))</f>
        <v/>
      </c>
    </row>
    <row r="452">
      <c r="A452" t="inlineStr">
        <is>
          <t>rnu4az</t>
        </is>
      </c>
      <c r="B452" t="inlineStr">
        <is>
          <t>Sabrina Pimenta</t>
        </is>
      </c>
      <c r="C452" s="6" t="n">
        <v>0.6099</v>
      </c>
      <c r="D452" s="6" t="n">
        <v>0.5112</v>
      </c>
      <c r="E452" s="6" t="n">
        <v>0.6237</v>
      </c>
      <c r="F452" s="6" t="n">
        <v>0.647</v>
      </c>
      <c r="G452" s="6" t="n">
        <v>0.4371</v>
      </c>
      <c r="H452" s="6" t="n">
        <v>0.4918</v>
      </c>
      <c r="I452" s="6" t="n">
        <v>0.5648</v>
      </c>
      <c r="J452" s="6" t="n">
        <v>0.6664</v>
      </c>
      <c r="K452" s="6" t="n">
        <v>0.5054999999999999</v>
      </c>
      <c r="L452" s="7">
        <f>Mecanismos!B2*C452</f>
        <v/>
      </c>
      <c r="M452" s="7">
        <f>Mecanismos!B7*D452</f>
        <v/>
      </c>
      <c r="N452" s="7">
        <f>Mecanismos!B4*(1-E452)</f>
        <v/>
      </c>
      <c r="O452" s="7">
        <f>Mecanismos!B5*(1-F452)</f>
        <v/>
      </c>
      <c r="P452" s="7">
        <f>Mecanismos!B6*(1-I452)</f>
        <v/>
      </c>
      <c r="Q452" s="7">
        <f>Mecanismos!B9*(1-G452)</f>
        <v/>
      </c>
      <c r="R452" s="7">
        <f>Mecanismos!B3*(1-D452)</f>
        <v/>
      </c>
      <c r="S452" s="7">
        <f>Mecanismos!B9*(1-J452)</f>
        <v/>
      </c>
      <c r="T452" s="7">
        <f>Mecanismos!B8*H452</f>
        <v/>
      </c>
      <c r="U452" s="7">
        <f>Mecanismos!B10*H452</f>
        <v/>
      </c>
      <c r="V452" s="7">
        <f>Mecanismos!B8*K452</f>
        <v/>
      </c>
      <c r="W452" s="7">
        <f>SUM(L452:S452)</f>
        <v/>
      </c>
      <c r="X452" s="7">
        <f>SUM(T452:V452)</f>
        <v/>
      </c>
      <c r="Y452" s="8">
        <f>MAX(0,MIN(1,Parametros!B2-W452*Parametros!B3+X452*Parametros!B4))</f>
        <v/>
      </c>
    </row>
    <row r="453">
      <c r="A453" t="inlineStr">
        <is>
          <t>fjv1j1</t>
        </is>
      </c>
      <c r="B453" t="inlineStr">
        <is>
          <t>Samuel Cassiano</t>
        </is>
      </c>
      <c r="C453" s="6" t="n">
        <v>0.5665</v>
      </c>
      <c r="D453" s="6" t="n">
        <v>0.4189</v>
      </c>
      <c r="E453" s="6" t="n">
        <v>0.3343</v>
      </c>
      <c r="F453" s="6" t="n">
        <v>0.4975</v>
      </c>
      <c r="G453" s="6" t="n">
        <v>0.4951</v>
      </c>
      <c r="H453" s="6" t="n">
        <v>0.7317</v>
      </c>
      <c r="I453" s="6" t="n">
        <v>0.6277</v>
      </c>
      <c r="J453" s="6" t="n">
        <v>0.8011</v>
      </c>
      <c r="K453" s="6" t="n">
        <v>0.5215</v>
      </c>
      <c r="L453" s="7">
        <f>Mecanismos!B2*C453</f>
        <v/>
      </c>
      <c r="M453" s="7">
        <f>Mecanismos!B7*D453</f>
        <v/>
      </c>
      <c r="N453" s="7">
        <f>Mecanismos!B4*(1-E453)</f>
        <v/>
      </c>
      <c r="O453" s="7">
        <f>Mecanismos!B5*(1-F453)</f>
        <v/>
      </c>
      <c r="P453" s="7">
        <f>Mecanismos!B6*(1-I453)</f>
        <v/>
      </c>
      <c r="Q453" s="7">
        <f>Mecanismos!B9*(1-G453)</f>
        <v/>
      </c>
      <c r="R453" s="7">
        <f>Mecanismos!B3*(1-D453)</f>
        <v/>
      </c>
      <c r="S453" s="7">
        <f>Mecanismos!B9*(1-J453)</f>
        <v/>
      </c>
      <c r="T453" s="7">
        <f>Mecanismos!B8*H453</f>
        <v/>
      </c>
      <c r="U453" s="7">
        <f>Mecanismos!B10*H453</f>
        <v/>
      </c>
      <c r="V453" s="7">
        <f>Mecanismos!B8*K453</f>
        <v/>
      </c>
      <c r="W453" s="7">
        <f>SUM(L453:S453)</f>
        <v/>
      </c>
      <c r="X453" s="7">
        <f>SUM(T453:V453)</f>
        <v/>
      </c>
      <c r="Y453" s="8">
        <f>MAX(0,MIN(1,Parametros!B2-W453*Parametros!B3+X453*Parametros!B4))</f>
        <v/>
      </c>
    </row>
    <row r="454">
      <c r="A454" t="inlineStr">
        <is>
          <t>wlxj7f</t>
        </is>
      </c>
      <c r="B454" t="inlineStr">
        <is>
          <t>Samuel Macedo</t>
        </is>
      </c>
      <c r="C454" s="6" t="n">
        <v>0.6455</v>
      </c>
      <c r="D454" s="6" t="n">
        <v>0.5076000000000001</v>
      </c>
      <c r="E454" s="6" t="n">
        <v>0.4143</v>
      </c>
      <c r="F454" s="6" t="n">
        <v>0.6631</v>
      </c>
      <c r="G454" s="6" t="n">
        <v>0.8017</v>
      </c>
      <c r="H454" s="6" t="n">
        <v>0.4155</v>
      </c>
      <c r="I454" s="6" t="n">
        <v>0.4632</v>
      </c>
      <c r="J454" s="6" t="n">
        <v>0.7012</v>
      </c>
      <c r="K454" s="6" t="n">
        <v>0.6642</v>
      </c>
      <c r="L454" s="7">
        <f>Mecanismos!B2*C454</f>
        <v/>
      </c>
      <c r="M454" s="7">
        <f>Mecanismos!B7*D454</f>
        <v/>
      </c>
      <c r="N454" s="7">
        <f>Mecanismos!B4*(1-E454)</f>
        <v/>
      </c>
      <c r="O454" s="7">
        <f>Mecanismos!B5*(1-F454)</f>
        <v/>
      </c>
      <c r="P454" s="7">
        <f>Mecanismos!B6*(1-I454)</f>
        <v/>
      </c>
      <c r="Q454" s="7">
        <f>Mecanismos!B9*(1-G454)</f>
        <v/>
      </c>
      <c r="R454" s="7">
        <f>Mecanismos!B3*(1-D454)</f>
        <v/>
      </c>
      <c r="S454" s="7">
        <f>Mecanismos!B9*(1-J454)</f>
        <v/>
      </c>
      <c r="T454" s="7">
        <f>Mecanismos!B8*H454</f>
        <v/>
      </c>
      <c r="U454" s="7">
        <f>Mecanismos!B10*H454</f>
        <v/>
      </c>
      <c r="V454" s="7">
        <f>Mecanismos!B8*K454</f>
        <v/>
      </c>
      <c r="W454" s="7">
        <f>SUM(L454:S454)</f>
        <v/>
      </c>
      <c r="X454" s="7">
        <f>SUM(T454:V454)</f>
        <v/>
      </c>
      <c r="Y454" s="8">
        <f>MAX(0,MIN(1,Parametros!B2-W454*Parametros!B3+X454*Parametros!B4))</f>
        <v/>
      </c>
    </row>
    <row r="455">
      <c r="A455" t="inlineStr">
        <is>
          <t>g0f62b</t>
        </is>
      </c>
      <c r="B455" t="inlineStr">
        <is>
          <t>Samuel Nunes</t>
        </is>
      </c>
      <c r="C455" s="6" t="n">
        <v>0.7179</v>
      </c>
      <c r="D455" s="6" t="n">
        <v>0.3956</v>
      </c>
      <c r="E455" s="6" t="n">
        <v>0.6697</v>
      </c>
      <c r="F455" s="6" t="n">
        <v>0.6979</v>
      </c>
      <c r="G455" s="6" t="n">
        <v>0.5342</v>
      </c>
      <c r="H455" s="6" t="n">
        <v>0.6923</v>
      </c>
      <c r="I455" s="6" t="n">
        <v>0.4101</v>
      </c>
      <c r="J455" s="6" t="n">
        <v>0.6185</v>
      </c>
      <c r="K455" s="6" t="n">
        <v>0.3451</v>
      </c>
      <c r="L455" s="7">
        <f>Mecanismos!B2*C455</f>
        <v/>
      </c>
      <c r="M455" s="7">
        <f>Mecanismos!B7*D455</f>
        <v/>
      </c>
      <c r="N455" s="7">
        <f>Mecanismos!B4*(1-E455)</f>
        <v/>
      </c>
      <c r="O455" s="7">
        <f>Mecanismos!B5*(1-F455)</f>
        <v/>
      </c>
      <c r="P455" s="7">
        <f>Mecanismos!B6*(1-I455)</f>
        <v/>
      </c>
      <c r="Q455" s="7">
        <f>Mecanismos!B9*(1-G455)</f>
        <v/>
      </c>
      <c r="R455" s="7">
        <f>Mecanismos!B3*(1-D455)</f>
        <v/>
      </c>
      <c r="S455" s="7">
        <f>Mecanismos!B9*(1-J455)</f>
        <v/>
      </c>
      <c r="T455" s="7">
        <f>Mecanismos!B8*H455</f>
        <v/>
      </c>
      <c r="U455" s="7">
        <f>Mecanismos!B10*H455</f>
        <v/>
      </c>
      <c r="V455" s="7">
        <f>Mecanismos!B8*K455</f>
        <v/>
      </c>
      <c r="W455" s="7">
        <f>SUM(L455:S455)</f>
        <v/>
      </c>
      <c r="X455" s="7">
        <f>SUM(T455:V455)</f>
        <v/>
      </c>
      <c r="Y455" s="8">
        <f>MAX(0,MIN(1,Parametros!B2-W455*Parametros!B3+X455*Parametros!B4))</f>
        <v/>
      </c>
    </row>
    <row r="456">
      <c r="A456" t="inlineStr">
        <is>
          <t>6eat3t</t>
        </is>
      </c>
      <c r="B456" t="inlineStr">
        <is>
          <t>Sara Pacheco</t>
        </is>
      </c>
      <c r="C456" s="6" t="n">
        <v>0.625</v>
      </c>
      <c r="D456" s="6" t="n">
        <v>0.4017</v>
      </c>
      <c r="E456" s="6" t="n">
        <v>0.5406</v>
      </c>
      <c r="F456" s="6" t="n">
        <v>0.5321</v>
      </c>
      <c r="G456" s="6" t="n">
        <v>0.5195</v>
      </c>
      <c r="H456" s="6" t="n">
        <v>0.4615</v>
      </c>
      <c r="I456" s="6" t="n">
        <v>0.5262</v>
      </c>
      <c r="J456" s="6" t="n">
        <v>0.9852</v>
      </c>
      <c r="K456" s="6" t="n">
        <v>0.5353</v>
      </c>
      <c r="L456" s="7">
        <f>Mecanismos!B2*C456</f>
        <v/>
      </c>
      <c r="M456" s="7">
        <f>Mecanismos!B7*D456</f>
        <v/>
      </c>
      <c r="N456" s="7">
        <f>Mecanismos!B4*(1-E456)</f>
        <v/>
      </c>
      <c r="O456" s="7">
        <f>Mecanismos!B5*(1-F456)</f>
        <v/>
      </c>
      <c r="P456" s="7">
        <f>Mecanismos!B6*(1-I456)</f>
        <v/>
      </c>
      <c r="Q456" s="7">
        <f>Mecanismos!B9*(1-G456)</f>
        <v/>
      </c>
      <c r="R456" s="7">
        <f>Mecanismos!B3*(1-D456)</f>
        <v/>
      </c>
      <c r="S456" s="7">
        <f>Mecanismos!B9*(1-J456)</f>
        <v/>
      </c>
      <c r="T456" s="7">
        <f>Mecanismos!B8*H456</f>
        <v/>
      </c>
      <c r="U456" s="7">
        <f>Mecanismos!B10*H456</f>
        <v/>
      </c>
      <c r="V456" s="7">
        <f>Mecanismos!B8*K456</f>
        <v/>
      </c>
      <c r="W456" s="7">
        <f>SUM(L456:S456)</f>
        <v/>
      </c>
      <c r="X456" s="7">
        <f>SUM(T456:V456)</f>
        <v/>
      </c>
      <c r="Y456" s="8">
        <f>MAX(0,MIN(1,Parametros!B2-W456*Parametros!B3+X456*Parametros!B4))</f>
        <v/>
      </c>
    </row>
    <row r="457">
      <c r="A457" t="inlineStr">
        <is>
          <t>j5l2hs</t>
        </is>
      </c>
      <c r="B457" t="inlineStr">
        <is>
          <t>Sara Silveira</t>
        </is>
      </c>
      <c r="C457" s="6" t="n">
        <v>0.5692</v>
      </c>
      <c r="D457" s="6" t="n">
        <v>0.4513</v>
      </c>
      <c r="E457" s="6" t="n">
        <v>0.3824</v>
      </c>
      <c r="F457" s="6" t="n">
        <v>0.4553</v>
      </c>
      <c r="G457" s="6" t="n">
        <v>0.5898</v>
      </c>
      <c r="H457" s="6" t="n">
        <v>0.695</v>
      </c>
      <c r="I457" s="6" t="n">
        <v>0.472</v>
      </c>
      <c r="J457" s="6" t="n">
        <v>0.8689</v>
      </c>
      <c r="K457" s="6" t="n">
        <v>0.2729</v>
      </c>
      <c r="L457" s="7">
        <f>Mecanismos!B2*C457</f>
        <v/>
      </c>
      <c r="M457" s="7">
        <f>Mecanismos!B7*D457</f>
        <v/>
      </c>
      <c r="N457" s="7">
        <f>Mecanismos!B4*(1-E457)</f>
        <v/>
      </c>
      <c r="O457" s="7">
        <f>Mecanismos!B5*(1-F457)</f>
        <v/>
      </c>
      <c r="P457" s="7">
        <f>Mecanismos!B6*(1-I457)</f>
        <v/>
      </c>
      <c r="Q457" s="7">
        <f>Mecanismos!B9*(1-G457)</f>
        <v/>
      </c>
      <c r="R457" s="7">
        <f>Mecanismos!B3*(1-D457)</f>
        <v/>
      </c>
      <c r="S457" s="7">
        <f>Mecanismos!B9*(1-J457)</f>
        <v/>
      </c>
      <c r="T457" s="7">
        <f>Mecanismos!B8*H457</f>
        <v/>
      </c>
      <c r="U457" s="7">
        <f>Mecanismos!B10*H457</f>
        <v/>
      </c>
      <c r="V457" s="7">
        <f>Mecanismos!B8*K457</f>
        <v/>
      </c>
      <c r="W457" s="7">
        <f>SUM(L457:S457)</f>
        <v/>
      </c>
      <c r="X457" s="7">
        <f>SUM(T457:V457)</f>
        <v/>
      </c>
      <c r="Y457" s="8">
        <f>MAX(0,MIN(1,Parametros!B2-W457*Parametros!B3+X457*Parametros!B4))</f>
        <v/>
      </c>
    </row>
    <row r="458">
      <c r="A458" t="inlineStr">
        <is>
          <t>rnn3uz</t>
        </is>
      </c>
      <c r="B458" t="inlineStr">
        <is>
          <t>Sarah Aragão</t>
        </is>
      </c>
      <c r="C458" s="6" t="n">
        <v>0.7446</v>
      </c>
      <c r="D458" s="6" t="n">
        <v>0.4374</v>
      </c>
      <c r="E458" s="6" t="n">
        <v>0.6221</v>
      </c>
      <c r="F458" s="6" t="n">
        <v>0.8869</v>
      </c>
      <c r="G458" s="6" t="n">
        <v>0.5662</v>
      </c>
      <c r="H458" s="6" t="n">
        <v>0.4438</v>
      </c>
      <c r="I458" s="6" t="n">
        <v>0.3921</v>
      </c>
      <c r="J458" s="6" t="n">
        <v>0.7712</v>
      </c>
      <c r="K458" s="6" t="n">
        <v>0.3823</v>
      </c>
      <c r="L458" s="7">
        <f>Mecanismos!B2*C458</f>
        <v/>
      </c>
      <c r="M458" s="7">
        <f>Mecanismos!B7*D458</f>
        <v/>
      </c>
      <c r="N458" s="7">
        <f>Mecanismos!B4*(1-E458)</f>
        <v/>
      </c>
      <c r="O458" s="7">
        <f>Mecanismos!B5*(1-F458)</f>
        <v/>
      </c>
      <c r="P458" s="7">
        <f>Mecanismos!B6*(1-I458)</f>
        <v/>
      </c>
      <c r="Q458" s="7">
        <f>Mecanismos!B9*(1-G458)</f>
        <v/>
      </c>
      <c r="R458" s="7">
        <f>Mecanismos!B3*(1-D458)</f>
        <v/>
      </c>
      <c r="S458" s="7">
        <f>Mecanismos!B9*(1-J458)</f>
        <v/>
      </c>
      <c r="T458" s="7">
        <f>Mecanismos!B8*H458</f>
        <v/>
      </c>
      <c r="U458" s="7">
        <f>Mecanismos!B10*H458</f>
        <v/>
      </c>
      <c r="V458" s="7">
        <f>Mecanismos!B8*K458</f>
        <v/>
      </c>
      <c r="W458" s="7">
        <f>SUM(L458:S458)</f>
        <v/>
      </c>
      <c r="X458" s="7">
        <f>SUM(T458:V458)</f>
        <v/>
      </c>
      <c r="Y458" s="8">
        <f>MAX(0,MIN(1,Parametros!B2-W458*Parametros!B3+X458*Parametros!B4))</f>
        <v/>
      </c>
    </row>
    <row r="459">
      <c r="A459" t="inlineStr">
        <is>
          <t>3z5e5w</t>
        </is>
      </c>
      <c r="B459" t="inlineStr">
        <is>
          <t>Sarah Novaes</t>
        </is>
      </c>
      <c r="C459" s="6" t="n">
        <v>0.5976</v>
      </c>
      <c r="D459" s="6" t="n">
        <v>0.5689</v>
      </c>
      <c r="E459" s="6" t="n">
        <v>0.4021</v>
      </c>
      <c r="F459" s="6" t="n">
        <v>0.5817</v>
      </c>
      <c r="G459" s="6" t="n">
        <v>0.6452</v>
      </c>
      <c r="H459" s="6" t="n">
        <v>0.6797</v>
      </c>
      <c r="I459" s="6" t="n">
        <v>0.6195000000000001</v>
      </c>
      <c r="J459" s="6" t="n">
        <v>0.7644</v>
      </c>
      <c r="K459" s="6" t="n">
        <v>0.6755</v>
      </c>
      <c r="L459" s="7">
        <f>Mecanismos!B2*C459</f>
        <v/>
      </c>
      <c r="M459" s="7">
        <f>Mecanismos!B7*D459</f>
        <v/>
      </c>
      <c r="N459" s="7">
        <f>Mecanismos!B4*(1-E459)</f>
        <v/>
      </c>
      <c r="O459" s="7">
        <f>Mecanismos!B5*(1-F459)</f>
        <v/>
      </c>
      <c r="P459" s="7">
        <f>Mecanismos!B6*(1-I459)</f>
        <v/>
      </c>
      <c r="Q459" s="7">
        <f>Mecanismos!B9*(1-G459)</f>
        <v/>
      </c>
      <c r="R459" s="7">
        <f>Mecanismos!B3*(1-D459)</f>
        <v/>
      </c>
      <c r="S459" s="7">
        <f>Mecanismos!B9*(1-J459)</f>
        <v/>
      </c>
      <c r="T459" s="7">
        <f>Mecanismos!B8*H459</f>
        <v/>
      </c>
      <c r="U459" s="7">
        <f>Mecanismos!B10*H459</f>
        <v/>
      </c>
      <c r="V459" s="7">
        <f>Mecanismos!B8*K459</f>
        <v/>
      </c>
      <c r="W459" s="7">
        <f>SUM(L459:S459)</f>
        <v/>
      </c>
      <c r="X459" s="7">
        <f>SUM(T459:V459)</f>
        <v/>
      </c>
      <c r="Y459" s="8">
        <f>MAX(0,MIN(1,Parametros!B2-W459*Parametros!B3+X459*Parametros!B4))</f>
        <v/>
      </c>
    </row>
    <row r="460">
      <c r="A460" t="inlineStr">
        <is>
          <t>wgoosa</t>
        </is>
      </c>
      <c r="B460" t="inlineStr">
        <is>
          <t>Sarah Ramos</t>
        </is>
      </c>
      <c r="C460" s="6" t="n">
        <v>0.6777</v>
      </c>
      <c r="D460" s="6" t="n">
        <v>0.4144</v>
      </c>
      <c r="E460" s="6" t="n">
        <v>0.838</v>
      </c>
      <c r="F460" s="6" t="n">
        <v>0.3836</v>
      </c>
      <c r="G460" s="6" t="n">
        <v>0.5497</v>
      </c>
      <c r="H460" s="6" t="n">
        <v>0.3793</v>
      </c>
      <c r="I460" s="6" t="n">
        <v>0.3951</v>
      </c>
      <c r="J460" s="6" t="n">
        <v>0.8374</v>
      </c>
      <c r="K460" s="6" t="n">
        <v>0.3575</v>
      </c>
      <c r="L460" s="7">
        <f>Mecanismos!B2*C460</f>
        <v/>
      </c>
      <c r="M460" s="7">
        <f>Mecanismos!B7*D460</f>
        <v/>
      </c>
      <c r="N460" s="7">
        <f>Mecanismos!B4*(1-E460)</f>
        <v/>
      </c>
      <c r="O460" s="7">
        <f>Mecanismos!B5*(1-F460)</f>
        <v/>
      </c>
      <c r="P460" s="7">
        <f>Mecanismos!B6*(1-I460)</f>
        <v/>
      </c>
      <c r="Q460" s="7">
        <f>Mecanismos!B9*(1-G460)</f>
        <v/>
      </c>
      <c r="R460" s="7">
        <f>Mecanismos!B3*(1-D460)</f>
        <v/>
      </c>
      <c r="S460" s="7">
        <f>Mecanismos!B9*(1-J460)</f>
        <v/>
      </c>
      <c r="T460" s="7">
        <f>Mecanismos!B8*H460</f>
        <v/>
      </c>
      <c r="U460" s="7">
        <f>Mecanismos!B10*H460</f>
        <v/>
      </c>
      <c r="V460" s="7">
        <f>Mecanismos!B8*K460</f>
        <v/>
      </c>
      <c r="W460" s="7">
        <f>SUM(L460:S460)</f>
        <v/>
      </c>
      <c r="X460" s="7">
        <f>SUM(T460:V460)</f>
        <v/>
      </c>
      <c r="Y460" s="8">
        <f>MAX(0,MIN(1,Parametros!B2-W460*Parametros!B3+X460*Parametros!B4))</f>
        <v/>
      </c>
    </row>
    <row r="461">
      <c r="A461" t="inlineStr">
        <is>
          <t>i0dcnm</t>
        </is>
      </c>
      <c r="B461" t="inlineStr">
        <is>
          <t>Sarah Teixeira</t>
        </is>
      </c>
      <c r="C461" s="6" t="n">
        <v>0.6377</v>
      </c>
      <c r="D461" s="6" t="n">
        <v>0.6187</v>
      </c>
      <c r="E461" s="6" t="n">
        <v>0.6007</v>
      </c>
      <c r="F461" s="6" t="n">
        <v>0.6037</v>
      </c>
      <c r="G461" s="6" t="n">
        <v>0.7857</v>
      </c>
      <c r="H461" s="6" t="n">
        <v>0.5135</v>
      </c>
      <c r="I461" s="6" t="n">
        <v>0.7976</v>
      </c>
      <c r="J461" s="6" t="n">
        <v>0.8715000000000001</v>
      </c>
      <c r="K461" s="6" t="n">
        <v>0.5642</v>
      </c>
      <c r="L461" s="7">
        <f>Mecanismos!B2*C461</f>
        <v/>
      </c>
      <c r="M461" s="7">
        <f>Mecanismos!B7*D461</f>
        <v/>
      </c>
      <c r="N461" s="7">
        <f>Mecanismos!B4*(1-E461)</f>
        <v/>
      </c>
      <c r="O461" s="7">
        <f>Mecanismos!B5*(1-F461)</f>
        <v/>
      </c>
      <c r="P461" s="7">
        <f>Mecanismos!B6*(1-I461)</f>
        <v/>
      </c>
      <c r="Q461" s="7">
        <f>Mecanismos!B9*(1-G461)</f>
        <v/>
      </c>
      <c r="R461" s="7">
        <f>Mecanismos!B3*(1-D461)</f>
        <v/>
      </c>
      <c r="S461" s="7">
        <f>Mecanismos!B9*(1-J461)</f>
        <v/>
      </c>
      <c r="T461" s="7">
        <f>Mecanismos!B8*H461</f>
        <v/>
      </c>
      <c r="U461" s="7">
        <f>Mecanismos!B10*H461</f>
        <v/>
      </c>
      <c r="V461" s="7">
        <f>Mecanismos!B8*K461</f>
        <v/>
      </c>
      <c r="W461" s="7">
        <f>SUM(L461:S461)</f>
        <v/>
      </c>
      <c r="X461" s="7">
        <f>SUM(T461:V461)</f>
        <v/>
      </c>
      <c r="Y461" s="8">
        <f>MAX(0,MIN(1,Parametros!B2-W461*Parametros!B3+X461*Parametros!B4))</f>
        <v/>
      </c>
    </row>
    <row r="462">
      <c r="A462" t="inlineStr">
        <is>
          <t>5e7gzi</t>
        </is>
      </c>
      <c r="B462" t="inlineStr">
        <is>
          <t>Sofia Guerra</t>
        </is>
      </c>
      <c r="C462" s="6" t="n">
        <v>0.6718</v>
      </c>
      <c r="D462" s="6" t="n">
        <v>0.5976</v>
      </c>
      <c r="E462" s="6" t="n">
        <v>0.2148</v>
      </c>
      <c r="F462" s="6" t="n">
        <v>0.6203</v>
      </c>
      <c r="G462" s="6" t="n">
        <v>0.3965</v>
      </c>
      <c r="H462" s="6" t="n">
        <v>0.472</v>
      </c>
      <c r="I462" s="6" t="n">
        <v>0.5874</v>
      </c>
      <c r="J462" s="6" t="n">
        <v>0.7282999999999999</v>
      </c>
      <c r="K462" s="6" t="n">
        <v>0.3301</v>
      </c>
      <c r="L462" s="7">
        <f>Mecanismos!B2*C462</f>
        <v/>
      </c>
      <c r="M462" s="7">
        <f>Mecanismos!B7*D462</f>
        <v/>
      </c>
      <c r="N462" s="7">
        <f>Mecanismos!B4*(1-E462)</f>
        <v/>
      </c>
      <c r="O462" s="7">
        <f>Mecanismos!B5*(1-F462)</f>
        <v/>
      </c>
      <c r="P462" s="7">
        <f>Mecanismos!B6*(1-I462)</f>
        <v/>
      </c>
      <c r="Q462" s="7">
        <f>Mecanismos!B9*(1-G462)</f>
        <v/>
      </c>
      <c r="R462" s="7">
        <f>Mecanismos!B3*(1-D462)</f>
        <v/>
      </c>
      <c r="S462" s="7">
        <f>Mecanismos!B9*(1-J462)</f>
        <v/>
      </c>
      <c r="T462" s="7">
        <f>Mecanismos!B8*H462</f>
        <v/>
      </c>
      <c r="U462" s="7">
        <f>Mecanismos!B10*H462</f>
        <v/>
      </c>
      <c r="V462" s="7">
        <f>Mecanismos!B8*K462</f>
        <v/>
      </c>
      <c r="W462" s="7">
        <f>SUM(L462:S462)</f>
        <v/>
      </c>
      <c r="X462" s="7">
        <f>SUM(T462:V462)</f>
        <v/>
      </c>
      <c r="Y462" s="8">
        <f>MAX(0,MIN(1,Parametros!B2-W462*Parametros!B3+X462*Parametros!B4))</f>
        <v/>
      </c>
    </row>
    <row r="463">
      <c r="A463" t="inlineStr">
        <is>
          <t>1xjfcm</t>
        </is>
      </c>
      <c r="B463" t="inlineStr">
        <is>
          <t>Sophia Cavalcante</t>
        </is>
      </c>
      <c r="C463" s="6" t="n">
        <v>0.7989000000000001</v>
      </c>
      <c r="D463" s="6" t="n">
        <v>0.582</v>
      </c>
      <c r="E463" s="6" t="n">
        <v>0.5679</v>
      </c>
      <c r="F463" s="6" t="n">
        <v>0.2437</v>
      </c>
      <c r="G463" s="6" t="n">
        <v>0.5381</v>
      </c>
      <c r="H463" s="6" t="n">
        <v>0.6911</v>
      </c>
      <c r="I463" s="6" t="n">
        <v>0.3538</v>
      </c>
      <c r="J463" s="6" t="n">
        <v>0.3789</v>
      </c>
      <c r="K463" s="6" t="n">
        <v>0.1436</v>
      </c>
      <c r="L463" s="7">
        <f>Mecanismos!B2*C463</f>
        <v/>
      </c>
      <c r="M463" s="7">
        <f>Mecanismos!B7*D463</f>
        <v/>
      </c>
      <c r="N463" s="7">
        <f>Mecanismos!B4*(1-E463)</f>
        <v/>
      </c>
      <c r="O463" s="7">
        <f>Mecanismos!B5*(1-F463)</f>
        <v/>
      </c>
      <c r="P463" s="7">
        <f>Mecanismos!B6*(1-I463)</f>
        <v/>
      </c>
      <c r="Q463" s="7">
        <f>Mecanismos!B9*(1-G463)</f>
        <v/>
      </c>
      <c r="R463" s="7">
        <f>Mecanismos!B3*(1-D463)</f>
        <v/>
      </c>
      <c r="S463" s="7">
        <f>Mecanismos!B9*(1-J463)</f>
        <v/>
      </c>
      <c r="T463" s="7">
        <f>Mecanismos!B8*H463</f>
        <v/>
      </c>
      <c r="U463" s="7">
        <f>Mecanismos!B10*H463</f>
        <v/>
      </c>
      <c r="V463" s="7">
        <f>Mecanismos!B8*K463</f>
        <v/>
      </c>
      <c r="W463" s="7">
        <f>SUM(L463:S463)</f>
        <v/>
      </c>
      <c r="X463" s="7">
        <f>SUM(T463:V463)</f>
        <v/>
      </c>
      <c r="Y463" s="8">
        <f>MAX(0,MIN(1,Parametros!B2-W463*Parametros!B3+X463*Parametros!B4))</f>
        <v/>
      </c>
    </row>
    <row r="464">
      <c r="A464" t="inlineStr">
        <is>
          <t>2ab3s9</t>
        </is>
      </c>
      <c r="B464" t="inlineStr">
        <is>
          <t>Stella Cardoso</t>
        </is>
      </c>
      <c r="C464" s="6" t="n">
        <v>0.7368</v>
      </c>
      <c r="D464" s="6" t="n">
        <v>0.616</v>
      </c>
      <c r="E464" s="6" t="n">
        <v>0.5059</v>
      </c>
      <c r="F464" s="6" t="n">
        <v>0.5558999999999999</v>
      </c>
      <c r="G464" s="6" t="n">
        <v>0.3246</v>
      </c>
      <c r="H464" s="6" t="n">
        <v>0.82</v>
      </c>
      <c r="I464" s="6" t="n">
        <v>0.149</v>
      </c>
      <c r="J464" s="6" t="n">
        <v>0.7192</v>
      </c>
      <c r="K464" s="6" t="n">
        <v>0.6984</v>
      </c>
      <c r="L464" s="7">
        <f>Mecanismos!B2*C464</f>
        <v/>
      </c>
      <c r="M464" s="7">
        <f>Mecanismos!B7*D464</f>
        <v/>
      </c>
      <c r="N464" s="7">
        <f>Mecanismos!B4*(1-E464)</f>
        <v/>
      </c>
      <c r="O464" s="7">
        <f>Mecanismos!B5*(1-F464)</f>
        <v/>
      </c>
      <c r="P464" s="7">
        <f>Mecanismos!B6*(1-I464)</f>
        <v/>
      </c>
      <c r="Q464" s="7">
        <f>Mecanismos!B9*(1-G464)</f>
        <v/>
      </c>
      <c r="R464" s="7">
        <f>Mecanismos!B3*(1-D464)</f>
        <v/>
      </c>
      <c r="S464" s="7">
        <f>Mecanismos!B9*(1-J464)</f>
        <v/>
      </c>
      <c r="T464" s="7">
        <f>Mecanismos!B8*H464</f>
        <v/>
      </c>
      <c r="U464" s="7">
        <f>Mecanismos!B10*H464</f>
        <v/>
      </c>
      <c r="V464" s="7">
        <f>Mecanismos!B8*K464</f>
        <v/>
      </c>
      <c r="W464" s="7">
        <f>SUM(L464:S464)</f>
        <v/>
      </c>
      <c r="X464" s="7">
        <f>SUM(T464:V464)</f>
        <v/>
      </c>
      <c r="Y464" s="8">
        <f>MAX(0,MIN(1,Parametros!B2-W464*Parametros!B3+X464*Parametros!B4))</f>
        <v/>
      </c>
    </row>
    <row r="465">
      <c r="A465" t="inlineStr">
        <is>
          <t>1croo0</t>
        </is>
      </c>
      <c r="B465" t="inlineStr">
        <is>
          <t>Stephany Almeida</t>
        </is>
      </c>
      <c r="C465" s="6" t="n">
        <v>0.4568</v>
      </c>
      <c r="D465" s="6" t="n">
        <v>0.7524999999999999</v>
      </c>
      <c r="E465" s="6" t="n">
        <v>0.6654</v>
      </c>
      <c r="F465" s="6" t="n">
        <v>0.7673</v>
      </c>
      <c r="G465" s="6" t="n">
        <v>0.4683</v>
      </c>
      <c r="H465" s="6" t="n">
        <v>0.7778</v>
      </c>
      <c r="I465" s="6" t="n">
        <v>0.8665</v>
      </c>
      <c r="J465" s="6" t="n">
        <v>0.7715</v>
      </c>
      <c r="K465" s="6" t="n">
        <v>0.828</v>
      </c>
      <c r="L465" s="7">
        <f>Mecanismos!B2*C465</f>
        <v/>
      </c>
      <c r="M465" s="7">
        <f>Mecanismos!B7*D465</f>
        <v/>
      </c>
      <c r="N465" s="7">
        <f>Mecanismos!B4*(1-E465)</f>
        <v/>
      </c>
      <c r="O465" s="7">
        <f>Mecanismos!B5*(1-F465)</f>
        <v/>
      </c>
      <c r="P465" s="7">
        <f>Mecanismos!B6*(1-I465)</f>
        <v/>
      </c>
      <c r="Q465" s="7">
        <f>Mecanismos!B9*(1-G465)</f>
        <v/>
      </c>
      <c r="R465" s="7">
        <f>Mecanismos!B3*(1-D465)</f>
        <v/>
      </c>
      <c r="S465" s="7">
        <f>Mecanismos!B9*(1-J465)</f>
        <v/>
      </c>
      <c r="T465" s="7">
        <f>Mecanismos!B8*H465</f>
        <v/>
      </c>
      <c r="U465" s="7">
        <f>Mecanismos!B10*H465</f>
        <v/>
      </c>
      <c r="V465" s="7">
        <f>Mecanismos!B8*K465</f>
        <v/>
      </c>
      <c r="W465" s="7">
        <f>SUM(L465:S465)</f>
        <v/>
      </c>
      <c r="X465" s="7">
        <f>SUM(T465:V465)</f>
        <v/>
      </c>
      <c r="Y465" s="8">
        <f>MAX(0,MIN(1,Parametros!B2-W465*Parametros!B3+X465*Parametros!B4))</f>
        <v/>
      </c>
    </row>
    <row r="466">
      <c r="A466" t="inlineStr">
        <is>
          <t>cajroe</t>
        </is>
      </c>
      <c r="B466" t="inlineStr">
        <is>
          <t>Stephany Dias</t>
        </is>
      </c>
      <c r="C466" s="6" t="n">
        <v>0.5193</v>
      </c>
      <c r="D466" s="6" t="n">
        <v>0.4426</v>
      </c>
      <c r="E466" s="6" t="n">
        <v>0.6798</v>
      </c>
      <c r="F466" s="6" t="n">
        <v>0.1334</v>
      </c>
      <c r="G466" s="6" t="n">
        <v>0.3683</v>
      </c>
      <c r="H466" s="6" t="n">
        <v>0.6398</v>
      </c>
      <c r="I466" s="6" t="n">
        <v>0.3376</v>
      </c>
      <c r="J466" s="6" t="n">
        <v>0.6793</v>
      </c>
      <c r="K466" s="6" t="n">
        <v>0.9439</v>
      </c>
      <c r="L466" s="7">
        <f>Mecanismos!B2*C466</f>
        <v/>
      </c>
      <c r="M466" s="7">
        <f>Mecanismos!B7*D466</f>
        <v/>
      </c>
      <c r="N466" s="7">
        <f>Mecanismos!B4*(1-E466)</f>
        <v/>
      </c>
      <c r="O466" s="7">
        <f>Mecanismos!B5*(1-F466)</f>
        <v/>
      </c>
      <c r="P466" s="7">
        <f>Mecanismos!B6*(1-I466)</f>
        <v/>
      </c>
      <c r="Q466" s="7">
        <f>Mecanismos!B9*(1-G466)</f>
        <v/>
      </c>
      <c r="R466" s="7">
        <f>Mecanismos!B3*(1-D466)</f>
        <v/>
      </c>
      <c r="S466" s="7">
        <f>Mecanismos!B9*(1-J466)</f>
        <v/>
      </c>
      <c r="T466" s="7">
        <f>Mecanismos!B8*H466</f>
        <v/>
      </c>
      <c r="U466" s="7">
        <f>Mecanismos!B10*H466</f>
        <v/>
      </c>
      <c r="V466" s="7">
        <f>Mecanismos!B8*K466</f>
        <v/>
      </c>
      <c r="W466" s="7">
        <f>SUM(L466:S466)</f>
        <v/>
      </c>
      <c r="X466" s="7">
        <f>SUM(T466:V466)</f>
        <v/>
      </c>
      <c r="Y466" s="8">
        <f>MAX(0,MIN(1,Parametros!B2-W466*Parametros!B3+X466*Parametros!B4))</f>
        <v/>
      </c>
    </row>
    <row r="467">
      <c r="A467" t="inlineStr">
        <is>
          <t>u92vvb</t>
        </is>
      </c>
      <c r="B467" t="inlineStr">
        <is>
          <t>Stephany da Cunha</t>
        </is>
      </c>
      <c r="C467" s="6" t="n">
        <v>0.7673</v>
      </c>
      <c r="D467" s="6" t="n">
        <v>0.573</v>
      </c>
      <c r="E467" s="6" t="n">
        <v>0.7464</v>
      </c>
      <c r="F467" s="6" t="n">
        <v>0.2686</v>
      </c>
      <c r="G467" s="6" t="n">
        <v>0.4445</v>
      </c>
      <c r="H467" s="6" t="n">
        <v>0.4966</v>
      </c>
      <c r="I467" s="6" t="n">
        <v>0.2782</v>
      </c>
      <c r="J467" s="6" t="n">
        <v>0.5846</v>
      </c>
      <c r="K467" s="6" t="n">
        <v>0.7439</v>
      </c>
      <c r="L467" s="7">
        <f>Mecanismos!B2*C467</f>
        <v/>
      </c>
      <c r="M467" s="7">
        <f>Mecanismos!B7*D467</f>
        <v/>
      </c>
      <c r="N467" s="7">
        <f>Mecanismos!B4*(1-E467)</f>
        <v/>
      </c>
      <c r="O467" s="7">
        <f>Mecanismos!B5*(1-F467)</f>
        <v/>
      </c>
      <c r="P467" s="7">
        <f>Mecanismos!B6*(1-I467)</f>
        <v/>
      </c>
      <c r="Q467" s="7">
        <f>Mecanismos!B9*(1-G467)</f>
        <v/>
      </c>
      <c r="R467" s="7">
        <f>Mecanismos!B3*(1-D467)</f>
        <v/>
      </c>
      <c r="S467" s="7">
        <f>Mecanismos!B9*(1-J467)</f>
        <v/>
      </c>
      <c r="T467" s="7">
        <f>Mecanismos!B8*H467</f>
        <v/>
      </c>
      <c r="U467" s="7">
        <f>Mecanismos!B10*H467</f>
        <v/>
      </c>
      <c r="V467" s="7">
        <f>Mecanismos!B8*K467</f>
        <v/>
      </c>
      <c r="W467" s="7">
        <f>SUM(L467:S467)</f>
        <v/>
      </c>
      <c r="X467" s="7">
        <f>SUM(T467:V467)</f>
        <v/>
      </c>
      <c r="Y467" s="8">
        <f>MAX(0,MIN(1,Parametros!B2-W467*Parametros!B3+X467*Parametros!B4))</f>
        <v/>
      </c>
    </row>
    <row r="468">
      <c r="A468" t="inlineStr">
        <is>
          <t>fydnr4</t>
        </is>
      </c>
      <c r="B468" t="inlineStr">
        <is>
          <t>Thales Almeida</t>
        </is>
      </c>
      <c r="C468" s="6" t="n">
        <v>0.6815</v>
      </c>
      <c r="D468" s="6" t="n">
        <v>0.5216</v>
      </c>
      <c r="E468" s="6" t="n">
        <v>0.6054</v>
      </c>
      <c r="F468" s="6" t="n">
        <v>0.4923</v>
      </c>
      <c r="G468" s="6" t="n">
        <v>0.3597</v>
      </c>
      <c r="H468" s="6" t="n">
        <v>0.42</v>
      </c>
      <c r="I468" s="6" t="n">
        <v>0.7314000000000001</v>
      </c>
      <c r="J468" s="6" t="n">
        <v>0.8596</v>
      </c>
      <c r="K468" s="6" t="n">
        <v>0.6682</v>
      </c>
      <c r="L468" s="7">
        <f>Mecanismos!B2*C468</f>
        <v/>
      </c>
      <c r="M468" s="7">
        <f>Mecanismos!B7*D468</f>
        <v/>
      </c>
      <c r="N468" s="7">
        <f>Mecanismos!B4*(1-E468)</f>
        <v/>
      </c>
      <c r="O468" s="7">
        <f>Mecanismos!B5*(1-F468)</f>
        <v/>
      </c>
      <c r="P468" s="7">
        <f>Mecanismos!B6*(1-I468)</f>
        <v/>
      </c>
      <c r="Q468" s="7">
        <f>Mecanismos!B9*(1-G468)</f>
        <v/>
      </c>
      <c r="R468" s="7">
        <f>Mecanismos!B3*(1-D468)</f>
        <v/>
      </c>
      <c r="S468" s="7">
        <f>Mecanismos!B9*(1-J468)</f>
        <v/>
      </c>
      <c r="T468" s="7">
        <f>Mecanismos!B8*H468</f>
        <v/>
      </c>
      <c r="U468" s="7">
        <f>Mecanismos!B10*H468</f>
        <v/>
      </c>
      <c r="V468" s="7">
        <f>Mecanismos!B8*K468</f>
        <v/>
      </c>
      <c r="W468" s="7">
        <f>SUM(L468:S468)</f>
        <v/>
      </c>
      <c r="X468" s="7">
        <f>SUM(T468:V468)</f>
        <v/>
      </c>
      <c r="Y468" s="8">
        <f>MAX(0,MIN(1,Parametros!B2-W468*Parametros!B3+X468*Parametros!B4))</f>
        <v/>
      </c>
    </row>
    <row r="469">
      <c r="A469" t="inlineStr">
        <is>
          <t>1wdt13</t>
        </is>
      </c>
      <c r="B469" t="inlineStr">
        <is>
          <t>Thales Moura</t>
        </is>
      </c>
      <c r="C469" s="6" t="n">
        <v>0.3672</v>
      </c>
      <c r="D469" s="6" t="n">
        <v>0.4984</v>
      </c>
      <c r="E469" s="6" t="n">
        <v>0.3732</v>
      </c>
      <c r="F469" s="6" t="n">
        <v>0.4387</v>
      </c>
      <c r="G469" s="6" t="n">
        <v>0.6578000000000001</v>
      </c>
      <c r="H469" s="6" t="n">
        <v>0.605</v>
      </c>
      <c r="I469" s="6" t="n">
        <v>0.5221</v>
      </c>
      <c r="J469" s="6" t="n">
        <v>0.9011</v>
      </c>
      <c r="K469" s="6" t="n">
        <v>0.1251</v>
      </c>
      <c r="L469" s="7">
        <f>Mecanismos!B2*C469</f>
        <v/>
      </c>
      <c r="M469" s="7">
        <f>Mecanismos!B7*D469</f>
        <v/>
      </c>
      <c r="N469" s="7">
        <f>Mecanismos!B4*(1-E469)</f>
        <v/>
      </c>
      <c r="O469" s="7">
        <f>Mecanismos!B5*(1-F469)</f>
        <v/>
      </c>
      <c r="P469" s="7">
        <f>Mecanismos!B6*(1-I469)</f>
        <v/>
      </c>
      <c r="Q469" s="7">
        <f>Mecanismos!B9*(1-G469)</f>
        <v/>
      </c>
      <c r="R469" s="7">
        <f>Mecanismos!B3*(1-D469)</f>
        <v/>
      </c>
      <c r="S469" s="7">
        <f>Mecanismos!B9*(1-J469)</f>
        <v/>
      </c>
      <c r="T469" s="7">
        <f>Mecanismos!B8*H469</f>
        <v/>
      </c>
      <c r="U469" s="7">
        <f>Mecanismos!B10*H469</f>
        <v/>
      </c>
      <c r="V469" s="7">
        <f>Mecanismos!B8*K469</f>
        <v/>
      </c>
      <c r="W469" s="7">
        <f>SUM(L469:S469)</f>
        <v/>
      </c>
      <c r="X469" s="7">
        <f>SUM(T469:V469)</f>
        <v/>
      </c>
      <c r="Y469" s="8">
        <f>MAX(0,MIN(1,Parametros!B2-W469*Parametros!B3+X469*Parametros!B4))</f>
        <v/>
      </c>
    </row>
    <row r="470">
      <c r="A470" t="inlineStr">
        <is>
          <t>9d2djm</t>
        </is>
      </c>
      <c r="B470" t="inlineStr">
        <is>
          <t>Thales Pimenta</t>
        </is>
      </c>
      <c r="C470" s="6" t="n">
        <v>0.6811</v>
      </c>
      <c r="D470" s="6" t="n">
        <v>0.5095</v>
      </c>
      <c r="E470" s="6" t="n">
        <v>0.5268</v>
      </c>
      <c r="F470" s="6" t="n">
        <v>0.5535</v>
      </c>
      <c r="G470" s="6" t="n">
        <v>0.489</v>
      </c>
      <c r="H470" s="6" t="n">
        <v>0.5112</v>
      </c>
      <c r="I470" s="6" t="n">
        <v>0.4853</v>
      </c>
      <c r="J470" s="6" t="n">
        <v>0.7953</v>
      </c>
      <c r="K470" s="6" t="n">
        <v>0.7785</v>
      </c>
      <c r="L470" s="7">
        <f>Mecanismos!B2*C470</f>
        <v/>
      </c>
      <c r="M470" s="7">
        <f>Mecanismos!B7*D470</f>
        <v/>
      </c>
      <c r="N470" s="7">
        <f>Mecanismos!B4*(1-E470)</f>
        <v/>
      </c>
      <c r="O470" s="7">
        <f>Mecanismos!B5*(1-F470)</f>
        <v/>
      </c>
      <c r="P470" s="7">
        <f>Mecanismos!B6*(1-I470)</f>
        <v/>
      </c>
      <c r="Q470" s="7">
        <f>Mecanismos!B9*(1-G470)</f>
        <v/>
      </c>
      <c r="R470" s="7">
        <f>Mecanismos!B3*(1-D470)</f>
        <v/>
      </c>
      <c r="S470" s="7">
        <f>Mecanismos!B9*(1-J470)</f>
        <v/>
      </c>
      <c r="T470" s="7">
        <f>Mecanismos!B8*H470</f>
        <v/>
      </c>
      <c r="U470" s="7">
        <f>Mecanismos!B10*H470</f>
        <v/>
      </c>
      <c r="V470" s="7">
        <f>Mecanismos!B8*K470</f>
        <v/>
      </c>
      <c r="W470" s="7">
        <f>SUM(L470:S470)</f>
        <v/>
      </c>
      <c r="X470" s="7">
        <f>SUM(T470:V470)</f>
        <v/>
      </c>
      <c r="Y470" s="8">
        <f>MAX(0,MIN(1,Parametros!B2-W470*Parametros!B3+X470*Parametros!B4))</f>
        <v/>
      </c>
    </row>
    <row r="471">
      <c r="A471" t="inlineStr">
        <is>
          <t>2gkera</t>
        </is>
      </c>
      <c r="B471" t="inlineStr">
        <is>
          <t>Thales Rios</t>
        </is>
      </c>
      <c r="C471" s="6" t="n">
        <v>0.5357</v>
      </c>
      <c r="D471" s="6" t="n">
        <v>0.2267</v>
      </c>
      <c r="E471" s="6" t="n">
        <v>0.4281</v>
      </c>
      <c r="F471" s="6" t="n">
        <v>0.3163</v>
      </c>
      <c r="G471" s="6" t="n">
        <v>0.5524</v>
      </c>
      <c r="H471" s="6" t="n">
        <v>0.6589</v>
      </c>
      <c r="I471" s="6" t="n">
        <v>0.4025</v>
      </c>
      <c r="J471" s="6" t="n">
        <v>0.8033</v>
      </c>
      <c r="K471" s="6" t="n">
        <v>0.2777</v>
      </c>
      <c r="L471" s="7">
        <f>Mecanismos!B2*C471</f>
        <v/>
      </c>
      <c r="M471" s="7">
        <f>Mecanismos!B7*D471</f>
        <v/>
      </c>
      <c r="N471" s="7">
        <f>Mecanismos!B4*(1-E471)</f>
        <v/>
      </c>
      <c r="O471" s="7">
        <f>Mecanismos!B5*(1-F471)</f>
        <v/>
      </c>
      <c r="P471" s="7">
        <f>Mecanismos!B6*(1-I471)</f>
        <v/>
      </c>
      <c r="Q471" s="7">
        <f>Mecanismos!B9*(1-G471)</f>
        <v/>
      </c>
      <c r="R471" s="7">
        <f>Mecanismos!B3*(1-D471)</f>
        <v/>
      </c>
      <c r="S471" s="7">
        <f>Mecanismos!B9*(1-J471)</f>
        <v/>
      </c>
      <c r="T471" s="7">
        <f>Mecanismos!B8*H471</f>
        <v/>
      </c>
      <c r="U471" s="7">
        <f>Mecanismos!B10*H471</f>
        <v/>
      </c>
      <c r="V471" s="7">
        <f>Mecanismos!B8*K471</f>
        <v/>
      </c>
      <c r="W471" s="7">
        <f>SUM(L471:S471)</f>
        <v/>
      </c>
      <c r="X471" s="7">
        <f>SUM(T471:V471)</f>
        <v/>
      </c>
      <c r="Y471" s="8">
        <f>MAX(0,MIN(1,Parametros!B2-W471*Parametros!B3+X471*Parametros!B4))</f>
        <v/>
      </c>
    </row>
    <row r="472">
      <c r="A472" t="inlineStr">
        <is>
          <t>q4otn9</t>
        </is>
      </c>
      <c r="B472" t="inlineStr">
        <is>
          <t>Theo Martins</t>
        </is>
      </c>
      <c r="C472" s="6" t="n">
        <v>0.7753</v>
      </c>
      <c r="D472" s="6" t="n">
        <v>0.6218</v>
      </c>
      <c r="E472" s="6" t="n">
        <v>0.4453</v>
      </c>
      <c r="F472" s="6" t="n">
        <v>0.4272</v>
      </c>
      <c r="G472" s="6" t="n">
        <v>0.6133999999999999</v>
      </c>
      <c r="H472" s="6" t="n">
        <v>0.5383</v>
      </c>
      <c r="I472" s="6" t="n">
        <v>0.4911</v>
      </c>
      <c r="J472" s="6" t="n">
        <v>0.7524999999999999</v>
      </c>
      <c r="K472" s="6" t="n">
        <v>0.3141</v>
      </c>
      <c r="L472" s="7">
        <f>Mecanismos!B2*C472</f>
        <v/>
      </c>
      <c r="M472" s="7">
        <f>Mecanismos!B7*D472</f>
        <v/>
      </c>
      <c r="N472" s="7">
        <f>Mecanismos!B4*(1-E472)</f>
        <v/>
      </c>
      <c r="O472" s="7">
        <f>Mecanismos!B5*(1-F472)</f>
        <v/>
      </c>
      <c r="P472" s="7">
        <f>Mecanismos!B6*(1-I472)</f>
        <v/>
      </c>
      <c r="Q472" s="7">
        <f>Mecanismos!B9*(1-G472)</f>
        <v/>
      </c>
      <c r="R472" s="7">
        <f>Mecanismos!B3*(1-D472)</f>
        <v/>
      </c>
      <c r="S472" s="7">
        <f>Mecanismos!B9*(1-J472)</f>
        <v/>
      </c>
      <c r="T472" s="7">
        <f>Mecanismos!B8*H472</f>
        <v/>
      </c>
      <c r="U472" s="7">
        <f>Mecanismos!B10*H472</f>
        <v/>
      </c>
      <c r="V472" s="7">
        <f>Mecanismos!B8*K472</f>
        <v/>
      </c>
      <c r="W472" s="7">
        <f>SUM(L472:S472)</f>
        <v/>
      </c>
      <c r="X472" s="7">
        <f>SUM(T472:V472)</f>
        <v/>
      </c>
      <c r="Y472" s="8">
        <f>MAX(0,MIN(1,Parametros!B2-W472*Parametros!B3+X472*Parametros!B4))</f>
        <v/>
      </c>
    </row>
    <row r="473">
      <c r="A473" t="inlineStr">
        <is>
          <t>mvxziy</t>
        </is>
      </c>
      <c r="B473" t="inlineStr">
        <is>
          <t>Theo Novais</t>
        </is>
      </c>
      <c r="C473" s="6" t="n">
        <v>0.8119</v>
      </c>
      <c r="D473" s="6" t="n">
        <v>0.4144</v>
      </c>
      <c r="E473" s="6" t="n">
        <v>0.6147</v>
      </c>
      <c r="F473" s="6" t="n">
        <v>0.575</v>
      </c>
      <c r="G473" s="6" t="n">
        <v>0.3989</v>
      </c>
      <c r="H473" s="6" t="n">
        <v>0.4154</v>
      </c>
      <c r="I473" s="6" t="n">
        <v>0.3288</v>
      </c>
      <c r="J473" s="6" t="n">
        <v>0.5784</v>
      </c>
      <c r="K473" s="6" t="n">
        <v>0.06619999999999999</v>
      </c>
      <c r="L473" s="7">
        <f>Mecanismos!B2*C473</f>
        <v/>
      </c>
      <c r="M473" s="7">
        <f>Mecanismos!B7*D473</f>
        <v/>
      </c>
      <c r="N473" s="7">
        <f>Mecanismos!B4*(1-E473)</f>
        <v/>
      </c>
      <c r="O473" s="7">
        <f>Mecanismos!B5*(1-F473)</f>
        <v/>
      </c>
      <c r="P473" s="7">
        <f>Mecanismos!B6*(1-I473)</f>
        <v/>
      </c>
      <c r="Q473" s="7">
        <f>Mecanismos!B9*(1-G473)</f>
        <v/>
      </c>
      <c r="R473" s="7">
        <f>Mecanismos!B3*(1-D473)</f>
        <v/>
      </c>
      <c r="S473" s="7">
        <f>Mecanismos!B9*(1-J473)</f>
        <v/>
      </c>
      <c r="T473" s="7">
        <f>Mecanismos!B8*H473</f>
        <v/>
      </c>
      <c r="U473" s="7">
        <f>Mecanismos!B10*H473</f>
        <v/>
      </c>
      <c r="V473" s="7">
        <f>Mecanismos!B8*K473</f>
        <v/>
      </c>
      <c r="W473" s="7">
        <f>SUM(L473:S473)</f>
        <v/>
      </c>
      <c r="X473" s="7">
        <f>SUM(T473:V473)</f>
        <v/>
      </c>
      <c r="Y473" s="8">
        <f>MAX(0,MIN(1,Parametros!B2-W473*Parametros!B3+X473*Parametros!B4))</f>
        <v/>
      </c>
    </row>
    <row r="474">
      <c r="A474" t="inlineStr">
        <is>
          <t>wztuk4</t>
        </is>
      </c>
      <c r="B474" t="inlineStr">
        <is>
          <t>Theo Santos</t>
        </is>
      </c>
      <c r="C474" s="6" t="n">
        <v>0.8555</v>
      </c>
      <c r="D474" s="6" t="n">
        <v>0.6186</v>
      </c>
      <c r="E474" s="6" t="n">
        <v>0.7077</v>
      </c>
      <c r="F474" s="6" t="n">
        <v>0.5719</v>
      </c>
      <c r="G474" s="6" t="n">
        <v>0.3688</v>
      </c>
      <c r="H474" s="6" t="n">
        <v>0.7278</v>
      </c>
      <c r="I474" s="6" t="n">
        <v>0.2823</v>
      </c>
      <c r="J474" s="6" t="n">
        <v>0.5093</v>
      </c>
      <c r="K474" s="6" t="n">
        <v>0.569</v>
      </c>
      <c r="L474" s="7">
        <f>Mecanismos!B2*C474</f>
        <v/>
      </c>
      <c r="M474" s="7">
        <f>Mecanismos!B7*D474</f>
        <v/>
      </c>
      <c r="N474" s="7">
        <f>Mecanismos!B4*(1-E474)</f>
        <v/>
      </c>
      <c r="O474" s="7">
        <f>Mecanismos!B5*(1-F474)</f>
        <v/>
      </c>
      <c r="P474" s="7">
        <f>Mecanismos!B6*(1-I474)</f>
        <v/>
      </c>
      <c r="Q474" s="7">
        <f>Mecanismos!B9*(1-G474)</f>
        <v/>
      </c>
      <c r="R474" s="7">
        <f>Mecanismos!B3*(1-D474)</f>
        <v/>
      </c>
      <c r="S474" s="7">
        <f>Mecanismos!B9*(1-J474)</f>
        <v/>
      </c>
      <c r="T474" s="7">
        <f>Mecanismos!B8*H474</f>
        <v/>
      </c>
      <c r="U474" s="7">
        <f>Mecanismos!B10*H474</f>
        <v/>
      </c>
      <c r="V474" s="7">
        <f>Mecanismos!B8*K474</f>
        <v/>
      </c>
      <c r="W474" s="7">
        <f>SUM(L474:S474)</f>
        <v/>
      </c>
      <c r="X474" s="7">
        <f>SUM(T474:V474)</f>
        <v/>
      </c>
      <c r="Y474" s="8">
        <f>MAX(0,MIN(1,Parametros!B2-W474*Parametros!B3+X474*Parametros!B4))</f>
        <v/>
      </c>
    </row>
    <row r="475">
      <c r="A475" t="inlineStr">
        <is>
          <t>9oburg</t>
        </is>
      </c>
      <c r="B475" t="inlineStr">
        <is>
          <t>Theodoro Dias</t>
        </is>
      </c>
      <c r="C475" s="6" t="n">
        <v>0.7889</v>
      </c>
      <c r="D475" s="6" t="n">
        <v>0.5139</v>
      </c>
      <c r="E475" s="6" t="n">
        <v>0.6417</v>
      </c>
      <c r="F475" s="6" t="n">
        <v>0.6094000000000001</v>
      </c>
      <c r="G475" s="6" t="n">
        <v>0.7996</v>
      </c>
      <c r="H475" s="6" t="n">
        <v>0.5843</v>
      </c>
      <c r="I475" s="6" t="n">
        <v>0.5064</v>
      </c>
      <c r="J475" s="6" t="n">
        <v>0.6967</v>
      </c>
      <c r="K475" s="6" t="n">
        <v>0.24</v>
      </c>
      <c r="L475" s="7">
        <f>Mecanismos!B2*C475</f>
        <v/>
      </c>
      <c r="M475" s="7">
        <f>Mecanismos!B7*D475</f>
        <v/>
      </c>
      <c r="N475" s="7">
        <f>Mecanismos!B4*(1-E475)</f>
        <v/>
      </c>
      <c r="O475" s="7">
        <f>Mecanismos!B5*(1-F475)</f>
        <v/>
      </c>
      <c r="P475" s="7">
        <f>Mecanismos!B6*(1-I475)</f>
        <v/>
      </c>
      <c r="Q475" s="7">
        <f>Mecanismos!B9*(1-G475)</f>
        <v/>
      </c>
      <c r="R475" s="7">
        <f>Mecanismos!B3*(1-D475)</f>
        <v/>
      </c>
      <c r="S475" s="7">
        <f>Mecanismos!B9*(1-J475)</f>
        <v/>
      </c>
      <c r="T475" s="7">
        <f>Mecanismos!B8*H475</f>
        <v/>
      </c>
      <c r="U475" s="7">
        <f>Mecanismos!B10*H475</f>
        <v/>
      </c>
      <c r="V475" s="7">
        <f>Mecanismos!B8*K475</f>
        <v/>
      </c>
      <c r="W475" s="7">
        <f>SUM(L475:S475)</f>
        <v/>
      </c>
      <c r="X475" s="7">
        <f>SUM(T475:V475)</f>
        <v/>
      </c>
      <c r="Y475" s="8">
        <f>MAX(0,MIN(1,Parametros!B2-W475*Parametros!B3+X475*Parametros!B4))</f>
        <v/>
      </c>
    </row>
    <row r="476">
      <c r="A476" t="inlineStr">
        <is>
          <t>5q5oag</t>
        </is>
      </c>
      <c r="B476" t="inlineStr">
        <is>
          <t>Thiago Ferreira</t>
        </is>
      </c>
      <c r="C476" s="6" t="n">
        <v>0.6729000000000001</v>
      </c>
      <c r="D476" s="6" t="n">
        <v>0.4983</v>
      </c>
      <c r="E476" s="6" t="n">
        <v>0.5804</v>
      </c>
      <c r="F476" s="6" t="n">
        <v>0.4149</v>
      </c>
      <c r="G476" s="6" t="n">
        <v>0.332</v>
      </c>
      <c r="H476" s="6" t="n">
        <v>0.4345</v>
      </c>
      <c r="I476" s="6" t="n">
        <v>0.6069</v>
      </c>
      <c r="J476" s="6" t="n">
        <v>0.8574000000000001</v>
      </c>
      <c r="K476" s="6" t="n">
        <v>0.6228</v>
      </c>
      <c r="L476" s="7">
        <f>Mecanismos!B2*C476</f>
        <v/>
      </c>
      <c r="M476" s="7">
        <f>Mecanismos!B7*D476</f>
        <v/>
      </c>
      <c r="N476" s="7">
        <f>Mecanismos!B4*(1-E476)</f>
        <v/>
      </c>
      <c r="O476" s="7">
        <f>Mecanismos!B5*(1-F476)</f>
        <v/>
      </c>
      <c r="P476" s="7">
        <f>Mecanismos!B6*(1-I476)</f>
        <v/>
      </c>
      <c r="Q476" s="7">
        <f>Mecanismos!B9*(1-G476)</f>
        <v/>
      </c>
      <c r="R476" s="7">
        <f>Mecanismos!B3*(1-D476)</f>
        <v/>
      </c>
      <c r="S476" s="7">
        <f>Mecanismos!B9*(1-J476)</f>
        <v/>
      </c>
      <c r="T476" s="7">
        <f>Mecanismos!B8*H476</f>
        <v/>
      </c>
      <c r="U476" s="7">
        <f>Mecanismos!B10*H476</f>
        <v/>
      </c>
      <c r="V476" s="7">
        <f>Mecanismos!B8*K476</f>
        <v/>
      </c>
      <c r="W476" s="7">
        <f>SUM(L476:S476)</f>
        <v/>
      </c>
      <c r="X476" s="7">
        <f>SUM(T476:V476)</f>
        <v/>
      </c>
      <c r="Y476" s="8">
        <f>MAX(0,MIN(1,Parametros!B2-W476*Parametros!B3+X476*Parametros!B4))</f>
        <v/>
      </c>
    </row>
    <row r="477">
      <c r="A477" t="inlineStr">
        <is>
          <t>7449pt</t>
        </is>
      </c>
      <c r="B477" t="inlineStr">
        <is>
          <t>Thiago Porto</t>
        </is>
      </c>
      <c r="C477" s="6" t="n">
        <v>0.6031</v>
      </c>
      <c r="D477" s="6" t="n">
        <v>0.4954</v>
      </c>
      <c r="E477" s="6" t="n">
        <v>0.4792</v>
      </c>
      <c r="F477" s="6" t="n">
        <v>0.5652</v>
      </c>
      <c r="G477" s="6" t="n">
        <v>0.7386</v>
      </c>
      <c r="H477" s="6" t="n">
        <v>0.6854</v>
      </c>
      <c r="I477" s="6" t="n">
        <v>0.5790999999999999</v>
      </c>
      <c r="J477" s="6" t="n">
        <v>0.6176</v>
      </c>
      <c r="K477" s="6" t="n">
        <v>0.8238</v>
      </c>
      <c r="L477" s="7">
        <f>Mecanismos!B2*C477</f>
        <v/>
      </c>
      <c r="M477" s="7">
        <f>Mecanismos!B7*D477</f>
        <v/>
      </c>
      <c r="N477" s="7">
        <f>Mecanismos!B4*(1-E477)</f>
        <v/>
      </c>
      <c r="O477" s="7">
        <f>Mecanismos!B5*(1-F477)</f>
        <v/>
      </c>
      <c r="P477" s="7">
        <f>Mecanismos!B6*(1-I477)</f>
        <v/>
      </c>
      <c r="Q477" s="7">
        <f>Mecanismos!B9*(1-G477)</f>
        <v/>
      </c>
      <c r="R477" s="7">
        <f>Mecanismos!B3*(1-D477)</f>
        <v/>
      </c>
      <c r="S477" s="7">
        <f>Mecanismos!B9*(1-J477)</f>
        <v/>
      </c>
      <c r="T477" s="7">
        <f>Mecanismos!B8*H477</f>
        <v/>
      </c>
      <c r="U477" s="7">
        <f>Mecanismos!B10*H477</f>
        <v/>
      </c>
      <c r="V477" s="7">
        <f>Mecanismos!B8*K477</f>
        <v/>
      </c>
      <c r="W477" s="7">
        <f>SUM(L477:S477)</f>
        <v/>
      </c>
      <c r="X477" s="7">
        <f>SUM(T477:V477)</f>
        <v/>
      </c>
      <c r="Y477" s="8">
        <f>MAX(0,MIN(1,Parametros!B2-W477*Parametros!B3+X477*Parametros!B4))</f>
        <v/>
      </c>
    </row>
    <row r="478">
      <c r="A478" t="inlineStr">
        <is>
          <t>k5vb2a</t>
        </is>
      </c>
      <c r="B478" t="inlineStr">
        <is>
          <t>Thomas Duarte</t>
        </is>
      </c>
      <c r="C478" s="6" t="n">
        <v>0.3086</v>
      </c>
      <c r="D478" s="6" t="n">
        <v>0.467</v>
      </c>
      <c r="E478" s="6" t="n">
        <v>0.4393</v>
      </c>
      <c r="F478" s="6" t="n">
        <v>0.5646</v>
      </c>
      <c r="G478" s="6" t="n">
        <v>0.5994</v>
      </c>
      <c r="H478" s="6" t="n">
        <v>0.6344</v>
      </c>
      <c r="I478" s="6" t="n">
        <v>0.3465</v>
      </c>
      <c r="J478" s="6" t="n">
        <v>0.8701</v>
      </c>
      <c r="K478" s="6" t="n">
        <v>0.3477</v>
      </c>
      <c r="L478" s="7">
        <f>Mecanismos!B2*C478</f>
        <v/>
      </c>
      <c r="M478" s="7">
        <f>Mecanismos!B7*D478</f>
        <v/>
      </c>
      <c r="N478" s="7">
        <f>Mecanismos!B4*(1-E478)</f>
        <v/>
      </c>
      <c r="O478" s="7">
        <f>Mecanismos!B5*(1-F478)</f>
        <v/>
      </c>
      <c r="P478" s="7">
        <f>Mecanismos!B6*(1-I478)</f>
        <v/>
      </c>
      <c r="Q478" s="7">
        <f>Mecanismos!B9*(1-G478)</f>
        <v/>
      </c>
      <c r="R478" s="7">
        <f>Mecanismos!B3*(1-D478)</f>
        <v/>
      </c>
      <c r="S478" s="7">
        <f>Mecanismos!B9*(1-J478)</f>
        <v/>
      </c>
      <c r="T478" s="7">
        <f>Mecanismos!B8*H478</f>
        <v/>
      </c>
      <c r="U478" s="7">
        <f>Mecanismos!B10*H478</f>
        <v/>
      </c>
      <c r="V478" s="7">
        <f>Mecanismos!B8*K478</f>
        <v/>
      </c>
      <c r="W478" s="7">
        <f>SUM(L478:S478)</f>
        <v/>
      </c>
      <c r="X478" s="7">
        <f>SUM(T478:V478)</f>
        <v/>
      </c>
      <c r="Y478" s="8">
        <f>MAX(0,MIN(1,Parametros!B2-W478*Parametros!B3+X478*Parametros!B4))</f>
        <v/>
      </c>
    </row>
    <row r="479">
      <c r="A479" t="inlineStr">
        <is>
          <t>jbdegv</t>
        </is>
      </c>
      <c r="B479" t="inlineStr">
        <is>
          <t>Thomas Macedo</t>
        </is>
      </c>
      <c r="C479" s="6" t="n">
        <v>0.53</v>
      </c>
      <c r="D479" s="6" t="n">
        <v>0.3601</v>
      </c>
      <c r="E479" s="6" t="n">
        <v>0.8967000000000001</v>
      </c>
      <c r="F479" s="6" t="n">
        <v>0.263</v>
      </c>
      <c r="G479" s="6" t="n">
        <v>0.2597</v>
      </c>
      <c r="H479" s="6" t="n">
        <v>0.5894</v>
      </c>
      <c r="I479" s="6" t="n">
        <v>0.5135999999999999</v>
      </c>
      <c r="J479" s="6" t="n">
        <v>0.4831</v>
      </c>
      <c r="K479" s="6" t="n">
        <v>0.3205</v>
      </c>
      <c r="L479" s="7">
        <f>Mecanismos!B2*C479</f>
        <v/>
      </c>
      <c r="M479" s="7">
        <f>Mecanismos!B7*D479</f>
        <v/>
      </c>
      <c r="N479" s="7">
        <f>Mecanismos!B4*(1-E479)</f>
        <v/>
      </c>
      <c r="O479" s="7">
        <f>Mecanismos!B5*(1-F479)</f>
        <v/>
      </c>
      <c r="P479" s="7">
        <f>Mecanismos!B6*(1-I479)</f>
        <v/>
      </c>
      <c r="Q479" s="7">
        <f>Mecanismos!B9*(1-G479)</f>
        <v/>
      </c>
      <c r="R479" s="7">
        <f>Mecanismos!B3*(1-D479)</f>
        <v/>
      </c>
      <c r="S479" s="7">
        <f>Mecanismos!B9*(1-J479)</f>
        <v/>
      </c>
      <c r="T479" s="7">
        <f>Mecanismos!B8*H479</f>
        <v/>
      </c>
      <c r="U479" s="7">
        <f>Mecanismos!B10*H479</f>
        <v/>
      </c>
      <c r="V479" s="7">
        <f>Mecanismos!B8*K479</f>
        <v/>
      </c>
      <c r="W479" s="7">
        <f>SUM(L479:S479)</f>
        <v/>
      </c>
      <c r="X479" s="7">
        <f>SUM(T479:V479)</f>
        <v/>
      </c>
      <c r="Y479" s="8">
        <f>MAX(0,MIN(1,Parametros!B2-W479*Parametros!B3+X479*Parametros!B4))</f>
        <v/>
      </c>
    </row>
    <row r="480">
      <c r="A480" t="inlineStr">
        <is>
          <t>3sm7w7</t>
        </is>
      </c>
      <c r="B480" t="inlineStr">
        <is>
          <t>Thomas Montenegro</t>
        </is>
      </c>
      <c r="C480" s="6" t="n">
        <v>0.5466</v>
      </c>
      <c r="D480" s="6" t="n">
        <v>0.4869</v>
      </c>
      <c r="E480" s="6" t="n">
        <v>0.4757</v>
      </c>
      <c r="F480" s="6" t="n">
        <v>0.2561</v>
      </c>
      <c r="G480" s="6" t="n">
        <v>0.6786</v>
      </c>
      <c r="H480" s="6" t="n">
        <v>0.6599</v>
      </c>
      <c r="I480" s="6" t="n">
        <v>0.6622</v>
      </c>
      <c r="J480" s="6" t="n">
        <v>0.7768</v>
      </c>
      <c r="K480" s="6" t="n">
        <v>0.6637999999999999</v>
      </c>
      <c r="L480" s="7">
        <f>Mecanismos!B2*C480</f>
        <v/>
      </c>
      <c r="M480" s="7">
        <f>Mecanismos!B7*D480</f>
        <v/>
      </c>
      <c r="N480" s="7">
        <f>Mecanismos!B4*(1-E480)</f>
        <v/>
      </c>
      <c r="O480" s="7">
        <f>Mecanismos!B5*(1-F480)</f>
        <v/>
      </c>
      <c r="P480" s="7">
        <f>Mecanismos!B6*(1-I480)</f>
        <v/>
      </c>
      <c r="Q480" s="7">
        <f>Mecanismos!B9*(1-G480)</f>
        <v/>
      </c>
      <c r="R480" s="7">
        <f>Mecanismos!B3*(1-D480)</f>
        <v/>
      </c>
      <c r="S480" s="7">
        <f>Mecanismos!B9*(1-J480)</f>
        <v/>
      </c>
      <c r="T480" s="7">
        <f>Mecanismos!B8*H480</f>
        <v/>
      </c>
      <c r="U480" s="7">
        <f>Mecanismos!B10*H480</f>
        <v/>
      </c>
      <c r="V480" s="7">
        <f>Mecanismos!B8*K480</f>
        <v/>
      </c>
      <c r="W480" s="7">
        <f>SUM(L480:S480)</f>
        <v/>
      </c>
      <c r="X480" s="7">
        <f>SUM(T480:V480)</f>
        <v/>
      </c>
      <c r="Y480" s="8">
        <f>MAX(0,MIN(1,Parametros!B2-W480*Parametros!B3+X480*Parametros!B4))</f>
        <v/>
      </c>
    </row>
    <row r="481">
      <c r="A481" t="inlineStr">
        <is>
          <t>ok1f5e</t>
        </is>
      </c>
      <c r="B481" t="inlineStr">
        <is>
          <t>Valentina Lopes</t>
        </is>
      </c>
      <c r="C481" s="6" t="n">
        <v>0.6238</v>
      </c>
      <c r="D481" s="6" t="n">
        <v>0.398</v>
      </c>
      <c r="E481" s="6" t="n">
        <v>0.6063</v>
      </c>
      <c r="F481" s="6" t="n">
        <v>0.3405</v>
      </c>
      <c r="G481" s="6" t="n">
        <v>0.413</v>
      </c>
      <c r="H481" s="6" t="n">
        <v>0.7241</v>
      </c>
      <c r="I481" s="6" t="n">
        <v>0.5513</v>
      </c>
      <c r="J481" s="6" t="n">
        <v>0.883</v>
      </c>
      <c r="K481" s="6" t="n">
        <v>0.2505</v>
      </c>
      <c r="L481" s="7">
        <f>Mecanismos!B2*C481</f>
        <v/>
      </c>
      <c r="M481" s="7">
        <f>Mecanismos!B7*D481</f>
        <v/>
      </c>
      <c r="N481" s="7">
        <f>Mecanismos!B4*(1-E481)</f>
        <v/>
      </c>
      <c r="O481" s="7">
        <f>Mecanismos!B5*(1-F481)</f>
        <v/>
      </c>
      <c r="P481" s="7">
        <f>Mecanismos!B6*(1-I481)</f>
        <v/>
      </c>
      <c r="Q481" s="7">
        <f>Mecanismos!B9*(1-G481)</f>
        <v/>
      </c>
      <c r="R481" s="7">
        <f>Mecanismos!B3*(1-D481)</f>
        <v/>
      </c>
      <c r="S481" s="7">
        <f>Mecanismos!B9*(1-J481)</f>
        <v/>
      </c>
      <c r="T481" s="7">
        <f>Mecanismos!B8*H481</f>
        <v/>
      </c>
      <c r="U481" s="7">
        <f>Mecanismos!B10*H481</f>
        <v/>
      </c>
      <c r="V481" s="7">
        <f>Mecanismos!B8*K481</f>
        <v/>
      </c>
      <c r="W481" s="7">
        <f>SUM(L481:S481)</f>
        <v/>
      </c>
      <c r="X481" s="7">
        <f>SUM(T481:V481)</f>
        <v/>
      </c>
      <c r="Y481" s="8">
        <f>MAX(0,MIN(1,Parametros!B2-W481*Parametros!B3+X481*Parametros!B4))</f>
        <v/>
      </c>
    </row>
    <row r="482">
      <c r="A482" t="inlineStr">
        <is>
          <t>gn64pm</t>
        </is>
      </c>
      <c r="B482" t="inlineStr">
        <is>
          <t>Vicente Siqueira</t>
        </is>
      </c>
      <c r="C482" s="6" t="n">
        <v>0.5580000000000001</v>
      </c>
      <c r="D482" s="6" t="n">
        <v>0.571</v>
      </c>
      <c r="E482" s="6" t="n">
        <v>0.5066000000000001</v>
      </c>
      <c r="F482" s="6" t="n">
        <v>0.4409</v>
      </c>
      <c r="G482" s="6" t="n">
        <v>0.723</v>
      </c>
      <c r="H482" s="6" t="n">
        <v>0.7</v>
      </c>
      <c r="I482" s="6" t="n">
        <v>0.7904</v>
      </c>
      <c r="J482" s="6" t="n">
        <v>0.9127999999999999</v>
      </c>
      <c r="K482" s="6" t="n">
        <v>0.1818</v>
      </c>
      <c r="L482" s="7">
        <f>Mecanismos!B2*C482</f>
        <v/>
      </c>
      <c r="M482" s="7">
        <f>Mecanismos!B7*D482</f>
        <v/>
      </c>
      <c r="N482" s="7">
        <f>Mecanismos!B4*(1-E482)</f>
        <v/>
      </c>
      <c r="O482" s="7">
        <f>Mecanismos!B5*(1-F482)</f>
        <v/>
      </c>
      <c r="P482" s="7">
        <f>Mecanismos!B6*(1-I482)</f>
        <v/>
      </c>
      <c r="Q482" s="7">
        <f>Mecanismos!B9*(1-G482)</f>
        <v/>
      </c>
      <c r="R482" s="7">
        <f>Mecanismos!B3*(1-D482)</f>
        <v/>
      </c>
      <c r="S482" s="7">
        <f>Mecanismos!B9*(1-J482)</f>
        <v/>
      </c>
      <c r="T482" s="7">
        <f>Mecanismos!B8*H482</f>
        <v/>
      </c>
      <c r="U482" s="7">
        <f>Mecanismos!B10*H482</f>
        <v/>
      </c>
      <c r="V482" s="7">
        <f>Mecanismos!B8*K482</f>
        <v/>
      </c>
      <c r="W482" s="7">
        <f>SUM(L482:S482)</f>
        <v/>
      </c>
      <c r="X482" s="7">
        <f>SUM(T482:V482)</f>
        <v/>
      </c>
      <c r="Y482" s="8">
        <f>MAX(0,MIN(1,Parametros!B2-W482*Parametros!B3+X482*Parametros!B4))</f>
        <v/>
      </c>
    </row>
    <row r="483">
      <c r="A483" t="inlineStr">
        <is>
          <t>4vw9gt</t>
        </is>
      </c>
      <c r="B483" t="inlineStr">
        <is>
          <t>Vinicius Nascimento</t>
        </is>
      </c>
      <c r="C483" s="6" t="n">
        <v>0.5739</v>
      </c>
      <c r="D483" s="6" t="n">
        <v>0.5819</v>
      </c>
      <c r="E483" s="6" t="n">
        <v>0.5821</v>
      </c>
      <c r="F483" s="6" t="n">
        <v>0.5286999999999999</v>
      </c>
      <c r="G483" s="6" t="n">
        <v>0.4853</v>
      </c>
      <c r="H483" s="6" t="n">
        <v>0.6594</v>
      </c>
      <c r="I483" s="6" t="n">
        <v>0.4977</v>
      </c>
      <c r="J483" s="6" t="n">
        <v>0.7614</v>
      </c>
      <c r="K483" s="6" t="n">
        <v>0.3993</v>
      </c>
      <c r="L483" s="7">
        <f>Mecanismos!B2*C483</f>
        <v/>
      </c>
      <c r="M483" s="7">
        <f>Mecanismos!B7*D483</f>
        <v/>
      </c>
      <c r="N483" s="7">
        <f>Mecanismos!B4*(1-E483)</f>
        <v/>
      </c>
      <c r="O483" s="7">
        <f>Mecanismos!B5*(1-F483)</f>
        <v/>
      </c>
      <c r="P483" s="7">
        <f>Mecanismos!B6*(1-I483)</f>
        <v/>
      </c>
      <c r="Q483" s="7">
        <f>Mecanismos!B9*(1-G483)</f>
        <v/>
      </c>
      <c r="R483" s="7">
        <f>Mecanismos!B3*(1-D483)</f>
        <v/>
      </c>
      <c r="S483" s="7">
        <f>Mecanismos!B9*(1-J483)</f>
        <v/>
      </c>
      <c r="T483" s="7">
        <f>Mecanismos!B8*H483</f>
        <v/>
      </c>
      <c r="U483" s="7">
        <f>Mecanismos!B10*H483</f>
        <v/>
      </c>
      <c r="V483" s="7">
        <f>Mecanismos!B8*K483</f>
        <v/>
      </c>
      <c r="W483" s="7">
        <f>SUM(L483:S483)</f>
        <v/>
      </c>
      <c r="X483" s="7">
        <f>SUM(T483:V483)</f>
        <v/>
      </c>
      <c r="Y483" s="8">
        <f>MAX(0,MIN(1,Parametros!B2-W483*Parametros!B3+X483*Parametros!B4))</f>
        <v/>
      </c>
    </row>
    <row r="484">
      <c r="A484" t="inlineStr">
        <is>
          <t>cbomnt</t>
        </is>
      </c>
      <c r="B484" t="inlineStr">
        <is>
          <t>Vinícius Alves</t>
        </is>
      </c>
      <c r="C484" s="6" t="n">
        <v>0.5034</v>
      </c>
      <c r="D484" s="6" t="n">
        <v>0.6328</v>
      </c>
      <c r="E484" s="6" t="n">
        <v>0.4642</v>
      </c>
      <c r="F484" s="6" t="n">
        <v>0.9091</v>
      </c>
      <c r="G484" s="6" t="n">
        <v>0.4293</v>
      </c>
      <c r="H484" s="6" t="n">
        <v>0.409</v>
      </c>
      <c r="I484" s="6" t="n">
        <v>0.4999</v>
      </c>
      <c r="J484" s="6" t="n">
        <v>0.7903</v>
      </c>
      <c r="K484" s="6" t="n">
        <v>0.2674</v>
      </c>
      <c r="L484" s="7">
        <f>Mecanismos!B2*C484</f>
        <v/>
      </c>
      <c r="M484" s="7">
        <f>Mecanismos!B7*D484</f>
        <v/>
      </c>
      <c r="N484" s="7">
        <f>Mecanismos!B4*(1-E484)</f>
        <v/>
      </c>
      <c r="O484" s="7">
        <f>Mecanismos!B5*(1-F484)</f>
        <v/>
      </c>
      <c r="P484" s="7">
        <f>Mecanismos!B6*(1-I484)</f>
        <v/>
      </c>
      <c r="Q484" s="7">
        <f>Mecanismos!B9*(1-G484)</f>
        <v/>
      </c>
      <c r="R484" s="7">
        <f>Mecanismos!B3*(1-D484)</f>
        <v/>
      </c>
      <c r="S484" s="7">
        <f>Mecanismos!B9*(1-J484)</f>
        <v/>
      </c>
      <c r="T484" s="7">
        <f>Mecanismos!B8*H484</f>
        <v/>
      </c>
      <c r="U484" s="7">
        <f>Mecanismos!B10*H484</f>
        <v/>
      </c>
      <c r="V484" s="7">
        <f>Mecanismos!B8*K484</f>
        <v/>
      </c>
      <c r="W484" s="7">
        <f>SUM(L484:S484)</f>
        <v/>
      </c>
      <c r="X484" s="7">
        <f>SUM(T484:V484)</f>
        <v/>
      </c>
      <c r="Y484" s="8">
        <f>MAX(0,MIN(1,Parametros!B2-W484*Parametros!B3+X484*Parametros!B4))</f>
        <v/>
      </c>
    </row>
    <row r="485">
      <c r="A485" t="inlineStr">
        <is>
          <t>6w1k6h</t>
        </is>
      </c>
      <c r="B485" t="inlineStr">
        <is>
          <t>Vinícius Castro</t>
        </is>
      </c>
      <c r="C485" s="6" t="n">
        <v>0.7411</v>
      </c>
      <c r="D485" s="6" t="n">
        <v>0.2624</v>
      </c>
      <c r="E485" s="6" t="n">
        <v>0.6385</v>
      </c>
      <c r="F485" s="6" t="n">
        <v>0.4303</v>
      </c>
      <c r="G485" s="6" t="n">
        <v>0.526</v>
      </c>
      <c r="H485" s="6" t="n">
        <v>0.5783</v>
      </c>
      <c r="I485" s="6" t="n">
        <v>0.505</v>
      </c>
      <c r="J485" s="6" t="n">
        <v>0.6665</v>
      </c>
      <c r="K485" s="6" t="n">
        <v>0.5747</v>
      </c>
      <c r="L485" s="7">
        <f>Mecanismos!B2*C485</f>
        <v/>
      </c>
      <c r="M485" s="7">
        <f>Mecanismos!B7*D485</f>
        <v/>
      </c>
      <c r="N485" s="7">
        <f>Mecanismos!B4*(1-E485)</f>
        <v/>
      </c>
      <c r="O485" s="7">
        <f>Mecanismos!B5*(1-F485)</f>
        <v/>
      </c>
      <c r="P485" s="7">
        <f>Mecanismos!B6*(1-I485)</f>
        <v/>
      </c>
      <c r="Q485" s="7">
        <f>Mecanismos!B9*(1-G485)</f>
        <v/>
      </c>
      <c r="R485" s="7">
        <f>Mecanismos!B3*(1-D485)</f>
        <v/>
      </c>
      <c r="S485" s="7">
        <f>Mecanismos!B9*(1-J485)</f>
        <v/>
      </c>
      <c r="T485" s="7">
        <f>Mecanismos!B8*H485</f>
        <v/>
      </c>
      <c r="U485" s="7">
        <f>Mecanismos!B10*H485</f>
        <v/>
      </c>
      <c r="V485" s="7">
        <f>Mecanismos!B8*K485</f>
        <v/>
      </c>
      <c r="W485" s="7">
        <f>SUM(L485:S485)</f>
        <v/>
      </c>
      <c r="X485" s="7">
        <f>SUM(T485:V485)</f>
        <v/>
      </c>
      <c r="Y485" s="8">
        <f>MAX(0,MIN(1,Parametros!B2-W485*Parametros!B3+X485*Parametros!B4))</f>
        <v/>
      </c>
    </row>
    <row r="486">
      <c r="A486" t="inlineStr">
        <is>
          <t>b2gn37</t>
        </is>
      </c>
      <c r="B486" t="inlineStr">
        <is>
          <t>Vinícius Viana</t>
        </is>
      </c>
      <c r="C486" s="6" t="n">
        <v>0.7395</v>
      </c>
      <c r="D486" s="6" t="n">
        <v>0.385</v>
      </c>
      <c r="E486" s="6" t="n">
        <v>0.7187</v>
      </c>
      <c r="F486" s="6" t="n">
        <v>0.4407</v>
      </c>
      <c r="G486" s="6" t="n">
        <v>0.5649</v>
      </c>
      <c r="H486" s="6" t="n">
        <v>0.5071</v>
      </c>
      <c r="I486" s="6" t="n">
        <v>0.3539</v>
      </c>
      <c r="J486" s="6" t="n">
        <v>0.8223</v>
      </c>
      <c r="K486" s="6" t="n">
        <v>0.5477</v>
      </c>
      <c r="L486" s="7">
        <f>Mecanismos!B2*C486</f>
        <v/>
      </c>
      <c r="M486" s="7">
        <f>Mecanismos!B7*D486</f>
        <v/>
      </c>
      <c r="N486" s="7">
        <f>Mecanismos!B4*(1-E486)</f>
        <v/>
      </c>
      <c r="O486" s="7">
        <f>Mecanismos!B5*(1-F486)</f>
        <v/>
      </c>
      <c r="P486" s="7">
        <f>Mecanismos!B6*(1-I486)</f>
        <v/>
      </c>
      <c r="Q486" s="7">
        <f>Mecanismos!B9*(1-G486)</f>
        <v/>
      </c>
      <c r="R486" s="7">
        <f>Mecanismos!B3*(1-D486)</f>
        <v/>
      </c>
      <c r="S486" s="7">
        <f>Mecanismos!B9*(1-J486)</f>
        <v/>
      </c>
      <c r="T486" s="7">
        <f>Mecanismos!B8*H486</f>
        <v/>
      </c>
      <c r="U486" s="7">
        <f>Mecanismos!B10*H486</f>
        <v/>
      </c>
      <c r="V486" s="7">
        <f>Mecanismos!B8*K486</f>
        <v/>
      </c>
      <c r="W486" s="7">
        <f>SUM(L486:S486)</f>
        <v/>
      </c>
      <c r="X486" s="7">
        <f>SUM(T486:V486)</f>
        <v/>
      </c>
      <c r="Y486" s="8">
        <f>MAX(0,MIN(1,Parametros!B2-W486*Parametros!B3+X486*Parametros!B4))</f>
        <v/>
      </c>
    </row>
    <row r="487">
      <c r="A487" t="inlineStr">
        <is>
          <t>2mm5cm</t>
        </is>
      </c>
      <c r="B487" t="inlineStr">
        <is>
          <t>Vitor Cardoso</t>
        </is>
      </c>
      <c r="C487" s="6" t="n">
        <v>0.7389</v>
      </c>
      <c r="D487" s="6" t="n">
        <v>0.5335</v>
      </c>
      <c r="E487" s="6" t="n">
        <v>0.605</v>
      </c>
      <c r="F487" s="6" t="n">
        <v>0.2749</v>
      </c>
      <c r="G487" s="6" t="n">
        <v>0.3985</v>
      </c>
      <c r="H487" s="6" t="n">
        <v>0.5935</v>
      </c>
      <c r="I487" s="6" t="n">
        <v>0.2723</v>
      </c>
      <c r="J487" s="6" t="n">
        <v>0.788</v>
      </c>
      <c r="K487" s="6" t="n">
        <v>0.3059</v>
      </c>
      <c r="L487" s="7">
        <f>Mecanismos!B2*C487</f>
        <v/>
      </c>
      <c r="M487" s="7">
        <f>Mecanismos!B7*D487</f>
        <v/>
      </c>
      <c r="N487" s="7">
        <f>Mecanismos!B4*(1-E487)</f>
        <v/>
      </c>
      <c r="O487" s="7">
        <f>Mecanismos!B5*(1-F487)</f>
        <v/>
      </c>
      <c r="P487" s="7">
        <f>Mecanismos!B6*(1-I487)</f>
        <v/>
      </c>
      <c r="Q487" s="7">
        <f>Mecanismos!B9*(1-G487)</f>
        <v/>
      </c>
      <c r="R487" s="7">
        <f>Mecanismos!B3*(1-D487)</f>
        <v/>
      </c>
      <c r="S487" s="7">
        <f>Mecanismos!B9*(1-J487)</f>
        <v/>
      </c>
      <c r="T487" s="7">
        <f>Mecanismos!B8*H487</f>
        <v/>
      </c>
      <c r="U487" s="7">
        <f>Mecanismos!B10*H487</f>
        <v/>
      </c>
      <c r="V487" s="7">
        <f>Mecanismos!B8*K487</f>
        <v/>
      </c>
      <c r="W487" s="7">
        <f>SUM(L487:S487)</f>
        <v/>
      </c>
      <c r="X487" s="7">
        <f>SUM(T487:V487)</f>
        <v/>
      </c>
      <c r="Y487" s="8">
        <f>MAX(0,MIN(1,Parametros!B2-W487*Parametros!B3+X487*Parametros!B4))</f>
        <v/>
      </c>
    </row>
    <row r="488">
      <c r="A488" t="inlineStr">
        <is>
          <t>mqh19a</t>
        </is>
      </c>
      <c r="B488" t="inlineStr">
        <is>
          <t>Vitória Duarte</t>
        </is>
      </c>
      <c r="C488" s="6" t="n">
        <v>0.5664</v>
      </c>
      <c r="D488" s="6" t="n">
        <v>0.4846</v>
      </c>
      <c r="E488" s="6" t="n">
        <v>0.4949</v>
      </c>
      <c r="F488" s="6" t="n">
        <v>0.4823</v>
      </c>
      <c r="G488" s="6" t="n">
        <v>0.6082</v>
      </c>
      <c r="H488" s="6" t="n">
        <v>0.7671</v>
      </c>
      <c r="I488" s="6" t="n">
        <v>0.623</v>
      </c>
      <c r="J488" s="6" t="n">
        <v>0.7042</v>
      </c>
      <c r="K488" s="6" t="n">
        <v>0.4245</v>
      </c>
      <c r="L488" s="7">
        <f>Mecanismos!B2*C488</f>
        <v/>
      </c>
      <c r="M488" s="7">
        <f>Mecanismos!B7*D488</f>
        <v/>
      </c>
      <c r="N488" s="7">
        <f>Mecanismos!B4*(1-E488)</f>
        <v/>
      </c>
      <c r="O488" s="7">
        <f>Mecanismos!B5*(1-F488)</f>
        <v/>
      </c>
      <c r="P488" s="7">
        <f>Mecanismos!B6*(1-I488)</f>
        <v/>
      </c>
      <c r="Q488" s="7">
        <f>Mecanismos!B9*(1-G488)</f>
        <v/>
      </c>
      <c r="R488" s="7">
        <f>Mecanismos!B3*(1-D488)</f>
        <v/>
      </c>
      <c r="S488" s="7">
        <f>Mecanismos!B9*(1-J488)</f>
        <v/>
      </c>
      <c r="T488" s="7">
        <f>Mecanismos!B8*H488</f>
        <v/>
      </c>
      <c r="U488" s="7">
        <f>Mecanismos!B10*H488</f>
        <v/>
      </c>
      <c r="V488" s="7">
        <f>Mecanismos!B8*K488</f>
        <v/>
      </c>
      <c r="W488" s="7">
        <f>SUM(L488:S488)</f>
        <v/>
      </c>
      <c r="X488" s="7">
        <f>SUM(T488:V488)</f>
        <v/>
      </c>
      <c r="Y488" s="8">
        <f>MAX(0,MIN(1,Parametros!B2-W488*Parametros!B3+X488*Parametros!B4))</f>
        <v/>
      </c>
    </row>
    <row r="489">
      <c r="A489" t="inlineStr">
        <is>
          <t>imgp3l</t>
        </is>
      </c>
      <c r="B489" t="inlineStr">
        <is>
          <t>Vitória Guerra</t>
        </is>
      </c>
      <c r="C489" s="6" t="n">
        <v>0.6743</v>
      </c>
      <c r="D489" s="6" t="n">
        <v>0.7472</v>
      </c>
      <c r="E489" s="6" t="n">
        <v>0.7451</v>
      </c>
      <c r="F489" s="6" t="n">
        <v>0.79</v>
      </c>
      <c r="G489" s="6" t="n">
        <v>0.4284</v>
      </c>
      <c r="H489" s="6" t="n">
        <v>0.4104</v>
      </c>
      <c r="I489" s="6" t="n">
        <v>0.7853</v>
      </c>
      <c r="J489" s="6" t="n">
        <v>0.5684</v>
      </c>
      <c r="K489" s="6" t="n">
        <v>0.3481</v>
      </c>
      <c r="L489" s="7">
        <f>Mecanismos!B2*C489</f>
        <v/>
      </c>
      <c r="M489" s="7">
        <f>Mecanismos!B7*D489</f>
        <v/>
      </c>
      <c r="N489" s="7">
        <f>Mecanismos!B4*(1-E489)</f>
        <v/>
      </c>
      <c r="O489" s="7">
        <f>Mecanismos!B5*(1-F489)</f>
        <v/>
      </c>
      <c r="P489" s="7">
        <f>Mecanismos!B6*(1-I489)</f>
        <v/>
      </c>
      <c r="Q489" s="7">
        <f>Mecanismos!B9*(1-G489)</f>
        <v/>
      </c>
      <c r="R489" s="7">
        <f>Mecanismos!B3*(1-D489)</f>
        <v/>
      </c>
      <c r="S489" s="7">
        <f>Mecanismos!B9*(1-J489)</f>
        <v/>
      </c>
      <c r="T489" s="7">
        <f>Mecanismos!B8*H489</f>
        <v/>
      </c>
      <c r="U489" s="7">
        <f>Mecanismos!B10*H489</f>
        <v/>
      </c>
      <c r="V489" s="7">
        <f>Mecanismos!B8*K489</f>
        <v/>
      </c>
      <c r="W489" s="7">
        <f>SUM(L489:S489)</f>
        <v/>
      </c>
      <c r="X489" s="7">
        <f>SUM(T489:V489)</f>
        <v/>
      </c>
      <c r="Y489" s="8">
        <f>MAX(0,MIN(1,Parametros!B2-W489*Parametros!B3+X489*Parametros!B4))</f>
        <v/>
      </c>
    </row>
    <row r="490">
      <c r="A490" t="inlineStr">
        <is>
          <t>7l9iq8</t>
        </is>
      </c>
      <c r="B490" t="inlineStr">
        <is>
          <t>Yago Macedo</t>
        </is>
      </c>
      <c r="C490" s="6" t="n">
        <v>0.6435999999999999</v>
      </c>
      <c r="D490" s="6" t="n">
        <v>0.4541</v>
      </c>
      <c r="E490" s="6" t="n">
        <v>0.4061</v>
      </c>
      <c r="F490" s="6" t="n">
        <v>0.5996</v>
      </c>
      <c r="G490" s="6" t="n">
        <v>0.2587</v>
      </c>
      <c r="H490" s="6" t="n">
        <v>0.6272</v>
      </c>
      <c r="I490" s="6" t="n">
        <v>0.4984</v>
      </c>
      <c r="J490" s="6" t="n">
        <v>0.9133</v>
      </c>
      <c r="K490" s="6" t="n">
        <v>0.1962</v>
      </c>
      <c r="L490" s="7">
        <f>Mecanismos!B2*C490</f>
        <v/>
      </c>
      <c r="M490" s="7">
        <f>Mecanismos!B7*D490</f>
        <v/>
      </c>
      <c r="N490" s="7">
        <f>Mecanismos!B4*(1-E490)</f>
        <v/>
      </c>
      <c r="O490" s="7">
        <f>Mecanismos!B5*(1-F490)</f>
        <v/>
      </c>
      <c r="P490" s="7">
        <f>Mecanismos!B6*(1-I490)</f>
        <v/>
      </c>
      <c r="Q490" s="7">
        <f>Mecanismos!B9*(1-G490)</f>
        <v/>
      </c>
      <c r="R490" s="7">
        <f>Mecanismos!B3*(1-D490)</f>
        <v/>
      </c>
      <c r="S490" s="7">
        <f>Mecanismos!B9*(1-J490)</f>
        <v/>
      </c>
      <c r="T490" s="7">
        <f>Mecanismos!B8*H490</f>
        <v/>
      </c>
      <c r="U490" s="7">
        <f>Mecanismos!B10*H490</f>
        <v/>
      </c>
      <c r="V490" s="7">
        <f>Mecanismos!B8*K490</f>
        <v/>
      </c>
      <c r="W490" s="7">
        <f>SUM(L490:S490)</f>
        <v/>
      </c>
      <c r="X490" s="7">
        <f>SUM(T490:V490)</f>
        <v/>
      </c>
      <c r="Y490" s="8">
        <f>MAX(0,MIN(1,Parametros!B2-W490*Parametros!B3+X490*Parametros!B4))</f>
        <v/>
      </c>
    </row>
    <row r="491">
      <c r="A491" t="inlineStr">
        <is>
          <t>xd97xn</t>
        </is>
      </c>
      <c r="B491" t="inlineStr">
        <is>
          <t>Yago Moura</t>
        </is>
      </c>
      <c r="C491" s="6" t="n">
        <v>0.3827</v>
      </c>
      <c r="D491" s="6" t="n">
        <v>0.5757</v>
      </c>
      <c r="E491" s="6" t="n">
        <v>0.6854</v>
      </c>
      <c r="F491" s="6" t="n">
        <v>0.7403</v>
      </c>
      <c r="G491" s="6" t="n">
        <v>0.6266</v>
      </c>
      <c r="H491" s="6" t="n">
        <v>0.4523</v>
      </c>
      <c r="I491" s="6" t="n">
        <v>0.8605</v>
      </c>
      <c r="J491" s="6" t="n">
        <v>0.822</v>
      </c>
      <c r="K491" s="6" t="n">
        <v>0.2846</v>
      </c>
      <c r="L491" s="7">
        <f>Mecanismos!B2*C491</f>
        <v/>
      </c>
      <c r="M491" s="7">
        <f>Mecanismos!B7*D491</f>
        <v/>
      </c>
      <c r="N491" s="7">
        <f>Mecanismos!B4*(1-E491)</f>
        <v/>
      </c>
      <c r="O491" s="7">
        <f>Mecanismos!B5*(1-F491)</f>
        <v/>
      </c>
      <c r="P491" s="7">
        <f>Mecanismos!B6*(1-I491)</f>
        <v/>
      </c>
      <c r="Q491" s="7">
        <f>Mecanismos!B9*(1-G491)</f>
        <v/>
      </c>
      <c r="R491" s="7">
        <f>Mecanismos!B3*(1-D491)</f>
        <v/>
      </c>
      <c r="S491" s="7">
        <f>Mecanismos!B9*(1-J491)</f>
        <v/>
      </c>
      <c r="T491" s="7">
        <f>Mecanismos!B8*H491</f>
        <v/>
      </c>
      <c r="U491" s="7">
        <f>Mecanismos!B10*H491</f>
        <v/>
      </c>
      <c r="V491" s="7">
        <f>Mecanismos!B8*K491</f>
        <v/>
      </c>
      <c r="W491" s="7">
        <f>SUM(L491:S491)</f>
        <v/>
      </c>
      <c r="X491" s="7">
        <f>SUM(T491:V491)</f>
        <v/>
      </c>
      <c r="Y491" s="8">
        <f>MAX(0,MIN(1,Parametros!B2-W491*Parametros!B3+X491*Parametros!B4))</f>
        <v/>
      </c>
    </row>
    <row r="492">
      <c r="A492" t="inlineStr">
        <is>
          <t>2y9zh8</t>
        </is>
      </c>
      <c r="B492" t="inlineStr">
        <is>
          <t>Yan Fernandes</t>
        </is>
      </c>
      <c r="C492" s="6" t="n">
        <v>0.6899</v>
      </c>
      <c r="D492" s="6" t="n">
        <v>0.5413</v>
      </c>
      <c r="E492" s="6" t="n">
        <v>0.6289</v>
      </c>
      <c r="F492" s="6" t="n">
        <v>0.4127</v>
      </c>
      <c r="G492" s="6" t="n">
        <v>0.3163</v>
      </c>
      <c r="H492" s="6" t="n">
        <v>0.5534</v>
      </c>
      <c r="I492" s="6" t="n">
        <v>0.4768</v>
      </c>
      <c r="J492" s="6" t="n">
        <v>0.8411999999999999</v>
      </c>
      <c r="K492" s="6" t="n">
        <v>0.5099</v>
      </c>
      <c r="L492" s="7">
        <f>Mecanismos!B2*C492</f>
        <v/>
      </c>
      <c r="M492" s="7">
        <f>Mecanismos!B7*D492</f>
        <v/>
      </c>
      <c r="N492" s="7">
        <f>Mecanismos!B4*(1-E492)</f>
        <v/>
      </c>
      <c r="O492" s="7">
        <f>Mecanismos!B5*(1-F492)</f>
        <v/>
      </c>
      <c r="P492" s="7">
        <f>Mecanismos!B6*(1-I492)</f>
        <v/>
      </c>
      <c r="Q492" s="7">
        <f>Mecanismos!B9*(1-G492)</f>
        <v/>
      </c>
      <c r="R492" s="7">
        <f>Mecanismos!B3*(1-D492)</f>
        <v/>
      </c>
      <c r="S492" s="7">
        <f>Mecanismos!B9*(1-J492)</f>
        <v/>
      </c>
      <c r="T492" s="7">
        <f>Mecanismos!B8*H492</f>
        <v/>
      </c>
      <c r="U492" s="7">
        <f>Mecanismos!B10*H492</f>
        <v/>
      </c>
      <c r="V492" s="7">
        <f>Mecanismos!B8*K492</f>
        <v/>
      </c>
      <c r="W492" s="7">
        <f>SUM(L492:S492)</f>
        <v/>
      </c>
      <c r="X492" s="7">
        <f>SUM(T492:V492)</f>
        <v/>
      </c>
      <c r="Y492" s="8">
        <f>MAX(0,MIN(1,Parametros!B2-W492*Parametros!B3+X492*Parametros!B4))</f>
        <v/>
      </c>
    </row>
    <row r="493">
      <c r="A493" t="inlineStr">
        <is>
          <t>tpx65a</t>
        </is>
      </c>
      <c r="B493" t="inlineStr">
        <is>
          <t>Yasmin Alves</t>
        </is>
      </c>
      <c r="C493" s="6" t="n">
        <v>0.7542</v>
      </c>
      <c r="D493" s="6" t="n">
        <v>0.5142</v>
      </c>
      <c r="E493" s="6" t="n">
        <v>0.8401999999999999</v>
      </c>
      <c r="F493" s="6" t="n">
        <v>0.7671</v>
      </c>
      <c r="G493" s="6" t="n">
        <v>0.5448</v>
      </c>
      <c r="H493" s="6" t="n">
        <v>0.5079</v>
      </c>
      <c r="I493" s="6" t="n">
        <v>0.6456</v>
      </c>
      <c r="J493" s="6" t="n">
        <v>0.8787</v>
      </c>
      <c r="K493" s="6" t="n">
        <v>0.4853</v>
      </c>
      <c r="L493" s="7">
        <f>Mecanismos!B2*C493</f>
        <v/>
      </c>
      <c r="M493" s="7">
        <f>Mecanismos!B7*D493</f>
        <v/>
      </c>
      <c r="N493" s="7">
        <f>Mecanismos!B4*(1-E493)</f>
        <v/>
      </c>
      <c r="O493" s="7">
        <f>Mecanismos!B5*(1-F493)</f>
        <v/>
      </c>
      <c r="P493" s="7">
        <f>Mecanismos!B6*(1-I493)</f>
        <v/>
      </c>
      <c r="Q493" s="7">
        <f>Mecanismos!B9*(1-G493)</f>
        <v/>
      </c>
      <c r="R493" s="7">
        <f>Mecanismos!B3*(1-D493)</f>
        <v/>
      </c>
      <c r="S493" s="7">
        <f>Mecanismos!B9*(1-J493)</f>
        <v/>
      </c>
      <c r="T493" s="7">
        <f>Mecanismos!B8*H493</f>
        <v/>
      </c>
      <c r="U493" s="7">
        <f>Mecanismos!B10*H493</f>
        <v/>
      </c>
      <c r="V493" s="7">
        <f>Mecanismos!B8*K493</f>
        <v/>
      </c>
      <c r="W493" s="7">
        <f>SUM(L493:S493)</f>
        <v/>
      </c>
      <c r="X493" s="7">
        <f>SUM(T493:V493)</f>
        <v/>
      </c>
      <c r="Y493" s="8">
        <f>MAX(0,MIN(1,Parametros!B2-W493*Parametros!B3+X493*Parametros!B4))</f>
        <v/>
      </c>
    </row>
    <row r="494">
      <c r="A494" t="inlineStr">
        <is>
          <t>jbfx5i</t>
        </is>
      </c>
      <c r="B494" t="inlineStr">
        <is>
          <t>Yasmin Cassiano</t>
        </is>
      </c>
      <c r="C494" s="6" t="n">
        <v>0.5478</v>
      </c>
      <c r="D494" s="6" t="n">
        <v>0.492</v>
      </c>
      <c r="E494" s="6" t="n">
        <v>0.6071</v>
      </c>
      <c r="F494" s="6" t="n">
        <v>0.5467</v>
      </c>
      <c r="G494" s="6" t="n">
        <v>0.5148</v>
      </c>
      <c r="H494" s="6" t="n">
        <v>0.7322</v>
      </c>
      <c r="I494" s="6" t="n">
        <v>0.6197</v>
      </c>
      <c r="J494" s="6" t="n">
        <v>0.9164</v>
      </c>
      <c r="K494" s="6" t="n">
        <v>0.4119</v>
      </c>
      <c r="L494" s="7">
        <f>Mecanismos!B2*C494</f>
        <v/>
      </c>
      <c r="M494" s="7">
        <f>Mecanismos!B7*D494</f>
        <v/>
      </c>
      <c r="N494" s="7">
        <f>Mecanismos!B4*(1-E494)</f>
        <v/>
      </c>
      <c r="O494" s="7">
        <f>Mecanismos!B5*(1-F494)</f>
        <v/>
      </c>
      <c r="P494" s="7">
        <f>Mecanismos!B6*(1-I494)</f>
        <v/>
      </c>
      <c r="Q494" s="7">
        <f>Mecanismos!B9*(1-G494)</f>
        <v/>
      </c>
      <c r="R494" s="7">
        <f>Mecanismos!B3*(1-D494)</f>
        <v/>
      </c>
      <c r="S494" s="7">
        <f>Mecanismos!B9*(1-J494)</f>
        <v/>
      </c>
      <c r="T494" s="7">
        <f>Mecanismos!B8*H494</f>
        <v/>
      </c>
      <c r="U494" s="7">
        <f>Mecanismos!B10*H494</f>
        <v/>
      </c>
      <c r="V494" s="7">
        <f>Mecanismos!B8*K494</f>
        <v/>
      </c>
      <c r="W494" s="7">
        <f>SUM(L494:S494)</f>
        <v/>
      </c>
      <c r="X494" s="7">
        <f>SUM(T494:V494)</f>
        <v/>
      </c>
      <c r="Y494" s="8">
        <f>MAX(0,MIN(1,Parametros!B2-W494*Parametros!B3+X494*Parametros!B4))</f>
        <v/>
      </c>
    </row>
    <row r="495">
      <c r="A495" t="inlineStr">
        <is>
          <t>l7iu4t</t>
        </is>
      </c>
      <c r="B495" t="inlineStr">
        <is>
          <t>Yasmin Cavalcanti</t>
        </is>
      </c>
      <c r="C495" s="6" t="n">
        <v>0.5266999999999999</v>
      </c>
      <c r="D495" s="6" t="n">
        <v>0.428</v>
      </c>
      <c r="E495" s="6" t="n">
        <v>0.2993</v>
      </c>
      <c r="F495" s="6" t="n">
        <v>0.7175</v>
      </c>
      <c r="G495" s="6" t="n">
        <v>0.4658</v>
      </c>
      <c r="H495" s="6" t="n">
        <v>0.5911999999999999</v>
      </c>
      <c r="I495" s="6" t="n">
        <v>0.7408</v>
      </c>
      <c r="J495" s="6" t="n">
        <v>0.7838000000000001</v>
      </c>
      <c r="K495" s="6" t="n">
        <v>0.5116000000000001</v>
      </c>
      <c r="L495" s="7">
        <f>Mecanismos!B2*C495</f>
        <v/>
      </c>
      <c r="M495" s="7">
        <f>Mecanismos!B7*D495</f>
        <v/>
      </c>
      <c r="N495" s="7">
        <f>Mecanismos!B4*(1-E495)</f>
        <v/>
      </c>
      <c r="O495" s="7">
        <f>Mecanismos!B5*(1-F495)</f>
        <v/>
      </c>
      <c r="P495" s="7">
        <f>Mecanismos!B6*(1-I495)</f>
        <v/>
      </c>
      <c r="Q495" s="7">
        <f>Mecanismos!B9*(1-G495)</f>
        <v/>
      </c>
      <c r="R495" s="7">
        <f>Mecanismos!B3*(1-D495)</f>
        <v/>
      </c>
      <c r="S495" s="7">
        <f>Mecanismos!B9*(1-J495)</f>
        <v/>
      </c>
      <c r="T495" s="7">
        <f>Mecanismos!B8*H495</f>
        <v/>
      </c>
      <c r="U495" s="7">
        <f>Mecanismos!B10*H495</f>
        <v/>
      </c>
      <c r="V495" s="7">
        <f>Mecanismos!B8*K495</f>
        <v/>
      </c>
      <c r="W495" s="7">
        <f>SUM(L495:S495)</f>
        <v/>
      </c>
      <c r="X495" s="7">
        <f>SUM(T495:V495)</f>
        <v/>
      </c>
      <c r="Y495" s="8">
        <f>MAX(0,MIN(1,Parametros!B2-W495*Parametros!B3+X495*Parametros!B4))</f>
        <v/>
      </c>
    </row>
    <row r="496">
      <c r="A496" t="inlineStr">
        <is>
          <t>ecjbcs</t>
        </is>
      </c>
      <c r="B496" t="inlineStr">
        <is>
          <t>Yasmin Costela</t>
        </is>
      </c>
      <c r="C496" s="6" t="n">
        <v>0.6741</v>
      </c>
      <c r="D496" s="6" t="n">
        <v>0.4837</v>
      </c>
      <c r="E496" s="6" t="n">
        <v>0.6059</v>
      </c>
      <c r="F496" s="6" t="n">
        <v>0.662</v>
      </c>
      <c r="G496" s="6" t="n">
        <v>0.3551</v>
      </c>
      <c r="H496" s="6" t="n">
        <v>0.3125</v>
      </c>
      <c r="I496" s="6" t="n">
        <v>0.4712</v>
      </c>
      <c r="J496" s="6" t="n">
        <v>0.8047</v>
      </c>
      <c r="K496" s="6" t="n">
        <v>0.3252</v>
      </c>
      <c r="L496" s="7">
        <f>Mecanismos!B2*C496</f>
        <v/>
      </c>
      <c r="M496" s="7">
        <f>Mecanismos!B7*D496</f>
        <v/>
      </c>
      <c r="N496" s="7">
        <f>Mecanismos!B4*(1-E496)</f>
        <v/>
      </c>
      <c r="O496" s="7">
        <f>Mecanismos!B5*(1-F496)</f>
        <v/>
      </c>
      <c r="P496" s="7">
        <f>Mecanismos!B6*(1-I496)</f>
        <v/>
      </c>
      <c r="Q496" s="7">
        <f>Mecanismos!B9*(1-G496)</f>
        <v/>
      </c>
      <c r="R496" s="7">
        <f>Mecanismos!B3*(1-D496)</f>
        <v/>
      </c>
      <c r="S496" s="7">
        <f>Mecanismos!B9*(1-J496)</f>
        <v/>
      </c>
      <c r="T496" s="7">
        <f>Mecanismos!B8*H496</f>
        <v/>
      </c>
      <c r="U496" s="7">
        <f>Mecanismos!B10*H496</f>
        <v/>
      </c>
      <c r="V496" s="7">
        <f>Mecanismos!B8*K496</f>
        <v/>
      </c>
      <c r="W496" s="7">
        <f>SUM(L496:S496)</f>
        <v/>
      </c>
      <c r="X496" s="7">
        <f>SUM(T496:V496)</f>
        <v/>
      </c>
      <c r="Y496" s="8">
        <f>MAX(0,MIN(1,Parametros!B2-W496*Parametros!B3+X496*Parametros!B4))</f>
        <v/>
      </c>
    </row>
    <row r="497">
      <c r="A497" t="inlineStr">
        <is>
          <t>75e75g</t>
        </is>
      </c>
      <c r="B497" t="inlineStr">
        <is>
          <t>Yuri Cardoso</t>
        </is>
      </c>
      <c r="C497" s="6" t="n">
        <v>0.7184</v>
      </c>
      <c r="D497" s="6" t="n">
        <v>0.5106000000000001</v>
      </c>
      <c r="E497" s="6" t="n">
        <v>0.5858</v>
      </c>
      <c r="F497" s="6" t="n">
        <v>0.4847</v>
      </c>
      <c r="G497" s="6" t="n">
        <v>0.4275</v>
      </c>
      <c r="H497" s="6" t="n">
        <v>0.5481</v>
      </c>
      <c r="I497" s="6" t="n">
        <v>0.5075</v>
      </c>
      <c r="J497" s="6" t="n">
        <v>0.5595</v>
      </c>
      <c r="K497" s="6" t="n">
        <v>0.7514</v>
      </c>
      <c r="L497" s="7">
        <f>Mecanismos!B2*C497</f>
        <v/>
      </c>
      <c r="M497" s="7">
        <f>Mecanismos!B7*D497</f>
        <v/>
      </c>
      <c r="N497" s="7">
        <f>Mecanismos!B4*(1-E497)</f>
        <v/>
      </c>
      <c r="O497" s="7">
        <f>Mecanismos!B5*(1-F497)</f>
        <v/>
      </c>
      <c r="P497" s="7">
        <f>Mecanismos!B6*(1-I497)</f>
        <v/>
      </c>
      <c r="Q497" s="7">
        <f>Mecanismos!B9*(1-G497)</f>
        <v/>
      </c>
      <c r="R497" s="7">
        <f>Mecanismos!B3*(1-D497)</f>
        <v/>
      </c>
      <c r="S497" s="7">
        <f>Mecanismos!B9*(1-J497)</f>
        <v/>
      </c>
      <c r="T497" s="7">
        <f>Mecanismos!B8*H497</f>
        <v/>
      </c>
      <c r="U497" s="7">
        <f>Mecanismos!B10*H497</f>
        <v/>
      </c>
      <c r="V497" s="7">
        <f>Mecanismos!B8*K497</f>
        <v/>
      </c>
      <c r="W497" s="7">
        <f>SUM(L497:S497)</f>
        <v/>
      </c>
      <c r="X497" s="7">
        <f>SUM(T497:V497)</f>
        <v/>
      </c>
      <c r="Y497" s="8">
        <f>MAX(0,MIN(1,Parametros!B2-W497*Parametros!B3+X497*Parametros!B4))</f>
        <v/>
      </c>
    </row>
    <row r="498">
      <c r="A498" t="inlineStr">
        <is>
          <t>3zayj6</t>
        </is>
      </c>
      <c r="B498" t="inlineStr">
        <is>
          <t>Yuri Nogueira</t>
        </is>
      </c>
      <c r="C498" s="6" t="n">
        <v>0.6465</v>
      </c>
      <c r="D498" s="6" t="n">
        <v>0.5934</v>
      </c>
      <c r="E498" s="6" t="n">
        <v>0.6886</v>
      </c>
      <c r="F498" s="6" t="n">
        <v>0.6586</v>
      </c>
      <c r="G498" s="6" t="n">
        <v>0.3657</v>
      </c>
      <c r="H498" s="6" t="n">
        <v>0.3346</v>
      </c>
      <c r="I498" s="6" t="n">
        <v>0.376</v>
      </c>
      <c r="J498" s="6" t="n">
        <v>0.8191000000000001</v>
      </c>
      <c r="K498" s="6" t="n">
        <v>0.2184</v>
      </c>
      <c r="L498" s="7">
        <f>Mecanismos!B2*C498</f>
        <v/>
      </c>
      <c r="M498" s="7">
        <f>Mecanismos!B7*D498</f>
        <v/>
      </c>
      <c r="N498" s="7">
        <f>Mecanismos!B4*(1-E498)</f>
        <v/>
      </c>
      <c r="O498" s="7">
        <f>Mecanismos!B5*(1-F498)</f>
        <v/>
      </c>
      <c r="P498" s="7">
        <f>Mecanismos!B6*(1-I498)</f>
        <v/>
      </c>
      <c r="Q498" s="7">
        <f>Mecanismos!B9*(1-G498)</f>
        <v/>
      </c>
      <c r="R498" s="7">
        <f>Mecanismos!B3*(1-D498)</f>
        <v/>
      </c>
      <c r="S498" s="7">
        <f>Mecanismos!B9*(1-J498)</f>
        <v/>
      </c>
      <c r="T498" s="7">
        <f>Mecanismos!B8*H498</f>
        <v/>
      </c>
      <c r="U498" s="7">
        <f>Mecanismos!B10*H498</f>
        <v/>
      </c>
      <c r="V498" s="7">
        <f>Mecanismos!B8*K498</f>
        <v/>
      </c>
      <c r="W498" s="7">
        <f>SUM(L498:S498)</f>
        <v/>
      </c>
      <c r="X498" s="7">
        <f>SUM(T498:V498)</f>
        <v/>
      </c>
      <c r="Y498" s="8">
        <f>MAX(0,MIN(1,Parametros!B2-W498*Parametros!B3+X498*Parametros!B4))</f>
        <v/>
      </c>
    </row>
    <row r="499">
      <c r="A499" t="inlineStr">
        <is>
          <t>t0yw25</t>
        </is>
      </c>
      <c r="B499" t="inlineStr">
        <is>
          <t>Ágatha Andrade</t>
        </is>
      </c>
      <c r="C499" s="6" t="n">
        <v>0.5945</v>
      </c>
      <c r="D499" s="6" t="n">
        <v>0.5446</v>
      </c>
      <c r="E499" s="6" t="n">
        <v>0.3721</v>
      </c>
      <c r="F499" s="6" t="n">
        <v>0.5288</v>
      </c>
      <c r="G499" s="6" t="n">
        <v>0.4736</v>
      </c>
      <c r="H499" s="6" t="n">
        <v>0.7154</v>
      </c>
      <c r="I499" s="6" t="n">
        <v>0.6133</v>
      </c>
      <c r="J499" s="6" t="n">
        <v>0.3219</v>
      </c>
      <c r="K499" s="6" t="n">
        <v>0.5598</v>
      </c>
      <c r="L499" s="7">
        <f>Mecanismos!B2*C499</f>
        <v/>
      </c>
      <c r="M499" s="7">
        <f>Mecanismos!B7*D499</f>
        <v/>
      </c>
      <c r="N499" s="7">
        <f>Mecanismos!B4*(1-E499)</f>
        <v/>
      </c>
      <c r="O499" s="7">
        <f>Mecanismos!B5*(1-F499)</f>
        <v/>
      </c>
      <c r="P499" s="7">
        <f>Mecanismos!B6*(1-I499)</f>
        <v/>
      </c>
      <c r="Q499" s="7">
        <f>Mecanismos!B9*(1-G499)</f>
        <v/>
      </c>
      <c r="R499" s="7">
        <f>Mecanismos!B3*(1-D499)</f>
        <v/>
      </c>
      <c r="S499" s="7">
        <f>Mecanismos!B9*(1-J499)</f>
        <v/>
      </c>
      <c r="T499" s="7">
        <f>Mecanismos!B8*H499</f>
        <v/>
      </c>
      <c r="U499" s="7">
        <f>Mecanismos!B10*H499</f>
        <v/>
      </c>
      <c r="V499" s="7">
        <f>Mecanismos!B8*K499</f>
        <v/>
      </c>
      <c r="W499" s="7">
        <f>SUM(L499:S499)</f>
        <v/>
      </c>
      <c r="X499" s="7">
        <f>SUM(T499:V499)</f>
        <v/>
      </c>
      <c r="Y499" s="8">
        <f>MAX(0,MIN(1,Parametros!B2-W499*Parametros!B3+X499*Parametros!B4))</f>
        <v/>
      </c>
    </row>
    <row r="500">
      <c r="A500" t="inlineStr">
        <is>
          <t>t0hxqx</t>
        </is>
      </c>
      <c r="B500" t="inlineStr">
        <is>
          <t>Ágatha da Luz</t>
        </is>
      </c>
      <c r="C500" s="6" t="n">
        <v>0.6115</v>
      </c>
      <c r="D500" s="6" t="n">
        <v>0.7645999999999999</v>
      </c>
      <c r="E500" s="6" t="n">
        <v>0.624</v>
      </c>
      <c r="F500" s="6" t="n">
        <v>0.5805</v>
      </c>
      <c r="G500" s="6" t="n">
        <v>0.2282</v>
      </c>
      <c r="H500" s="6" t="n">
        <v>0.6813</v>
      </c>
      <c r="I500" s="6" t="n">
        <v>0.6704</v>
      </c>
      <c r="J500" s="6" t="n">
        <v>0.9292</v>
      </c>
      <c r="K500" s="6" t="n">
        <v>0.488</v>
      </c>
      <c r="L500" s="7">
        <f>Mecanismos!B2*C500</f>
        <v/>
      </c>
      <c r="M500" s="7">
        <f>Mecanismos!B7*D500</f>
        <v/>
      </c>
      <c r="N500" s="7">
        <f>Mecanismos!B4*(1-E500)</f>
        <v/>
      </c>
      <c r="O500" s="7">
        <f>Mecanismos!B5*(1-F500)</f>
        <v/>
      </c>
      <c r="P500" s="7">
        <f>Mecanismos!B6*(1-I500)</f>
        <v/>
      </c>
      <c r="Q500" s="7">
        <f>Mecanismos!B9*(1-G500)</f>
        <v/>
      </c>
      <c r="R500" s="7">
        <f>Mecanismos!B3*(1-D500)</f>
        <v/>
      </c>
      <c r="S500" s="7">
        <f>Mecanismos!B9*(1-J500)</f>
        <v/>
      </c>
      <c r="T500" s="7">
        <f>Mecanismos!B8*H500</f>
        <v/>
      </c>
      <c r="U500" s="7">
        <f>Mecanismos!B10*H500</f>
        <v/>
      </c>
      <c r="V500" s="7">
        <f>Mecanismos!B8*K500</f>
        <v/>
      </c>
      <c r="W500" s="7">
        <f>SUM(L500:S500)</f>
        <v/>
      </c>
      <c r="X500" s="7">
        <f>SUM(T500:V500)</f>
        <v/>
      </c>
      <c r="Y500" s="8">
        <f>MAX(0,MIN(1,Parametros!B2-W500*Parametros!B3+X500*Parametros!B4))</f>
        <v/>
      </c>
    </row>
    <row r="501">
      <c r="A501" t="inlineStr">
        <is>
          <t>r1f4q3</t>
        </is>
      </c>
      <c r="B501" t="inlineStr">
        <is>
          <t>Ísis Costela</t>
        </is>
      </c>
      <c r="C501" s="6" t="n">
        <v>0.5309</v>
      </c>
      <c r="D501" s="6" t="n">
        <v>0.6589</v>
      </c>
      <c r="E501" s="6" t="n">
        <v>0.5477</v>
      </c>
      <c r="F501" s="6" t="n">
        <v>0.6128</v>
      </c>
      <c r="G501" s="6" t="n">
        <v>0.7602</v>
      </c>
      <c r="H501" s="6" t="n">
        <v>0.6518</v>
      </c>
      <c r="I501" s="6" t="n">
        <v>0.7108</v>
      </c>
      <c r="J501" s="6" t="n">
        <v>0.9654</v>
      </c>
      <c r="K501" s="6" t="n">
        <v>0.4872</v>
      </c>
      <c r="L501" s="7">
        <f>Mecanismos!B2*C501</f>
        <v/>
      </c>
      <c r="M501" s="7">
        <f>Mecanismos!B7*D501</f>
        <v/>
      </c>
      <c r="N501" s="7">
        <f>Mecanismos!B4*(1-E501)</f>
        <v/>
      </c>
      <c r="O501" s="7">
        <f>Mecanismos!B5*(1-F501)</f>
        <v/>
      </c>
      <c r="P501" s="7">
        <f>Mecanismos!B6*(1-I501)</f>
        <v/>
      </c>
      <c r="Q501" s="7">
        <f>Mecanismos!B9*(1-G501)</f>
        <v/>
      </c>
      <c r="R501" s="7">
        <f>Mecanismos!B3*(1-D501)</f>
        <v/>
      </c>
      <c r="S501" s="7">
        <f>Mecanismos!B9*(1-J501)</f>
        <v/>
      </c>
      <c r="T501" s="7">
        <f>Mecanismos!B8*H501</f>
        <v/>
      </c>
      <c r="U501" s="7">
        <f>Mecanismos!B10*H501</f>
        <v/>
      </c>
      <c r="V501" s="7">
        <f>Mecanismos!B8*K501</f>
        <v/>
      </c>
      <c r="W501" s="7">
        <f>SUM(L501:S501)</f>
        <v/>
      </c>
      <c r="X501" s="7">
        <f>SUM(T501:V501)</f>
        <v/>
      </c>
      <c r="Y501" s="8">
        <f>MAX(0,MIN(1,Parametros!B2-W501*Parametros!B3+X501*Parametros!B4))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2026-02-12T21:01:23Z</dcterms:created>
  <dcterms:modified xsi:type="dcterms:W3CDTF">2026-02-12T21:01:23Z</dcterms:modified>
</cp:coreProperties>
</file>